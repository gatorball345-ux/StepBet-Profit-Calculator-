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Game Records" sheetId="2" r:id="rId5"/>
    <sheet state="visible" name="Record Review" sheetId="3" r:id="rId6"/>
    <sheet state="visible" name="Summary" sheetId="4" r:id="rId7"/>
    <sheet state="visible" name="Game Comparisons" sheetId="5" r:id="rId8"/>
    <sheet state="visible" name="Best Results" sheetId="6" r:id="rId9"/>
  </sheets>
  <definedNames/>
  <calcPr/>
  <extLst>
    <ext uri="GoogleSheetsCustomDataVersion2">
      <go:sheetsCustomData xmlns:go="http://customooxmlschemas.google.com/" r:id="rId10" roundtripDataChecksum="BzQ8fMFJnM6pT0ZPdGYGDEfIXY1yAh4xEWa9kDOyRS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ID#AAACF2uBl1c
tc={26570335-884c-44a1-97f9-ae21739a47b9}    (2026-08-24 02:29:03)
[Threaded comment]
 Your version of Excel allows you to read this threaded comment; however, any edits to it will get removed if the file is opened in a newer version of Excel. Learn more: https://go.microsoft.com/fwlink/?linkid=870924
Comment:
	Choose Member or Non-Member. Use N/A only when membership status is genuinely unavailable, usually for an imported historical record.</t>
      </text>
    </comment>
    <comment authorId="0" ref="K4">
      <text>
        <t xml:space="preserve">======
ID#AAACF2uBl1Y
tc={06bdcbf2-1048-4054-a4a2-4d68b1af91df}    (2026-08-24 02:29:03)
[Threaded comment]
 Your version of Excel allows you to read this threaded comment; however, any edits to it will get removed if the file is opened in a newer version of Excel. Learn more: https://go.microsoft.com/fwlink/?linkid=870924
Comment:
	Enter the total amount returned by the platform, including the original entry fee. Example: a $40 entry with $3.36 profit should be entered as $43.36.</t>
      </text>
    </comment>
    <comment authorId="0" ref="L4">
      <text>
        <t xml:space="preserve">======
ID#AAACF2uBl1k
tc={1d2aa08c-1dd6-4d34-8497-e6c4fa293235}    (2026-08-24 02:29:03)
[Threaded comment]
 Your version of Excel allows you to read this threaded comment; however, any edits to it will get removed if the file is opened in a newer version of Excel. Learn more: https://go.microsoft.com/fwlink/?linkid=870924
Comment:
	Choose Yes only when the participant was disqualified or lost the entry fee. Choose No for completed, estimated, free-game, and subscription records. Do not enter N/A.</t>
      </text>
    </comment>
    <comment authorId="0" ref="A505">
      <text>
        <t xml:space="preserve">======
ID#AAACF1oIi5I
    (2026-08-24 01:01:28)
This workbook is limited to 500 active record rows (5–504). Row 505 and all rows below it are protected/inactive. When capacity is reached, start a fresh workbook and use the Carryover alternative.</t>
      </text>
    </comment>
    <comment authorId="0" ref="A4">
      <text>
        <t xml:space="preserve">======
ID#AAACF2uBl1Q
tc={84bb1bad-245b-4bae-8fc9-dc278ce8d751}    (2026-08-24 02:29:03)
[Threaded comment]
 Your version of Excel allows you to read this threaded comment; however, any edits to it will get removed if the file is opened in a newer version of Excel. Learn more: https://go.microsoft.com/fwlink/?linkid=870924
Comment:
	Editable record inputs are A:M only. Correct values in place, or insert/delete whole worksheet rows. Desktop: paste A:M values only. Mobile: use StepCat Copy Sheet Row or copy only A:M. Never edit or paste into N:Z.</t>
      </text>
    </comment>
    <comment authorId="0" ref="B4">
      <text>
        <t xml:space="preserve">======
ID#AAACF2uBl1g
tc={3c8195c1-4d05-49b3-9e37-8134e66bfe9d}    (2026-08-24 02:29:03)
[Threaded comment]
 Your version of Excel allows you to read this threaded comment; however, any edits to it will get removed if the file is opened in a newer version of Excel. Learn more: https://go.microsoft.com/fwlink/?linkid=870924
Comment:
	You may type a date as 8/5/2026 or 08/05/2026. It displays consistently as 08/05/2026.</t>
      </text>
    </comment>
    <comment authorId="0" ref="C4">
      <text>
        <t xml:space="preserve">======
ID#AAACF2uBl1U
tc={d2ad51ef-42f7-48b8-b9e8-9efe74c15f90}    (2026-08-24 02:29:03)
[Threaded comment]
 Your version of Excel allows you to read this threaded comment; however, any edits to it will get removed if the file is opened in a newer version of Excel. Learn more: https://go.microsoft.com/fwlink/?linkid=870924
Comment:
	You may type a date as 8/11/2026 or 08/11/2026. It displays consistently with two-digit month and day.</t>
      </text>
    </comment>
  </commentList>
  <extLst>
    <ext uri="GoogleSheetsCustomDataVersion2">
      <go:sheetsCustomData xmlns:go="http://customooxmlschemas.google.com/" r:id="rId1" roundtripDataSignature="AMtx7mg8GC7tDf6Xw/xoniLiBLRf1fB8Zw=="/>
    </ext>
  </extLst>
</comments>
</file>

<file path=xl/sharedStrings.xml><?xml version="1.0" encoding="utf-8"?>
<sst xmlns="http://schemas.openxmlformats.org/spreadsheetml/2006/main" count="13196" uniqueCount="237">
  <si>
    <t>StepCat Workbook Instructions — v253.2</t>
  </si>
  <si>
    <t>StepCat Live Summary Dashboard — v253.2</t>
  </si>
  <si>
    <t>Record Review — Game Index and Field Review — v253.2</t>
  </si>
  <si>
    <t>Google Sheets working version with insertion-safe expanding formulas and migration guidance.</t>
  </si>
  <si>
    <t>Game Result</t>
  </si>
  <si>
    <t>Game Count</t>
  </si>
  <si>
    <t>Share of Paid Games</t>
  </si>
  <si>
    <t>Cash / Credit Total</t>
  </si>
  <si>
    <t>Amount</t>
  </si>
  <si>
    <t>What It Represents</t>
  </si>
  <si>
    <t>Start here</t>
  </si>
  <si>
    <t>Profit Games</t>
  </si>
  <si>
    <t>Create one Google Sheets copy for everyday use. Enter or paste records in Game Records A:M beginning at row 5. N:Z calculate automatically and must not be edited.</t>
  </si>
  <si>
    <t>Cross-device use</t>
  </si>
  <si>
    <t>The Google Sheet is the permanent cross-device record and can be maintained directly without StepCat. Open the same Sheet on any device signed into the same Google account, enter or paste A:M, and leave N:Z untouched so the workbook calculates automatically. StepCat's unfinished fields, settings, and Saved History remain in the current browser/device and do not transfer automatically.</t>
  </si>
  <si>
    <t>Lists each non-subscription game, automatic Estimate finalization status, and fields that may deserve review. N:Z use expanding formulas anchored above the record area.</t>
  </si>
  <si>
    <t>Google Sheets working version v253.2. Enter or paste in A:M only. N:Z are generated by protected expanding formulas anchored above the record area; do not edit or paste into N:Z.</t>
  </si>
  <si>
    <t>A:M — Inputs only</t>
  </si>
  <si>
    <t>Editable columns</t>
  </si>
  <si>
    <t>Use A:M for record information. N:Z are generated by protected expanding formulas anchored above the record area. Inserting a whole row above or below an existing record does not require copying formulas.</t>
  </si>
  <si>
    <t>N:Z — Protected formulas</t>
  </si>
  <si>
    <t>Game Name</t>
  </si>
  <si>
    <t>Correcting an existing record</t>
  </si>
  <si>
    <t>Edit only the incorrect A:M input cells on the existing Game Records row. N:Z recalculate automatically. Do not replace, clear, or edit the calculated cells.</t>
  </si>
  <si>
    <t>Start Date</t>
  </si>
  <si>
    <t>End Date</t>
  </si>
  <si>
    <t>Entry Mode</t>
  </si>
  <si>
    <t>Game Type</t>
  </si>
  <si>
    <t>Running Net Game Profit</t>
  </si>
  <si>
    <t>Payment / Record Type</t>
  </si>
  <si>
    <t>Gross Pot / Chips</t>
  </si>
  <si>
    <t>Entry Fee</t>
  </si>
  <si>
    <t>Eligible Players</t>
  </si>
  <si>
    <t>Desktop transfer or relocation</t>
  </si>
  <si>
    <t>Total Players</t>
  </si>
  <si>
    <t>On a computer, copy only populated A:M values. Insert a whole destination row, select its column-A cell, and use Paste special -&gt; Values only. Confirm N:Z, Record Review, and totals before deleting the original row.</t>
  </si>
  <si>
    <t>Final Payout / Chips</t>
  </si>
  <si>
    <t>Disqualified / Lost Entry Fee</t>
  </si>
  <si>
    <t>Notes</t>
  </si>
  <si>
    <t>Gross profit minus lost entry fees</t>
  </si>
  <si>
    <t>Mobile transfer or relocation</t>
  </si>
  <si>
    <t>Draw Games</t>
  </si>
  <si>
    <t>On mobile, the easiest way to add a record between existing records is to insert a whole worksheet row above the desired position, then enter or paste A:M. The red ACTIVE RECORD BOUNDARY moves down temporarily. Afterward, delete the same number of unused blank rows immediately above the red boundary to return it to row 505. Never copy an entire row because it includes N:Z.</t>
  </si>
  <si>
    <t>Profit rule</t>
  </si>
  <si>
    <t>Enter the total payout returned by the platform in Final Payout / Chips, not profit alone. Example: a $40 entry with $3.36 profit is entered as $43.36. Profit means Result Earned is above Entry Fee.</t>
  </si>
  <si>
    <t>Gross Profit Earned</t>
  </si>
  <si>
    <t>Game #</t>
  </si>
  <si>
    <t>Game Records ID</t>
  </si>
  <si>
    <t>Positive paid-game cash profit only, before lost fees or membership costs</t>
  </si>
  <si>
    <t>Draw rule</t>
  </si>
  <si>
    <t>Calculated Result</t>
  </si>
  <si>
    <t>A normal completed paid game earning the Entry Fee or less is treated as a Draw with $0.00 net profit. The exact raw estimate remains visible in Estimated Earned.</t>
  </si>
  <si>
    <t>Disqualified Games</t>
  </si>
  <si>
    <t>Finalization / Review Status</t>
  </si>
  <si>
    <t>Blank Fields to Review</t>
  </si>
  <si>
    <t>Notes from Game Records</t>
  </si>
  <si>
    <t>Loss rule</t>
  </si>
  <si>
    <t>Total Lost Entry Fees</t>
  </si>
  <si>
    <t>A monetary loss occurs only when Disqualified / Lost Entry Fee is Yes on a paid entry; the full Entry Fee is counted as lost.</t>
  </si>
  <si>
    <t>Full entry fees lost from disqualification</t>
  </si>
  <si>
    <t>Current Workbook Paid Games</t>
  </si>
  <si>
    <t>Subscriptions</t>
  </si>
  <si>
    <t>For the annual platform membership, select “Subscription / Membership Fee,” enter the annual cost in Entry Fee, and set Disqualified / Lost Entry Fee to No. Gross Pot, Eligible Players, Total Players, and Final Payout may be entered as N/A because this is a non-game expense. Subscription rows do not change Running Net Game Profit; Summary subtracts membership/subscription costs separately when calculating Actual Running Net Profit.</t>
  </si>
  <si>
    <t>Free games</t>
  </si>
  <si>
    <t>Select “Free Game / Chips” for a completed free-entry challenge or a record that awards chips/game credit. Enter chips in Final Payout / Chips when known. Choose No in Disqualified / Lost Entry Fee for a completed free game and Yes only if it was disqualified. Game Type may be N/A only when historical membership status is unavailable.</t>
  </si>
  <si>
    <t>Membership Fees</t>
  </si>
  <si>
    <t>Summary</t>
  </si>
  <si>
    <t>Summary uses exact counts and cash totals. Free Games are shown separately from paid-game Profit, Draw, and Disqualified counts, and their chips are reported in a separate non-cash total.</t>
  </si>
  <si>
    <t>Annual membership cost, tracked as a separate non-game expense</t>
  </si>
  <si>
    <t>Game Comparisons</t>
  </si>
  <si>
    <t>Prior Completed Games (reference)</t>
  </si>
  <si>
    <t>The paid table compares Member, Non-Member, Unclassified, and All Paid Games. A separate Free Game Chip Performance section shows completed, disqualified, chips-earned, eliminated-player, and elimination-rate statistics. Subscription rows are excluded.</t>
  </si>
  <si>
    <t>The sum of positive paid-game cash profit before subtracting lost entry fees or membership fees. Free Game chips are excluded.</t>
  </si>
  <si>
    <t>Net Game Profit</t>
  </si>
  <si>
    <t>Gross paid-game cash profit minus total lost entry fees. Free Game chips are excluded from cash net profit.</t>
  </si>
  <si>
    <t>Actual Running Net Profit</t>
  </si>
  <si>
    <t>Running Net Game Profit minus current and carryover annual subscription or membership costs. Free Game chips remain separate.</t>
  </si>
  <si>
    <t>Running cash net game profit minus current and carried-over membership costs</t>
  </si>
  <si>
    <t>Completed Free Games (separate credit)</t>
  </si>
  <si>
    <t>Column Z colors</t>
  </si>
  <si>
    <t>Column Z shows cumulative net game profit. Its color describes the current row's result or record type, not whether the cumulative total is positive or negative. Draw and Subscription rows may repeat the preceding total.</t>
  </si>
  <si>
    <t>Light green</t>
  </si>
  <si>
    <t>Separate</t>
  </si>
  <si>
    <t>Profit</t>
  </si>
  <si>
    <t>Free Game Chips Earned</t>
  </si>
  <si>
    <t>Light gray</t>
  </si>
  <si>
    <t>Draw</t>
  </si>
  <si>
    <t>Non-cash chips/game credit earned from Free Games; excluded from every cash profit total</t>
  </si>
  <si>
    <t>Pale yellow / cream</t>
  </si>
  <si>
    <t>Free Game / chips</t>
  </si>
  <si>
    <t>Light blue</t>
  </si>
  <si>
    <t>Subscription</t>
  </si>
  <si>
    <t>Light red</t>
  </si>
  <si>
    <t>Mobile copy and paste</t>
  </si>
  <si>
    <t>On mobile, ordinary Paste is acceptable only when the copied selection contains A:M values and no calculated columns. A StepCat Copy Sheet Row paste is preferred because it contains record values only. Confirm that the destination row's N:Z results appear automatically.</t>
  </si>
  <si>
    <t>Starting Midyear</t>
  </si>
  <si>
    <t>Choose one continuation method: transfer prior A:M records to preserve full detail, or use Carryover Setup for totals only when you are not transferring those rows. When transferring records, copy only from row 5 through your last actual record row—for example, A5:M198 if row 198 is your last record. You do not need to copy unused yellow rows down to the red boundary. Include any blank rows that occur between existing records, but never copy N:Z or the red boundary row.</t>
  </si>
  <si>
    <t>Workbook capacity</t>
  </si>
  <si>
    <t>The Google Sheets version supports a maximum of 500 active records, normally entered in rows 5–504. The ACTIVE RECORD BOUNDARY is intended to remain at row 505. If whole rows are inserted above it, the boundary moves temporarily; remove the same number of unused blank rows immediately above it to return the boundary to row 505. When all 500 active record positions are actually filled, start a fresh workbook and use the Carryover alternative.</t>
  </si>
  <si>
    <t>Editing, inserting, and deleting</t>
  </si>
  <si>
    <t>A:M are editable; N:Z are calculated. To add a record between existing records, insert a whole worksheet row above the desired position and enter or paste A:M. The red boundary may move down temporarily. After inserting rows, delete the same number of unused blank rows immediately above the red boundary to restore it to row 505. Never delete the red boundary itself, and do not use Delete cells and shift left or up.</t>
  </si>
  <si>
    <t>In-progress / ready-to-finalize status</t>
  </si>
  <si>
    <t>Estimate rows are marked automatically by End Date. Blue End Date / Entry Mode cells mean the game is still in progress, including its listed End Date. Amber means the End Date has passed and the record is ready to check and finalize. Red means an Estimate is missing a usable End Date. Record Review shows the same status in words. These markers are informational only and do not change calculations.</t>
  </si>
  <si>
    <t>Carryover alternative</t>
  </si>
  <si>
    <t>Use only when starting a fresh record list without transferring prior Game Records rows. Enter prior totals once, then continue with new records.</t>
  </si>
  <si>
    <t>Prior Net Game Profit</t>
  </si>
  <si>
    <t>Running Tally</t>
  </si>
  <si>
    <t>Exact Count</t>
  </si>
  <si>
    <t>Share</t>
  </si>
  <si>
    <t>Prior Subscription Costs</t>
  </si>
  <si>
    <t>Prior Game Count</t>
  </si>
  <si>
    <t>Step 1 — Note prior totals</t>
  </si>
  <si>
    <t>If you are not transferring the prior A:M records, open the completed or archived workbook and note its ending Net Game Profit, subscription costs already paid, and completed-game count.</t>
  </si>
  <si>
    <t>Step 2 — Enter once</t>
  </si>
  <si>
    <t>Free Game (separate credit)</t>
  </si>
  <si>
    <t>Enter those three figures once in B32:B34. Do not also copy the prior Game Records rows; using both methods would count the same activity twice.</t>
  </si>
  <si>
    <t>Step 3 — Continue records</t>
  </si>
  <si>
    <t>Begin new records on Game Records row 5. Enter only activity that occurred after the previous workbook ended.</t>
  </si>
  <si>
    <t>Total Paid Games</t>
  </si>
  <si>
    <t>Step 4 — Check totals</t>
  </si>
  <si>
    <t>Running totals and Summary should begin with the carryover figures and then add only the new workbook's records.</t>
  </si>
  <si>
    <t>Important</t>
  </si>
  <si>
    <t>Carryover is an alternative to transferring prior rows. If you copy populated A5:M records into this workbook, leave B32:B34 at 0. Prior Game Count includes completed games only; exclude Subscription rows and unfinished Estimate rows.</t>
  </si>
  <si>
    <t>Calculations</t>
  </si>
  <si>
    <t>Reference for how the workbook determines results and totals.</t>
  </si>
  <si>
    <t>Member games</t>
  </si>
  <si>
    <t>Adjusted Pot uses 100% of Gross Pot.</t>
  </si>
  <si>
    <t>Release date</t>
  </si>
  <si>
    <t>August 23, 2026</t>
  </si>
  <si>
    <t>What's new as of August 23, 2026</t>
  </si>
  <si>
    <t>Workbook v253.2 adds automatic Estimate finalization status: blue marks games still in progress through their End Date, amber marks records ready to finalize after the End Date passes, and red flags Estimates with a missing or unusable End Date. Record Review now reports the same statuses and totals. The documented whole-row insertion / boundary-restoration workflow remains in place. Core Game Records N:Z profitability formulas and Summary calculations are unchanged.</t>
  </si>
  <si>
    <t>Result Earned above Entry Fee; Net Profit is Result Earned minus Entry Fee.</t>
  </si>
  <si>
    <t>A normal completed paid game earning the Entry Fee or less records $0.00 Net Profit while preserving the exact Estimated Earned or Final Payout amount.</t>
  </si>
  <si>
    <t>Disqualified</t>
  </si>
  <si>
    <t>Paid entry: Final Payout / Chips and Result Earned / Chips should show $0.00, and the full Entry Fee is recorded as lost. Free Game: the disqualification status is preserved, 0.00 chips are earned, and no monetary Entry Fee loss is recorded.</t>
  </si>
  <si>
    <t>ROI</t>
  </si>
  <si>
    <t>Net Profit divided by Entry Fee. When Entry Fee is $0, ROI displays N/A because division by zero is undefined.</t>
  </si>
  <si>
    <t>Running Net Profit</t>
  </si>
  <si>
    <t>Prior Net Game Profit plus current-workbook cash Net Profit, accumulated row by row. Free Game chips do not change the total; Draw and Subscription rows may repeat the preceding total.</t>
  </si>
  <si>
    <t>Subscription effect</t>
  </si>
  <si>
    <t>A Subscription row is excluded from game counts and game results. Its cost does not change Running Net Game Profit and is subtracted separately when calculating Actual Running Net Profit.</t>
  </si>
  <si>
    <t>What changed in v253.0</t>
  </si>
  <si>
    <t>v253.0 corrects the native Google Sheets table types for calculated columns N, O, and T. These columns can now display either numeric results or the intentional text N/A without false red validation warnings. Formulas, inserted-row inheritance, dropdowns, visible borders, number formatting, and profitability calculations remain unchanged.</t>
  </si>
  <si>
    <t>Adding, correcting, or relocating a record</t>
  </si>
  <si>
    <t>Correct an existing record directly in A:M. To relocate or insert one, insert a whole row at the destination, paste only A:M into column A, and confirm N:Z populate. Desktop: use Paste special -&gt; Values only. Mobile: use StepCat Copy Sheet Row or copy only A:M and use regular Paste.</t>
  </si>
  <si>
    <t>Removing an unwanted record</t>
  </si>
  <si>
    <t>Deleting the entire worksheet row is safe in v253.0 because N:Z are generated by expanding formulas anchored above the record area. Clearing A:M is also safe but leaves a blank row. Never delete only some cells and shift neighboring cells.</t>
  </si>
  <si>
    <t>Verification after changes</t>
  </si>
  <si>
    <t>Confirm the calculated Result, Net Profit, Running Net Profit, Record Review, and Summary. If N:Z do not populate, immediately undo the insertion or paste. Do not copy formulas into N:Z or sort the entire workbook as a repair step.</t>
  </si>
  <si>
    <t>Protected formula area</t>
  </si>
  <si>
    <t>Do not edit, paste into, clear, or copy N:Z. Do not alter the formula anchors in row 3. Ordinary record work should be limited to A:M and whole-row insertions or deletions.</t>
  </si>
  <si>
    <t>Preferred correction method</t>
  </si>
  <si>
    <t>For one or two wrong fields, edit those A:M cells directly. For a fully rebuilt or moved record, recalculate it in StepCat, use Copy Sheet Row, paste at the destination, verify calculations, then delete the old whole row.</t>
  </si>
  <si>
    <t>Previous release — August 22, 2026</t>
  </si>
  <si>
    <t>Workbook v253.1 added shorter Free Game and Subscription labels, consistent numeric/N/A alignment, the documented mobile row-insertion workflow that restores the 500-record boundary, and expanded Best Results reporting.</t>
  </si>
  <si>
    <t>Paid Game Performance — v253.2</t>
  </si>
  <si>
    <t>Compares paid completed Member, Non-Member, and Unclassified games. Subscriptions are excluded; Free Games appear in the separate section below.</t>
  </si>
  <si>
    <t>Metric</t>
  </si>
  <si>
    <t>Member</t>
  </si>
  <si>
    <t>Non-Member</t>
  </si>
  <si>
    <t>Unclassified</t>
  </si>
  <si>
    <t>All Paid Games</t>
  </si>
  <si>
    <t>Completed Games</t>
  </si>
  <si>
    <t>Profit Rate</t>
  </si>
  <si>
    <t>Draw Rate</t>
  </si>
  <si>
    <t>Disqualification Rate</t>
  </si>
  <si>
    <t>Best Results — Live Reference Table — v253.2</t>
  </si>
  <si>
    <t>Shows notable highs, lows, and record extremes found in Game Records. Values update automatically when records are added or changed.</t>
  </si>
  <si>
    <t>Game</t>
  </si>
  <si>
    <t>Value</t>
  </si>
  <si>
    <t>Meaning</t>
  </si>
  <si>
    <t>Highest Net Profit</t>
  </si>
  <si>
    <t>Largest positive cash profit from one paid game</t>
  </si>
  <si>
    <t>Smallest Positive Net Profit</t>
  </si>
  <si>
    <t>Average Net Profit</t>
  </si>
  <si>
    <t>Smallest cash profit above $0 among profitable games</t>
  </si>
  <si>
    <t>Highest ROI</t>
  </si>
  <si>
    <t>Average ROI</t>
  </si>
  <si>
    <t>Highest return on Entry Fee among profitable paid games</t>
  </si>
  <si>
    <t>Lowest Positive ROI</t>
  </si>
  <si>
    <t>Lowest positive return among profitable paid games</t>
  </si>
  <si>
    <t>Largest Lost Entry Fee</t>
  </si>
  <si>
    <t>Largest full Entry Fee lost to disqualification</t>
  </si>
  <si>
    <t>Lowest Elimination Rate</t>
  </si>
  <si>
    <t>Lowest recorded elimination percentage among finalized games, including a true 0%</t>
  </si>
  <si>
    <t>Highest Elimination Rate</t>
  </si>
  <si>
    <t>Total Net Profit</t>
  </si>
  <si>
    <t>Highest recorded elimination percentage among finalized games</t>
  </si>
  <si>
    <t>Longest Challenge</t>
  </si>
  <si>
    <t>Review Totals</t>
  </si>
  <si>
    <t>Most weeks in a finalized challenge</t>
  </si>
  <si>
    <t>Shortest Challenge</t>
  </si>
  <si>
    <t>Fewest weeks in a finalized challenge</t>
  </si>
  <si>
    <t>Largest Player Field</t>
  </si>
  <si>
    <t>Highest Total Players value among finalized games</t>
  </si>
  <si>
    <t>Most Players Eliminated</t>
  </si>
  <si>
    <t>Most players eliminated from one finalized game</t>
  </si>
  <si>
    <t>Largest Paid-Game Gross Pot</t>
  </si>
  <si>
    <t>Unclassified Games</t>
  </si>
  <si>
    <t>Free Game Chip Performance</t>
  </si>
  <si>
    <t>Largest Gross Pot among paid game results</t>
  </si>
  <si>
    <t>Free Games are completed step challenges that award non-cash chips/game credit. They remain separate from paid-game ROI, paid-result averages, and all cash profit totals.</t>
  </si>
  <si>
    <t>Highest Free-Game Chips Earned</t>
  </si>
  <si>
    <t>Free Game Chips</t>
  </si>
  <si>
    <t>Completed Free Games</t>
  </si>
  <si>
    <t>Most chips/game credit earned from one completed Free Game</t>
  </si>
  <si>
    <t>All finalized Free Game and Disqualified — Free Game records.</t>
  </si>
  <si>
    <t>Non-disqualified Free Games</t>
  </si>
  <si>
    <t>Free Games completed without disqualification.</t>
  </si>
  <si>
    <t>Disqualified Free Games</t>
  </si>
  <si>
    <t>Free Games whose disqualification status was recorded.</t>
  </si>
  <si>
    <t>Disqualified Free Games divided by all completed Free Games.</t>
  </si>
  <si>
    <t>Average Chips Earned</t>
  </si>
  <si>
    <t>Average of recorded chip amounts only; unknown blanks are excluded, while recorded 0.00-chip results remain included.</t>
  </si>
  <si>
    <t>Total Chips Earned</t>
  </si>
  <si>
    <t>Combined non-cash chips/game credit; excluded from overall cash running net profit.</t>
  </si>
  <si>
    <t>Average Eliminated Players</t>
  </si>
  <si>
    <t>Average eliminated-player count when player totals are available.</t>
  </si>
  <si>
    <t>Average Elimination Rate</t>
  </si>
  <si>
    <t>Average elimination rate when player totals are available.</t>
  </si>
  <si>
    <t>N/A</t>
  </si>
  <si>
    <t>N/A because Free Games have a $0.00 Entry Fee.</t>
  </si>
  <si>
    <t>All Completed Games</t>
  </si>
  <si>
    <t>All Paid Games plus completed Free Games; Subscription rows are excluded.</t>
  </si>
  <si>
    <t>Total Games</t>
  </si>
  <si>
    <t>test</t>
  </si>
  <si>
    <t>Estimate</t>
  </si>
  <si>
    <t>Cash</t>
  </si>
  <si>
    <t>No</t>
  </si>
  <si>
    <t/>
  </si>
  <si>
    <t>Free Games</t>
  </si>
  <si>
    <t>Points Games</t>
  </si>
  <si>
    <t>Cash / Hybrid Games</t>
  </si>
  <si>
    <t>In Progress</t>
  </si>
  <si>
    <t>Ready to Finalize</t>
  </si>
  <si>
    <t>Estimate Date Issues</t>
  </si>
  <si>
    <t>ACTIVE RECORD BOUNDARY — 500 RECORDS MAXIMUM. DO NOT ENTER RECORDS BELOW THIS LINE.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</si>
</sst>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
    <numFmt numFmtId="166" formatCode="#,##0.00 &quot;chips&quot;"/>
    <numFmt numFmtId="167" formatCode="MM/dd/yyyy"/>
    <numFmt numFmtId="168" formatCode="$#,##0.00;[Red]-$#,##0.00"/>
  </numFmts>
  <fonts count="27">
    <font>
      <sz val="11.0"/>
      <color rgb="FF000000"/>
      <name val="Carlito"/>
      <scheme val="minor"/>
    </font>
    <font>
      <b/>
      <sz val="18.0"/>
      <color rgb="FF020C1B"/>
      <name val="Carlito"/>
    </font>
    <font>
      <b/>
      <sz val="16.0"/>
      <color rgb="FFFFFFFF"/>
      <name val="Carlito"/>
    </font>
    <font>
      <sz val="11.0"/>
      <color theme="1"/>
      <name val="Carlito"/>
    </font>
    <font>
      <b/>
      <sz val="15.0"/>
      <color rgb="FFFFFFFF"/>
      <name val="Carlito"/>
    </font>
    <font>
      <i/>
      <sz val="10.0"/>
      <color rgb="FFFFFFFF"/>
      <name val="Carlito"/>
    </font>
    <font>
      <b/>
      <sz val="11.0"/>
      <color rgb="FF020C1B"/>
      <name val="Carlito"/>
    </font>
    <font>
      <b/>
      <sz val="10.0"/>
      <color rgb="FF020C1B"/>
      <name val="Carlito"/>
    </font>
    <font>
      <sz val="11.0"/>
      <color rgb="FF020C1B"/>
      <name val="Carlito"/>
    </font>
    <font>
      <sz val="10.0"/>
      <color rgb="FF020C1B"/>
      <name val="Carlito"/>
    </font>
    <font>
      <b/>
      <sz val="12.0"/>
      <color rgb="FFFFFFFF"/>
      <name val="Carlito"/>
    </font>
    <font>
      <sz val="11.0"/>
      <color rgb="FFFFFFFF"/>
      <name val="Carlito"/>
    </font>
    <font>
      <b/>
      <color rgb="FF28160A"/>
      <name val="Carlito"/>
    </font>
    <font>
      <sz val="10.0"/>
      <color rgb="FFFFFFFF"/>
      <name val="Carlito"/>
    </font>
    <font>
      <color theme="1"/>
      <name val="Carlito"/>
    </font>
    <font>
      <b/>
      <sz val="12.0"/>
      <color rgb="FF1C0B04"/>
      <name val="Carlito"/>
    </font>
    <font>
      <b/>
      <sz val="10.0"/>
      <color rgb="FF1C0B04"/>
      <name val="Carlito"/>
    </font>
    <font>
      <b/>
      <color rgb="FFFFFFFF"/>
      <name val="Carlito"/>
    </font>
    <font>
      <b/>
      <sz val="10.0"/>
      <color rgb="FF5B1712"/>
      <name val="Carlito"/>
    </font>
    <font>
      <sz val="10.0"/>
      <color rgb="FF5B1712"/>
      <name val="Carlito"/>
    </font>
    <font>
      <b/>
      <sz val="16.0"/>
      <color rgb="FF020C1B"/>
      <name val="Carlito"/>
    </font>
    <font>
      <b/>
      <sz val="11.0"/>
      <color rgb="FFFFFFFF"/>
      <name val="Carlito"/>
    </font>
    <font/>
    <font>
      <color rgb="FFB91C1C"/>
      <name val="Carlito"/>
    </font>
    <font>
      <color rgb="FF595959"/>
      <name val="Carlito"/>
    </font>
    <font>
      <b/>
      <sz val="11.0"/>
      <color rgb="FF595959"/>
      <name val="Carlito"/>
    </font>
    <font>
      <sz val="11.0"/>
      <color rgb="FF595959"/>
      <name val="Carlito"/>
    </font>
  </fonts>
  <fills count="32">
    <fill>
      <patternFill patternType="none"/>
    </fill>
    <fill>
      <patternFill patternType="lightGray"/>
    </fill>
    <fill>
      <patternFill patternType="solid">
        <fgColor rgb="FFFF9D3C"/>
        <bgColor rgb="FFFF9D3C"/>
      </patternFill>
    </fill>
    <fill>
      <patternFill patternType="solid">
        <fgColor rgb="FF020C1B"/>
        <bgColor rgb="FF020C1B"/>
      </patternFill>
    </fill>
    <fill>
      <patternFill patternType="solid">
        <fgColor rgb="FF0C1F3A"/>
        <bgColor rgb="FF0C1F3A"/>
      </patternFill>
    </fill>
    <fill>
      <patternFill patternType="solid">
        <fgColor rgb="FFE7D7B2"/>
        <bgColor rgb="FFE7D7B2"/>
      </patternFill>
    </fill>
    <fill>
      <patternFill patternType="solid">
        <fgColor rgb="FFF5F7FA"/>
        <bgColor rgb="FFF5F7FA"/>
      </patternFill>
    </fill>
    <fill>
      <patternFill patternType="solid">
        <fgColor rgb="FFFFFDF7"/>
        <bgColor rgb="FFFFFDF7"/>
      </patternFill>
    </fill>
    <fill>
      <patternFill patternType="solid">
        <fgColor rgb="FFFFFFFF"/>
        <bgColor rgb="FFFFFFFF"/>
      </patternFill>
    </fill>
    <fill>
      <patternFill patternType="solid">
        <fgColor rgb="FFFFAA00"/>
        <bgColor rgb="FFFFAA00"/>
      </patternFill>
    </fill>
    <fill>
      <patternFill patternType="solid">
        <fgColor rgb="FFE2BA6B"/>
        <bgColor rgb="FFE2BA6B"/>
      </patternFill>
    </fill>
    <fill>
      <patternFill patternType="solid">
        <fgColor rgb="FFD9EAD3"/>
        <bgColor rgb="FFD9EAD3"/>
      </patternFill>
    </fill>
    <fill>
      <patternFill patternType="solid">
        <fgColor rgb="FFE7E6E6"/>
        <bgColor rgb="FFE7E6E6"/>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F3A13C"/>
        <bgColor rgb="FFF3A13C"/>
      </patternFill>
    </fill>
    <fill>
      <patternFill patternType="solid">
        <fgColor rgb="FFFFF2A8"/>
        <bgColor rgb="FFFFF2A8"/>
      </patternFill>
    </fill>
    <fill>
      <patternFill patternType="solid">
        <fgColor rgb="FF385B72"/>
        <bgColor rgb="FF385B72"/>
      </patternFill>
    </fill>
    <fill>
      <patternFill patternType="solid">
        <fgColor rgb="FFF8E7DE"/>
        <bgColor rgb="FFF8E7DE"/>
      </patternFill>
    </fill>
    <fill>
      <patternFill patternType="solid">
        <fgColor rgb="FFFF9900"/>
        <bgColor rgb="FFFF9900"/>
      </patternFill>
    </fill>
    <fill>
      <patternFill patternType="solid">
        <fgColor rgb="FFFFF2D8"/>
        <bgColor rgb="FFFFF2D8"/>
      </patternFill>
    </fill>
    <fill>
      <patternFill patternType="solid">
        <fgColor rgb="FFE2C67F"/>
        <bgColor rgb="FFE2C67F"/>
      </patternFill>
    </fill>
    <fill>
      <patternFill patternType="solid">
        <fgColor rgb="FFF9F2D6"/>
        <bgColor rgb="FFF9F2D6"/>
      </patternFill>
    </fill>
    <fill>
      <patternFill patternType="solid">
        <fgColor rgb="FFF4ADAD"/>
        <bgColor rgb="FFF4ADAD"/>
      </patternFill>
    </fill>
    <fill>
      <patternFill patternType="solid">
        <fgColor rgb="FFFFE5E5"/>
        <bgColor rgb="FFFFE5E5"/>
      </patternFill>
    </fill>
    <fill>
      <patternFill patternType="solid">
        <fgColor rgb="FFADC1DB"/>
        <bgColor rgb="FFADC1DB"/>
      </patternFill>
    </fill>
    <fill>
      <patternFill patternType="solid">
        <fgColor rgb="FFE8EFF7"/>
        <bgColor rgb="FFE8EFF7"/>
      </patternFill>
    </fill>
    <fill>
      <patternFill patternType="solid">
        <fgColor rgb="FFFFF2D6"/>
        <bgColor rgb="FFFFF2D6"/>
      </patternFill>
    </fill>
    <fill>
      <patternFill patternType="solid">
        <fgColor rgb="FFE8F2F9"/>
        <bgColor rgb="FFE8F2F9"/>
      </patternFill>
    </fill>
    <fill>
      <patternFill patternType="solid">
        <fgColor rgb="FFB91C1C"/>
        <bgColor rgb="FFB91C1C"/>
      </patternFill>
    </fill>
    <fill>
      <patternFill patternType="solid">
        <fgColor rgb="FFB7B7B7"/>
        <bgColor rgb="FFB7B7B7"/>
      </patternFill>
    </fill>
  </fills>
  <borders count="3">
    <border/>
    <border>
      <bottom style="thick">
        <color rgb="FF020C1B"/>
      </bottom>
    </border>
    <border>
      <top style="thick">
        <color rgb="FF020C1B"/>
      </top>
      <bottom style="thick">
        <color rgb="FF020C1B"/>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3" fontId="2" numFmtId="0" xfId="0" applyAlignment="1" applyFill="1" applyFont="1">
      <alignment horizontal="center" shrinkToFit="0" vertical="center" wrapText="1"/>
    </xf>
    <xf borderId="0" fillId="0" fontId="3" numFmtId="0" xfId="0" applyAlignment="1" applyFont="1">
      <alignment shrinkToFit="0" wrapText="1"/>
    </xf>
    <xf borderId="0" fillId="3" fontId="4" numFmtId="0" xfId="0" applyAlignment="1" applyFill="1" applyFont="1">
      <alignment horizontal="center" shrinkToFit="0" vertical="center" wrapText="1"/>
    </xf>
    <xf borderId="0" fillId="4" fontId="5" numFmtId="0" xfId="0" applyAlignment="1" applyFill="1" applyFont="1">
      <alignment horizontal="left" shrinkToFit="0" vertical="center" wrapText="1"/>
    </xf>
    <xf borderId="0" fillId="2" fontId="6" numFmtId="0" xfId="0" applyAlignment="1" applyFill="1" applyFont="1">
      <alignment horizontal="center" shrinkToFit="0" vertical="center" wrapText="1"/>
    </xf>
    <xf borderId="0" fillId="5" fontId="7" numFmtId="0" xfId="0" applyAlignment="1" applyFill="1" applyFont="1">
      <alignment horizontal="left" shrinkToFit="0" vertical="center" wrapText="1"/>
    </xf>
    <xf borderId="0" fillId="6" fontId="8" numFmtId="0" xfId="0" applyAlignment="1" applyFill="1" applyFont="1">
      <alignment shrinkToFit="0" vertical="center" wrapText="1"/>
    </xf>
    <xf borderId="0" fillId="7" fontId="9" numFmtId="0" xfId="0" applyAlignment="1" applyFill="1" applyFont="1">
      <alignment horizontal="left" shrinkToFit="0" vertical="center" wrapText="1"/>
    </xf>
    <xf borderId="0" fillId="8" fontId="9" numFmtId="0" xfId="0" applyAlignment="1" applyFill="1" applyFont="1">
      <alignment shrinkToFit="0" vertical="center" wrapText="1"/>
    </xf>
    <xf borderId="0" fillId="3" fontId="10" numFmtId="0" xfId="0" applyAlignment="1" applyFill="1" applyFont="1">
      <alignment horizontal="center" shrinkToFit="0" vertical="center" wrapText="1"/>
    </xf>
    <xf borderId="0" fillId="4" fontId="11" numFmtId="0" xfId="0" applyAlignment="1" applyFill="1" applyFont="1">
      <alignment horizontal="center" shrinkToFit="0" vertical="center" wrapText="1"/>
    </xf>
    <xf borderId="0" fillId="9" fontId="6" numFmtId="0" xfId="0" applyAlignment="1" applyFill="1" applyFont="1">
      <alignment horizontal="center" shrinkToFit="0" vertical="center" wrapText="1"/>
    </xf>
    <xf borderId="0" fillId="10" fontId="12" numFmtId="0" xfId="0" applyAlignment="1" applyFill="1" applyFont="1">
      <alignment horizontal="center" shrinkToFit="0" vertical="center" wrapText="1"/>
    </xf>
    <xf borderId="0" fillId="6" fontId="8" numFmtId="164" xfId="0" applyAlignment="1" applyFill="1" applyFont="1" applyNumberFormat="1">
      <alignment shrinkToFit="0" vertical="center" wrapText="1"/>
    </xf>
    <xf borderId="0" fillId="0" fontId="3" numFmtId="0" xfId="0" applyAlignment="1" applyFont="1">
      <alignment shrinkToFit="0" vertical="center" wrapText="1"/>
    </xf>
    <xf borderId="0" fillId="6" fontId="8" numFmtId="165" xfId="0" applyAlignment="1" applyFill="1" applyFont="1" applyNumberFormat="1">
      <alignment shrinkToFit="0" vertical="center" wrapText="1"/>
    </xf>
    <xf borderId="0" fillId="0" fontId="13" numFmtId="0" xfId="0" applyAlignment="1" applyFont="1">
      <alignment horizontal="center" shrinkToFit="0" vertical="center" wrapText="1"/>
    </xf>
    <xf borderId="0" fillId="6" fontId="8" numFmtId="1" xfId="0" applyAlignment="1" applyFill="1" applyFont="1" applyNumberFormat="1">
      <alignment shrinkToFit="0" vertical="center" wrapText="1"/>
    </xf>
    <xf borderId="0" fillId="6" fontId="8" numFmtId="1" xfId="0" applyAlignment="1" applyFill="1" applyFont="1" applyNumberFormat="1">
      <alignment horizontal="right" shrinkToFit="0" vertical="center" wrapText="1"/>
    </xf>
    <xf borderId="0" fillId="6" fontId="8" numFmtId="0" xfId="0" applyAlignment="1" applyFill="1" applyFont="1">
      <alignment horizontal="center" shrinkToFit="0" vertical="center" wrapText="1"/>
    </xf>
    <xf borderId="0" fillId="11" fontId="7" numFmtId="0" xfId="0" applyAlignment="1" applyFill="1" applyFont="1">
      <alignment horizontal="left" shrinkToFit="0" vertical="center" wrapText="1"/>
    </xf>
    <xf borderId="0" fillId="0" fontId="13" numFmtId="0" xfId="0" applyAlignment="1" applyFont="1">
      <alignment shrinkToFit="0" vertical="center" wrapText="1"/>
    </xf>
    <xf borderId="0" fillId="12" fontId="7" numFmtId="0" xfId="0" applyAlignment="1" applyFill="1" applyFont="1">
      <alignment horizontal="left" shrinkToFit="0" vertical="center" wrapText="1"/>
    </xf>
    <xf borderId="0" fillId="6" fontId="8" numFmtId="166" xfId="0" applyAlignment="1" applyFill="1" applyFont="1" applyNumberFormat="1">
      <alignment shrinkToFit="0" vertical="center" wrapText="1"/>
    </xf>
    <xf borderId="0" fillId="13" fontId="7" numFmtId="0" xfId="0" applyAlignment="1" applyFill="1" applyFont="1">
      <alignment horizontal="left" shrinkToFit="0" vertical="center" wrapText="1"/>
    </xf>
    <xf borderId="0" fillId="14" fontId="7" numFmtId="0" xfId="0" applyAlignment="1" applyFill="1" applyFont="1">
      <alignment horizontal="left" shrinkToFit="0" vertical="center" wrapText="1"/>
    </xf>
    <xf borderId="0" fillId="15" fontId="7" numFmtId="0" xfId="0" applyAlignment="1" applyFill="1" applyFont="1">
      <alignment horizontal="left" shrinkToFit="0" vertical="center" wrapText="1"/>
    </xf>
    <xf borderId="0" fillId="8" fontId="9" numFmtId="0" xfId="0" applyAlignment="1" applyFill="1" applyFont="1">
      <alignment horizontal="left" shrinkToFit="0" vertical="center" wrapText="1"/>
    </xf>
    <xf borderId="0" fillId="0" fontId="14" numFmtId="0" xfId="0" applyAlignment="1" applyFont="1">
      <alignment shrinkToFit="0" vertical="center" wrapText="1"/>
    </xf>
    <xf borderId="0" fillId="16" fontId="15" numFmtId="0" xfId="0" applyAlignment="1" applyFill="1" applyFont="1">
      <alignment horizontal="center" shrinkToFit="0" vertical="center" wrapText="1"/>
    </xf>
    <xf borderId="0" fillId="16" fontId="16" numFmtId="0" xfId="0" applyAlignment="1" applyFill="1" applyFont="1">
      <alignment horizontal="left" shrinkToFit="0" vertical="center" wrapText="1"/>
    </xf>
    <xf borderId="0" fillId="2" fontId="7" numFmtId="0" xfId="0" applyAlignment="1" applyFill="1" applyFont="1">
      <alignment horizontal="left" shrinkToFit="0" vertical="center" wrapText="1"/>
    </xf>
    <xf borderId="0" fillId="17" fontId="7" numFmtId="165" xfId="0" applyAlignment="1" applyFill="1" applyFont="1" applyNumberFormat="1">
      <alignment horizontal="center" shrinkToFit="0" vertical="center" wrapText="1"/>
    </xf>
    <xf borderId="0" fillId="18" fontId="17" numFmtId="0" xfId="0" applyAlignment="1" applyFill="1" applyFont="1">
      <alignment horizontal="center" shrinkToFit="0" vertical="center" wrapText="1"/>
    </xf>
    <xf borderId="0" fillId="17" fontId="7" numFmtId="1" xfId="0" applyAlignment="1" applyFill="1" applyFont="1" applyNumberFormat="1">
      <alignment horizontal="center" shrinkToFit="0" vertical="center" wrapText="1"/>
    </xf>
    <xf borderId="0" fillId="6" fontId="8" numFmtId="164" xfId="0" applyAlignment="1" applyFill="1" applyFont="1" applyNumberFormat="1">
      <alignment horizontal="center" shrinkToFit="0" vertical="center" wrapText="1"/>
    </xf>
    <xf borderId="0" fillId="6" fontId="8" numFmtId="164" xfId="0" applyAlignment="1" applyFill="1" applyFont="1" applyNumberFormat="1">
      <alignment horizontal="right" shrinkToFit="0" vertical="center" wrapText="1"/>
    </xf>
    <xf borderId="0" fillId="8" fontId="7" numFmtId="0" xfId="0" applyAlignment="1" applyFill="1" applyFont="1">
      <alignment horizontal="center" shrinkToFit="0" vertical="center" wrapText="1"/>
    </xf>
    <xf borderId="0" fillId="19" fontId="7" numFmtId="0" xfId="0" applyAlignment="1" applyFill="1" applyFont="1">
      <alignment horizontal="left" shrinkToFit="0" vertical="center" wrapText="1"/>
    </xf>
    <xf borderId="0" fillId="19" fontId="9" numFmtId="0" xfId="0" applyAlignment="1" applyFill="1" applyFont="1">
      <alignment horizontal="left" shrinkToFit="0" vertical="center" wrapText="1"/>
    </xf>
    <xf borderId="0" fillId="8" fontId="7" numFmtId="0" xfId="0" applyAlignment="1" applyFill="1" applyFont="1">
      <alignment horizontal="left" shrinkToFit="0" vertical="center" wrapText="1"/>
    </xf>
    <xf quotePrefix="1" borderId="0" fillId="7" fontId="9" numFmtId="0" xfId="0" applyAlignment="1" applyFill="1" applyFont="1">
      <alignment horizontal="left" shrinkToFit="0" vertical="center" wrapText="1"/>
    </xf>
    <xf borderId="0" fillId="20" fontId="7" numFmtId="0" xfId="0" applyAlignment="1" applyFill="1" applyFont="1">
      <alignment horizontal="left" shrinkToFit="0" vertical="center" wrapText="1"/>
    </xf>
    <xf borderId="0" fillId="21" fontId="9" numFmtId="0" xfId="0" applyAlignment="1" applyFill="1" applyFont="1">
      <alignment horizontal="left" shrinkToFit="0" vertical="center" wrapText="1"/>
    </xf>
    <xf borderId="0" fillId="22" fontId="7" numFmtId="0" xfId="0" applyAlignment="1" applyFill="1" applyFont="1">
      <alignment horizontal="left" shrinkToFit="0" vertical="center" wrapText="1"/>
    </xf>
    <xf borderId="0" fillId="23" fontId="9" numFmtId="0" xfId="0" applyAlignment="1" applyFill="1" applyFont="1">
      <alignment horizontal="left" shrinkToFit="0" vertical="center" wrapText="1"/>
    </xf>
    <xf borderId="0" fillId="24" fontId="18" numFmtId="0" xfId="0" applyAlignment="1" applyFill="1" applyFont="1">
      <alignment horizontal="left" shrinkToFit="0" vertical="center" wrapText="1"/>
    </xf>
    <xf borderId="0" fillId="25" fontId="19" numFmtId="0" xfId="0" applyAlignment="1" applyFill="1" applyFont="1">
      <alignment horizontal="left" shrinkToFit="0" vertical="center" wrapText="1"/>
    </xf>
    <xf borderId="0" fillId="26" fontId="7" numFmtId="0" xfId="0" applyAlignment="1" applyFill="1" applyFont="1">
      <alignment horizontal="left" shrinkToFit="0" vertical="center" wrapText="1"/>
    </xf>
    <xf borderId="0" fillId="27" fontId="9" numFmtId="0" xfId="0" applyAlignment="1" applyFill="1" applyFont="1">
      <alignment shrinkToFit="0" vertical="center" wrapText="1"/>
    </xf>
    <xf borderId="0" fillId="5" fontId="7" numFmtId="0" xfId="0" applyAlignment="1" applyFill="1" applyFont="1">
      <alignment shrinkToFit="0" vertical="center" wrapText="1"/>
    </xf>
    <xf borderId="0" fillId="2" fontId="20" numFmtId="0" xfId="0" applyAlignment="1" applyFill="1" applyFont="1">
      <alignment horizontal="center" shrinkToFit="0" vertical="center" wrapText="1"/>
    </xf>
    <xf borderId="0" fillId="4" fontId="5" numFmtId="0" xfId="0" applyAlignment="1" applyFill="1" applyFont="1">
      <alignment horizontal="center" shrinkToFit="0" vertical="center" wrapText="1"/>
    </xf>
    <xf borderId="0" fillId="6" fontId="8" numFmtId="165" xfId="0" applyAlignment="1" applyFill="1" applyFont="1" applyNumberFormat="1">
      <alignment horizontal="right" shrinkToFit="0" vertical="center" wrapText="1"/>
    </xf>
    <xf borderId="0" fillId="6" fontId="8" numFmtId="0" xfId="0" applyAlignment="1" applyFill="1" applyFont="1">
      <alignment horizontal="left" shrinkToFit="0" vertical="center" wrapText="1"/>
    </xf>
    <xf borderId="0" fillId="6" fontId="8" numFmtId="166" xfId="0" applyAlignment="1" applyFill="1" applyFont="1" applyNumberFormat="1">
      <alignment horizontal="right" shrinkToFit="0" vertical="center" wrapText="1"/>
    </xf>
    <xf borderId="0" fillId="6" fontId="8" numFmtId="1" xfId="0" applyAlignment="1" applyFill="1" applyFont="1" applyNumberFormat="1">
      <alignment horizontal="center" shrinkToFit="0" vertical="center" wrapText="1"/>
    </xf>
    <xf borderId="0" fillId="6" fontId="8" numFmtId="166" xfId="0" applyAlignment="1" applyFill="1" applyFont="1" applyNumberFormat="1">
      <alignment horizontal="center" shrinkToFit="0" vertical="center" wrapText="1"/>
    </xf>
    <xf borderId="0" fillId="6" fontId="8" numFmtId="3" xfId="0" applyAlignment="1" applyFill="1" applyFont="1" applyNumberFormat="1">
      <alignment horizontal="center" shrinkToFit="0" vertical="center" wrapText="1"/>
    </xf>
    <xf borderId="0" fillId="4" fontId="21" numFmtId="0" xfId="0" applyAlignment="1" applyFill="1" applyFont="1">
      <alignment shrinkToFit="0" vertical="center" wrapText="1"/>
    </xf>
    <xf borderId="0" fillId="17" fontId="6" numFmtId="1" xfId="0" applyAlignment="1" applyFill="1" applyFont="1" applyNumberFormat="1">
      <alignment horizontal="center" shrinkToFit="0" vertical="center" wrapText="1"/>
    </xf>
    <xf borderId="0" fillId="28" fontId="3" numFmtId="0" xfId="0" applyAlignment="1" applyFill="1" applyFont="1">
      <alignment readingOrder="0" shrinkToFit="0" vertical="bottom" wrapText="1"/>
    </xf>
    <xf borderId="0" fillId="28" fontId="3" numFmtId="167" xfId="0" applyAlignment="1" applyFill="1" applyFont="1" applyNumberFormat="1">
      <alignment horizontal="right" readingOrder="0" vertical="bottom"/>
    </xf>
    <xf borderId="0" fillId="28" fontId="3" numFmtId="168" xfId="0" applyAlignment="1" applyFill="1" applyFont="1" applyNumberFormat="1">
      <alignment horizontal="right" readingOrder="0" vertical="bottom"/>
    </xf>
    <xf borderId="0" fillId="28" fontId="3" numFmtId="1" xfId="0" applyAlignment="1" applyFill="1" applyFont="1" applyNumberFormat="1">
      <alignment horizontal="right" readingOrder="0" vertical="bottom"/>
    </xf>
    <xf borderId="0" fillId="28" fontId="3" numFmtId="4" xfId="0" applyAlignment="1" applyFill="1" applyFont="1" applyNumberFormat="1">
      <alignment horizontal="right" vertical="bottom"/>
    </xf>
    <xf borderId="0" fillId="28" fontId="3" numFmtId="0" xfId="0" applyAlignment="1" applyFill="1" applyFont="1">
      <alignment shrinkToFit="0" vertical="bottom" wrapText="1"/>
    </xf>
    <xf borderId="0" fillId="29" fontId="14" numFmtId="4" xfId="0" applyAlignment="1" applyFill="1" applyFont="1" applyNumberFormat="1">
      <alignment vertical="center"/>
    </xf>
    <xf borderId="0" fillId="29" fontId="14" numFmtId="164" xfId="0" applyAlignment="1" applyFill="1" applyFont="1" applyNumberFormat="1">
      <alignment vertical="center"/>
    </xf>
    <xf borderId="0" fillId="29" fontId="14" numFmtId="0" xfId="0" applyAlignment="1" applyFill="1" applyFont="1">
      <alignment shrinkToFit="0" vertical="center" wrapText="1"/>
    </xf>
    <xf borderId="0" fillId="29" fontId="14" numFmtId="1" xfId="0" applyAlignment="1" applyFill="1" applyFont="1" applyNumberFormat="1">
      <alignment vertical="center"/>
    </xf>
    <xf borderId="0" fillId="29" fontId="14" numFmtId="168" xfId="0" applyAlignment="1" applyFill="1" applyFont="1" applyNumberFormat="1">
      <alignment vertical="center"/>
    </xf>
    <xf borderId="0" fillId="28" fontId="3" numFmtId="167" xfId="0" applyAlignment="1" applyFill="1" applyFont="1" applyNumberFormat="1">
      <alignment horizontal="right" vertical="bottom"/>
    </xf>
    <xf borderId="0" fillId="28" fontId="3" numFmtId="168" xfId="0" applyAlignment="1" applyFill="1" applyFont="1" applyNumberFormat="1">
      <alignment horizontal="right" vertical="bottom"/>
    </xf>
    <xf borderId="0" fillId="28" fontId="3" numFmtId="1" xfId="0" applyAlignment="1" applyFill="1" applyFont="1" applyNumberFormat="1">
      <alignment horizontal="right" vertical="bottom"/>
    </xf>
    <xf borderId="0" fillId="28" fontId="3" numFmtId="0" xfId="0" applyAlignment="1" applyFill="1" applyFont="1">
      <alignment vertical="bottom"/>
    </xf>
    <xf borderId="0" fillId="28" fontId="3" numFmtId="4" xfId="0" applyAlignment="1" applyFill="1" applyFont="1" applyNumberFormat="1">
      <alignment vertical="bottom"/>
    </xf>
    <xf borderId="0" fillId="28" fontId="3" numFmtId="0" xfId="0" applyAlignment="1" applyFill="1" applyFont="1">
      <alignment shrinkToFit="0" wrapText="1"/>
    </xf>
    <xf borderId="0" fillId="28" fontId="3" numFmtId="167" xfId="0" applyAlignment="1" applyFill="1" applyFont="1" applyNumberFormat="1">
      <alignment horizontal="right"/>
    </xf>
    <xf borderId="0" fillId="28" fontId="3" numFmtId="168" xfId="0" applyAlignment="1" applyFill="1" applyFont="1" applyNumberFormat="1">
      <alignment horizontal="right"/>
    </xf>
    <xf borderId="0" fillId="28" fontId="3" numFmtId="1" xfId="0" applyAlignment="1" applyFill="1" applyFont="1" applyNumberFormat="1">
      <alignment horizontal="right"/>
    </xf>
    <xf borderId="0" fillId="28" fontId="3" numFmtId="4" xfId="0" applyFill="1" applyFont="1" applyNumberFormat="1"/>
    <xf borderId="0" fillId="28" fontId="3" numFmtId="4" xfId="0" applyAlignment="1" applyFill="1" applyFont="1" applyNumberFormat="1">
      <alignment horizontal="right"/>
    </xf>
    <xf borderId="0" fillId="28" fontId="3" numFmtId="168" xfId="0" applyFill="1" applyFont="1" applyNumberFormat="1"/>
    <xf borderId="0" fillId="28" fontId="3" numFmtId="1" xfId="0" applyFill="1" applyFont="1" applyNumberFormat="1"/>
    <xf borderId="0" fillId="28" fontId="3" numFmtId="0" xfId="0" applyFill="1" applyFont="1"/>
    <xf borderId="0" fillId="28" fontId="3" numFmtId="167" xfId="0" applyFill="1" applyFont="1" applyNumberFormat="1"/>
    <xf borderId="1" fillId="28" fontId="3" numFmtId="0" xfId="0" applyBorder="1" applyFill="1" applyFont="1"/>
    <xf borderId="1" fillId="28" fontId="3" numFmtId="167" xfId="0" applyBorder="1" applyFill="1" applyFont="1" applyNumberFormat="1"/>
    <xf borderId="1" fillId="28" fontId="3" numFmtId="168" xfId="0" applyBorder="1" applyFill="1" applyFont="1" applyNumberFormat="1"/>
    <xf borderId="1" fillId="28" fontId="3" numFmtId="1" xfId="0" applyBorder="1" applyFill="1" applyFont="1" applyNumberFormat="1"/>
    <xf borderId="1" fillId="28" fontId="3" numFmtId="4" xfId="0" applyBorder="1" applyFill="1" applyFont="1" applyNumberFormat="1"/>
    <xf borderId="1" fillId="28" fontId="3" numFmtId="0" xfId="0" applyAlignment="1" applyBorder="1" applyFill="1" applyFont="1">
      <alignment shrinkToFit="0" wrapText="1"/>
    </xf>
    <xf borderId="2" fillId="30" fontId="21" numFmtId="0" xfId="0" applyAlignment="1" applyBorder="1" applyFill="1" applyFont="1">
      <alignment horizontal="center" shrinkToFit="0" vertical="center" wrapText="1"/>
    </xf>
    <xf borderId="2" fillId="0" fontId="22" numFmtId="0" xfId="0" applyBorder="1" applyFont="1"/>
    <xf borderId="2" fillId="30" fontId="23" numFmtId="4" xfId="0" applyAlignment="1" applyBorder="1" applyFill="1" applyFont="1" applyNumberFormat="1">
      <alignment shrinkToFit="0" vertical="center" wrapText="1"/>
    </xf>
    <xf borderId="2" fillId="30" fontId="23" numFmtId="164" xfId="0" applyAlignment="1" applyBorder="1" applyFill="1" applyFont="1" applyNumberFormat="1">
      <alignment shrinkToFit="0" vertical="center" wrapText="1"/>
    </xf>
    <xf borderId="2" fillId="30" fontId="23" numFmtId="0" xfId="0" applyAlignment="1" applyBorder="1" applyFill="1" applyFont="1">
      <alignment shrinkToFit="0" vertical="center" wrapText="1"/>
    </xf>
    <xf borderId="2" fillId="30" fontId="23" numFmtId="1" xfId="0" applyAlignment="1" applyBorder="1" applyFill="1" applyFont="1" applyNumberFormat="1">
      <alignment shrinkToFit="0" vertical="center" wrapText="1"/>
    </xf>
    <xf borderId="2" fillId="30" fontId="23" numFmtId="168" xfId="0" applyAlignment="1" applyBorder="1" applyFill="1" applyFont="1" applyNumberFormat="1">
      <alignment shrinkToFit="0" vertical="center" wrapText="1"/>
    </xf>
    <xf borderId="0" fillId="31" fontId="24" numFmtId="0" xfId="0" applyAlignment="1" applyFill="1" applyFont="1">
      <alignment shrinkToFit="0" vertical="center" wrapText="1"/>
    </xf>
    <xf borderId="0" fillId="31" fontId="24" numFmtId="167" xfId="0" applyAlignment="1" applyFill="1" applyFont="1" applyNumberFormat="1">
      <alignment vertical="center"/>
    </xf>
    <xf borderId="0" fillId="31" fontId="24" numFmtId="168" xfId="0" applyAlignment="1" applyFill="1" applyFont="1" applyNumberFormat="1">
      <alignment vertical="center"/>
    </xf>
    <xf borderId="0" fillId="31" fontId="24" numFmtId="1" xfId="0" applyAlignment="1" applyFill="1" applyFont="1" applyNumberFormat="1">
      <alignment vertical="center"/>
    </xf>
    <xf borderId="0" fillId="31" fontId="24" numFmtId="4" xfId="0" applyAlignment="1" applyFill="1" applyFont="1" applyNumberFormat="1">
      <alignment vertical="center"/>
    </xf>
    <xf borderId="0" fillId="31" fontId="24" numFmtId="164" xfId="0" applyAlignment="1" applyFill="1" applyFont="1" applyNumberFormat="1">
      <alignment vertical="center"/>
    </xf>
    <xf borderId="0" fillId="31" fontId="25" numFmtId="0" xfId="0" applyAlignment="1" applyFill="1" applyFont="1">
      <alignment horizontal="center" shrinkToFit="0" vertical="center" wrapText="1"/>
    </xf>
    <xf borderId="0" fillId="31" fontId="26" numFmtId="0" xfId="0" applyAlignment="1" applyFill="1" applyFont="1">
      <alignment shrinkToFit="0" vertical="center" wrapText="1"/>
    </xf>
    <xf borderId="0" fillId="31" fontId="26" numFmtId="167" xfId="0" applyAlignment="1" applyFill="1" applyFont="1" applyNumberFormat="1">
      <alignment vertical="center"/>
    </xf>
    <xf borderId="0" fillId="31" fontId="26" numFmtId="168" xfId="0" applyAlignment="1" applyFill="1" applyFont="1" applyNumberFormat="1">
      <alignment vertical="center"/>
    </xf>
    <xf borderId="0" fillId="31" fontId="26" numFmtId="1" xfId="0" applyAlignment="1" applyFill="1" applyFont="1" applyNumberFormat="1">
      <alignment vertical="center"/>
    </xf>
    <xf borderId="0" fillId="31" fontId="26" numFmtId="4" xfId="0" applyAlignment="1" applyFill="1" applyFont="1" applyNumberFormat="1">
      <alignment vertical="center"/>
    </xf>
    <xf borderId="0" fillId="31" fontId="26" numFmtId="164" xfId="0" applyAlignment="1" applyFill="1" applyFont="1" applyNumberFormat="1">
      <alignment vertical="center"/>
    </xf>
  </cellXfs>
  <cellStyles count="1">
    <cellStyle xfId="0" name="Normal" builtinId="0"/>
  </cellStyles>
  <dxfs count="11">
    <dxf>
      <font>
        <b/>
        <color rgb="FF1E5B28"/>
      </font>
      <fill>
        <patternFill patternType="none"/>
      </fill>
      <border/>
    </dxf>
    <dxf>
      <font>
        <b/>
        <color rgb="FF892D28"/>
      </font>
      <fill>
        <patternFill patternType="none"/>
      </fill>
      <border/>
    </dxf>
    <dxf>
      <font>
        <b/>
        <color rgb="FF1F5D2A"/>
      </font>
      <fill>
        <patternFill patternType="solid">
          <fgColor rgb="FFE2F0D9"/>
          <bgColor rgb="FFE2F0D9"/>
        </patternFill>
      </fill>
      <border/>
    </dxf>
    <dxf>
      <font>
        <b/>
        <color rgb="FF244A66"/>
      </font>
      <fill>
        <patternFill patternType="solid">
          <fgColor rgb="FFDDEBF7"/>
          <bgColor rgb="FFDDEBF7"/>
        </patternFill>
      </fill>
      <border/>
    </dxf>
    <dxf>
      <font>
        <b/>
        <color rgb="FF8A2F2A"/>
      </font>
      <fill>
        <patternFill patternType="solid">
          <fgColor rgb="FFFCE4D6"/>
          <bgColor rgb="FFFCE4D6"/>
        </patternFill>
      </fill>
      <border/>
    </dxf>
    <dxf>
      <font>
        <b/>
        <color rgb="FF6B4A12"/>
      </font>
      <fill>
        <patternFill patternType="solid">
          <fgColor rgb="FFFFF4D6"/>
          <bgColor rgb="FFFFF4D6"/>
        </patternFill>
      </fill>
      <border/>
    </dxf>
    <dxf>
      <font>
        <color rgb="FF020C1B"/>
      </font>
      <fill>
        <patternFill patternType="none"/>
      </fill>
      <border/>
    </dxf>
    <dxf>
      <font>
        <color rgb="FF020C1B"/>
      </font>
      <fill>
        <patternFill patternType="solid">
          <fgColor rgb="FFF5F7FA"/>
          <bgColor rgb="FFF5F7FA"/>
        </patternFill>
      </fill>
      <border/>
    </dxf>
    <dxf>
      <font>
        <b/>
        <color rgb="FF7A4E00"/>
      </font>
      <fill>
        <patternFill patternType="solid">
          <fgColor rgb="FFFFF8E1"/>
          <bgColor rgb="FFFFF8E1"/>
        </patternFill>
      </fill>
      <border/>
    </dxf>
    <dxf>
      <font/>
      <fill>
        <patternFill patternType="solid">
          <fgColor rgb="FF0C1F3A"/>
          <bgColor rgb="FF0C1F3A"/>
        </patternFill>
      </fill>
      <border/>
    </dxf>
    <dxf>
      <font/>
      <fill>
        <patternFill patternType="solid">
          <fgColor rgb="FF132A49"/>
          <bgColor rgb="FF132A4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5.0"/>
    <col customWidth="1" min="2" max="2" width="82.0"/>
    <col customWidth="1" min="3" max="10" width="12.0"/>
  </cols>
  <sheetData>
    <row r="1">
      <c r="A1" s="1" t="s">
        <v>0</v>
      </c>
      <c r="C1" s="1"/>
      <c r="D1" s="1"/>
      <c r="E1" s="1"/>
      <c r="F1" s="1"/>
      <c r="G1" s="1"/>
      <c r="H1" s="1"/>
      <c r="I1" s="1"/>
      <c r="J1" s="1"/>
    </row>
    <row r="2">
      <c r="A2" s="5" t="s">
        <v>3</v>
      </c>
      <c r="C2" s="5"/>
      <c r="D2" s="5"/>
      <c r="E2" s="5"/>
      <c r="F2" s="5"/>
      <c r="G2" s="5"/>
      <c r="H2" s="5"/>
      <c r="I2" s="5"/>
      <c r="J2" s="5"/>
    </row>
    <row r="3">
      <c r="A3" s="7" t="s">
        <v>10</v>
      </c>
      <c r="B3" s="9" t="s">
        <v>12</v>
      </c>
      <c r="C3" s="10"/>
      <c r="D3" s="10"/>
      <c r="E3" s="10"/>
      <c r="F3" s="10"/>
      <c r="G3" s="10"/>
      <c r="H3" s="10"/>
      <c r="I3" s="10"/>
      <c r="J3" s="10"/>
    </row>
    <row r="4" ht="58.5" customHeight="1">
      <c r="A4" s="7" t="s">
        <v>13</v>
      </c>
      <c r="B4" s="9" t="s">
        <v>14</v>
      </c>
      <c r="C4" s="10"/>
      <c r="D4" s="10"/>
      <c r="E4" s="10"/>
      <c r="F4" s="10"/>
      <c r="G4" s="10"/>
      <c r="H4" s="10"/>
      <c r="I4" s="10"/>
      <c r="J4" s="10"/>
    </row>
    <row r="5">
      <c r="A5" s="7" t="s">
        <v>18</v>
      </c>
      <c r="B5" s="9" t="s">
        <v>19</v>
      </c>
      <c r="C5" s="10"/>
      <c r="D5" s="10"/>
      <c r="E5" s="10"/>
      <c r="F5" s="10"/>
      <c r="G5" s="10"/>
      <c r="H5" s="10"/>
      <c r="I5" s="10"/>
      <c r="J5" s="10"/>
    </row>
    <row r="6">
      <c r="A6" s="7" t="s">
        <v>22</v>
      </c>
      <c r="B6" s="9" t="s">
        <v>23</v>
      </c>
      <c r="C6" s="10"/>
      <c r="D6" s="10"/>
      <c r="E6" s="10"/>
      <c r="F6" s="10"/>
      <c r="G6" s="10"/>
      <c r="H6" s="10"/>
      <c r="I6" s="10"/>
      <c r="J6" s="10"/>
    </row>
    <row r="7">
      <c r="A7" s="7" t="s">
        <v>33</v>
      </c>
      <c r="B7" s="9" t="s">
        <v>35</v>
      </c>
      <c r="C7" s="10"/>
      <c r="D7" s="10"/>
      <c r="E7" s="10"/>
      <c r="F7" s="10"/>
      <c r="G7" s="10"/>
      <c r="H7" s="10"/>
      <c r="I7" s="10"/>
      <c r="J7" s="10"/>
    </row>
    <row r="8" ht="58.5" customHeight="1">
      <c r="A8" s="7" t="s">
        <v>40</v>
      </c>
      <c r="B8" s="9" t="s">
        <v>42</v>
      </c>
      <c r="C8" s="10"/>
      <c r="D8" s="10"/>
      <c r="E8" s="10"/>
      <c r="F8" s="10"/>
      <c r="G8" s="10"/>
      <c r="H8" s="10"/>
      <c r="I8" s="10"/>
      <c r="J8" s="10"/>
    </row>
    <row r="9">
      <c r="A9" s="7" t="s">
        <v>43</v>
      </c>
      <c r="B9" s="9" t="s">
        <v>44</v>
      </c>
      <c r="C9" s="10"/>
      <c r="D9" s="10"/>
      <c r="E9" s="10"/>
      <c r="F9" s="10"/>
      <c r="G9" s="10"/>
      <c r="H9" s="10"/>
      <c r="I9" s="10"/>
      <c r="J9" s="10"/>
    </row>
    <row r="10">
      <c r="A10" s="7" t="s">
        <v>49</v>
      </c>
      <c r="B10" s="9" t="s">
        <v>51</v>
      </c>
      <c r="C10" s="10"/>
      <c r="D10" s="10"/>
      <c r="E10" s="10"/>
      <c r="F10" s="10"/>
      <c r="G10" s="10"/>
      <c r="H10" s="10"/>
      <c r="I10" s="10"/>
      <c r="J10" s="10"/>
    </row>
    <row r="11">
      <c r="A11" s="7" t="s">
        <v>56</v>
      </c>
      <c r="B11" s="9" t="s">
        <v>58</v>
      </c>
      <c r="C11" s="10"/>
      <c r="D11" s="10"/>
      <c r="E11" s="10"/>
      <c r="F11" s="10"/>
      <c r="G11" s="10"/>
      <c r="H11" s="10"/>
      <c r="I11" s="10"/>
      <c r="J11" s="10"/>
    </row>
    <row r="12" ht="72.0" customHeight="1">
      <c r="A12" s="7" t="s">
        <v>61</v>
      </c>
      <c r="B12" s="9" t="s">
        <v>62</v>
      </c>
      <c r="C12" s="10"/>
      <c r="D12" s="10"/>
      <c r="E12" s="10"/>
      <c r="F12" s="10"/>
      <c r="G12" s="10"/>
      <c r="H12" s="10"/>
      <c r="I12" s="10"/>
      <c r="J12" s="10"/>
    </row>
    <row r="13" ht="58.5" customHeight="1">
      <c r="A13" s="7" t="s">
        <v>63</v>
      </c>
      <c r="B13" s="9" t="s">
        <v>64</v>
      </c>
      <c r="C13" s="10"/>
      <c r="D13" s="10"/>
      <c r="E13" s="10"/>
      <c r="F13" s="10"/>
      <c r="G13" s="10"/>
      <c r="H13" s="10"/>
      <c r="I13" s="10"/>
      <c r="J13" s="10"/>
    </row>
    <row r="14">
      <c r="A14" s="7" t="s">
        <v>66</v>
      </c>
      <c r="B14" s="9" t="s">
        <v>67</v>
      </c>
      <c r="C14" s="10"/>
      <c r="D14" s="10"/>
      <c r="E14" s="10"/>
      <c r="F14" s="10"/>
      <c r="G14" s="10"/>
      <c r="H14" s="10"/>
      <c r="I14" s="10"/>
      <c r="J14" s="10"/>
    </row>
    <row r="15">
      <c r="A15" s="7" t="s">
        <v>69</v>
      </c>
      <c r="B15" s="9" t="s">
        <v>71</v>
      </c>
      <c r="C15" s="10"/>
      <c r="D15" s="10"/>
      <c r="E15" s="10"/>
      <c r="F15" s="10"/>
      <c r="G15" s="10"/>
      <c r="H15" s="10"/>
      <c r="I15" s="10"/>
      <c r="J15" s="10"/>
    </row>
    <row r="16">
      <c r="A16" s="7" t="s">
        <v>45</v>
      </c>
      <c r="B16" s="9" t="s">
        <v>72</v>
      </c>
      <c r="C16" s="10"/>
      <c r="D16" s="10"/>
      <c r="E16" s="10"/>
      <c r="F16" s="10"/>
      <c r="G16" s="10"/>
      <c r="H16" s="10"/>
      <c r="I16" s="10"/>
      <c r="J16" s="10"/>
    </row>
    <row r="17">
      <c r="A17" s="7" t="s">
        <v>73</v>
      </c>
      <c r="B17" s="9" t="s">
        <v>74</v>
      </c>
      <c r="C17" s="10"/>
      <c r="D17" s="10"/>
      <c r="E17" s="10"/>
      <c r="F17" s="10"/>
      <c r="G17" s="10"/>
      <c r="H17" s="10"/>
      <c r="I17" s="10"/>
      <c r="J17" s="10"/>
    </row>
    <row r="18">
      <c r="A18" s="7" t="s">
        <v>75</v>
      </c>
      <c r="B18" s="9" t="s">
        <v>76</v>
      </c>
      <c r="C18" s="10"/>
      <c r="D18" s="10"/>
      <c r="E18" s="10"/>
      <c r="F18" s="10"/>
      <c r="G18" s="10"/>
      <c r="H18" s="10"/>
      <c r="I18" s="10"/>
      <c r="J18" s="10"/>
    </row>
    <row r="19">
      <c r="A19" s="7" t="s">
        <v>79</v>
      </c>
      <c r="B19" s="9" t="s">
        <v>80</v>
      </c>
      <c r="C19" s="10"/>
      <c r="D19" s="10"/>
      <c r="E19" s="10"/>
      <c r="F19" s="10"/>
      <c r="G19" s="10"/>
      <c r="H19" s="10"/>
      <c r="I19" s="10"/>
      <c r="J19" s="10"/>
    </row>
    <row r="20">
      <c r="A20" s="7" t="s">
        <v>81</v>
      </c>
      <c r="B20" s="22" t="s">
        <v>83</v>
      </c>
      <c r="C20" s="10"/>
      <c r="D20" s="10"/>
      <c r="E20" s="10"/>
      <c r="F20" s="10"/>
      <c r="G20" s="10"/>
      <c r="H20" s="10"/>
      <c r="I20" s="10"/>
      <c r="J20" s="10"/>
    </row>
    <row r="21" ht="15.75" customHeight="1">
      <c r="A21" s="7" t="s">
        <v>85</v>
      </c>
      <c r="B21" s="24" t="s">
        <v>86</v>
      </c>
      <c r="C21" s="10"/>
      <c r="D21" s="10"/>
      <c r="E21" s="10"/>
      <c r="F21" s="10"/>
      <c r="G21" s="10"/>
      <c r="H21" s="10"/>
      <c r="I21" s="10"/>
      <c r="J21" s="10"/>
    </row>
    <row r="22" ht="15.75" customHeight="1">
      <c r="A22" s="7" t="s">
        <v>88</v>
      </c>
      <c r="B22" s="26" t="s">
        <v>89</v>
      </c>
      <c r="C22" s="10"/>
      <c r="D22" s="10"/>
      <c r="E22" s="10"/>
      <c r="F22" s="10"/>
      <c r="G22" s="10"/>
      <c r="H22" s="10"/>
      <c r="I22" s="10"/>
      <c r="J22" s="10"/>
    </row>
    <row r="23" ht="15.75" customHeight="1">
      <c r="A23" s="7" t="s">
        <v>90</v>
      </c>
      <c r="B23" s="27" t="s">
        <v>91</v>
      </c>
      <c r="C23" s="10"/>
      <c r="D23" s="10"/>
      <c r="E23" s="10"/>
      <c r="F23" s="10"/>
      <c r="G23" s="10"/>
      <c r="H23" s="10"/>
      <c r="I23" s="10"/>
      <c r="J23" s="10"/>
    </row>
    <row r="24" ht="15.75" customHeight="1">
      <c r="A24" s="7" t="s">
        <v>92</v>
      </c>
      <c r="B24" s="28" t="s">
        <v>37</v>
      </c>
      <c r="C24" s="10"/>
      <c r="D24" s="10"/>
      <c r="E24" s="10"/>
      <c r="F24" s="10"/>
      <c r="G24" s="10"/>
      <c r="H24" s="10"/>
      <c r="I24" s="10"/>
      <c r="J24" s="10"/>
    </row>
    <row r="25" ht="45.0" customHeight="1">
      <c r="A25" s="7" t="s">
        <v>93</v>
      </c>
      <c r="B25" s="9" t="s">
        <v>94</v>
      </c>
      <c r="C25" s="10"/>
      <c r="D25" s="10"/>
      <c r="E25" s="10"/>
      <c r="F25" s="10"/>
      <c r="G25" s="10"/>
      <c r="H25" s="10"/>
      <c r="I25" s="10"/>
      <c r="J25" s="10"/>
    </row>
    <row r="26" ht="72.0" customHeight="1">
      <c r="A26" s="7" t="s">
        <v>95</v>
      </c>
      <c r="B26" s="9" t="s">
        <v>96</v>
      </c>
      <c r="C26" s="10"/>
      <c r="D26" s="10"/>
      <c r="E26" s="10"/>
      <c r="F26" s="10"/>
      <c r="G26" s="10"/>
      <c r="H26" s="10"/>
      <c r="I26" s="10"/>
      <c r="J26" s="10"/>
    </row>
    <row r="27" ht="72.0" customHeight="1">
      <c r="A27" s="7" t="s">
        <v>97</v>
      </c>
      <c r="B27" s="9" t="s">
        <v>98</v>
      </c>
      <c r="C27" s="10"/>
      <c r="D27" s="10"/>
      <c r="E27" s="10"/>
      <c r="F27" s="10"/>
      <c r="G27" s="10"/>
      <c r="H27" s="10"/>
      <c r="I27" s="10"/>
      <c r="J27" s="10"/>
    </row>
    <row r="28" ht="67.5" customHeight="1">
      <c r="A28" s="7" t="s">
        <v>99</v>
      </c>
      <c r="B28" s="29" t="s">
        <v>100</v>
      </c>
      <c r="C28" s="10"/>
      <c r="D28" s="10"/>
      <c r="E28" s="10"/>
      <c r="F28" s="10"/>
      <c r="G28" s="10"/>
      <c r="H28" s="10"/>
      <c r="I28" s="10"/>
      <c r="J28" s="10"/>
    </row>
    <row r="29" ht="63.0" customHeight="1">
      <c r="A29" s="7" t="s">
        <v>101</v>
      </c>
      <c r="B29" s="29" t="s">
        <v>102</v>
      </c>
      <c r="C29" s="10"/>
      <c r="D29" s="10"/>
      <c r="E29" s="10"/>
      <c r="F29" s="10"/>
      <c r="G29" s="10"/>
      <c r="H29" s="10"/>
      <c r="I29" s="10"/>
      <c r="J29" s="10"/>
    </row>
    <row r="30" ht="15.75" customHeight="1">
      <c r="A30" s="30"/>
      <c r="B30" s="30"/>
    </row>
    <row r="31" ht="15.75" customHeight="1">
      <c r="A31" s="31" t="s">
        <v>103</v>
      </c>
      <c r="B31" s="32" t="s">
        <v>104</v>
      </c>
      <c r="C31" s="33"/>
      <c r="D31" s="33"/>
      <c r="E31" s="33"/>
      <c r="F31" s="33"/>
      <c r="G31" s="33"/>
      <c r="H31" s="33"/>
      <c r="I31" s="33"/>
      <c r="J31" s="33"/>
    </row>
    <row r="32" ht="15.75" customHeight="1">
      <c r="A32" s="7" t="s">
        <v>105</v>
      </c>
      <c r="B32" s="34">
        <v>0.0</v>
      </c>
      <c r="C32" s="10"/>
      <c r="D32" s="10"/>
      <c r="E32" s="10"/>
      <c r="F32" s="10"/>
      <c r="G32" s="10"/>
      <c r="H32" s="10"/>
      <c r="I32" s="10"/>
      <c r="J32" s="10"/>
    </row>
    <row r="33" ht="15.75" customHeight="1">
      <c r="A33" s="7" t="s">
        <v>109</v>
      </c>
      <c r="B33" s="34">
        <v>0.0</v>
      </c>
      <c r="C33" s="10"/>
      <c r="D33" s="10"/>
      <c r="E33" s="10"/>
      <c r="F33" s="10"/>
      <c r="G33" s="10"/>
      <c r="H33" s="10"/>
      <c r="I33" s="10"/>
      <c r="J33" s="10"/>
    </row>
    <row r="34" ht="15.75" customHeight="1">
      <c r="A34" s="7" t="s">
        <v>110</v>
      </c>
      <c r="B34" s="36">
        <v>0.0</v>
      </c>
      <c r="C34" s="10"/>
      <c r="D34" s="10"/>
      <c r="E34" s="10"/>
      <c r="F34" s="10"/>
      <c r="G34" s="10"/>
      <c r="H34" s="10"/>
      <c r="I34" s="10"/>
      <c r="J34" s="10"/>
    </row>
    <row r="35" ht="15.75" customHeight="1">
      <c r="A35" s="7" t="s">
        <v>111</v>
      </c>
      <c r="B35" s="9" t="s">
        <v>112</v>
      </c>
      <c r="C35" s="10"/>
      <c r="D35" s="10"/>
      <c r="E35" s="10"/>
      <c r="F35" s="10"/>
      <c r="G35" s="10"/>
      <c r="H35" s="10"/>
      <c r="I35" s="10"/>
      <c r="J35" s="10"/>
    </row>
    <row r="36" ht="15.75" customHeight="1">
      <c r="A36" s="7" t="s">
        <v>113</v>
      </c>
      <c r="B36" s="9" t="s">
        <v>115</v>
      </c>
      <c r="C36" s="10"/>
      <c r="D36" s="10"/>
      <c r="E36" s="10"/>
      <c r="F36" s="10"/>
      <c r="G36" s="10"/>
      <c r="H36" s="10"/>
      <c r="I36" s="10"/>
      <c r="J36" s="10"/>
    </row>
    <row r="37" ht="15.75" customHeight="1">
      <c r="A37" s="7" t="s">
        <v>116</v>
      </c>
      <c r="B37" s="9" t="s">
        <v>117</v>
      </c>
      <c r="C37" s="10"/>
      <c r="D37" s="10"/>
      <c r="E37" s="10"/>
      <c r="F37" s="10"/>
      <c r="G37" s="10"/>
      <c r="H37" s="10"/>
      <c r="I37" s="10"/>
      <c r="J37" s="10"/>
    </row>
    <row r="38" ht="15.75" customHeight="1">
      <c r="A38" s="7" t="s">
        <v>119</v>
      </c>
      <c r="B38" s="9" t="s">
        <v>120</v>
      </c>
      <c r="C38" s="39"/>
      <c r="D38" s="39"/>
      <c r="E38" s="39"/>
      <c r="F38" s="39"/>
      <c r="G38" s="39"/>
      <c r="H38" s="39"/>
      <c r="I38" s="10"/>
      <c r="J38" s="10"/>
    </row>
    <row r="39" ht="15.75" customHeight="1">
      <c r="A39" s="40" t="s">
        <v>121</v>
      </c>
      <c r="B39" s="41" t="s">
        <v>122</v>
      </c>
      <c r="C39" s="10"/>
      <c r="D39" s="10"/>
      <c r="E39" s="10"/>
      <c r="F39" s="10"/>
      <c r="G39" s="10"/>
      <c r="H39" s="10"/>
      <c r="I39" s="10"/>
      <c r="J39" s="10"/>
    </row>
    <row r="40" ht="15.75" customHeight="1">
      <c r="A40" s="42"/>
      <c r="B40" s="29"/>
      <c r="C40" s="10"/>
      <c r="D40" s="10"/>
      <c r="E40" s="10"/>
      <c r="F40" s="10"/>
      <c r="G40" s="10"/>
      <c r="H40" s="10"/>
      <c r="I40" s="10"/>
      <c r="J40" s="10"/>
    </row>
    <row r="41" ht="15.75" customHeight="1">
      <c r="A41" s="31" t="s">
        <v>123</v>
      </c>
      <c r="B41" s="32" t="s">
        <v>124</v>
      </c>
      <c r="C41" s="33"/>
      <c r="D41" s="33"/>
      <c r="E41" s="33"/>
      <c r="F41" s="33"/>
      <c r="G41" s="33"/>
      <c r="H41" s="33"/>
      <c r="I41" s="33"/>
      <c r="J41" s="33"/>
    </row>
    <row r="42" ht="15.75" customHeight="1">
      <c r="A42" s="7" t="s">
        <v>125</v>
      </c>
      <c r="B42" s="9" t="s">
        <v>126</v>
      </c>
      <c r="C42" s="10"/>
      <c r="D42" s="10"/>
      <c r="E42" s="10"/>
      <c r="F42" s="10"/>
      <c r="G42" s="10"/>
      <c r="H42" s="10"/>
      <c r="I42" s="10"/>
      <c r="J42" s="10"/>
    </row>
    <row r="43" ht="15.75" customHeight="1">
      <c r="A43" s="7" t="s">
        <v>127</v>
      </c>
      <c r="B43" s="43" t="s">
        <v>128</v>
      </c>
      <c r="C43" s="10"/>
      <c r="D43" s="10"/>
      <c r="E43" s="10"/>
      <c r="F43" s="10"/>
      <c r="G43" s="10"/>
      <c r="H43" s="10"/>
      <c r="I43" s="10"/>
      <c r="J43" s="10"/>
    </row>
    <row r="44" ht="72.0" customHeight="1">
      <c r="A44" s="7" t="s">
        <v>129</v>
      </c>
      <c r="B44" s="9" t="s">
        <v>130</v>
      </c>
      <c r="C44" s="10"/>
      <c r="D44" s="10"/>
      <c r="E44" s="10"/>
      <c r="F44" s="10"/>
      <c r="G44" s="10"/>
      <c r="H44" s="10"/>
      <c r="I44" s="10"/>
      <c r="J44" s="10"/>
    </row>
    <row r="45" ht="15.75" customHeight="1">
      <c r="A45" s="7" t="s">
        <v>83</v>
      </c>
      <c r="B45" s="9" t="s">
        <v>131</v>
      </c>
      <c r="C45" s="10"/>
      <c r="D45" s="10"/>
      <c r="E45" s="10"/>
      <c r="F45" s="10"/>
      <c r="G45" s="10"/>
      <c r="H45" s="10"/>
      <c r="I45" s="10"/>
      <c r="J45" s="10"/>
    </row>
    <row r="46" ht="15.75" customHeight="1">
      <c r="A46" s="7" t="s">
        <v>86</v>
      </c>
      <c r="B46" s="9" t="s">
        <v>132</v>
      </c>
      <c r="C46" s="10"/>
      <c r="D46" s="10"/>
      <c r="E46" s="10"/>
      <c r="F46" s="10"/>
      <c r="G46" s="10"/>
      <c r="H46" s="10"/>
      <c r="I46" s="10"/>
      <c r="J46" s="10"/>
    </row>
    <row r="47" ht="45.0" customHeight="1">
      <c r="A47" s="7" t="s">
        <v>133</v>
      </c>
      <c r="B47" s="9" t="s">
        <v>134</v>
      </c>
      <c r="C47" s="10"/>
      <c r="D47" s="10"/>
      <c r="E47" s="10"/>
      <c r="F47" s="10"/>
      <c r="G47" s="10"/>
      <c r="H47" s="10"/>
      <c r="I47" s="10"/>
      <c r="J47" s="10"/>
    </row>
    <row r="48" ht="15.75" customHeight="1">
      <c r="A48" s="7" t="s">
        <v>135</v>
      </c>
      <c r="B48" s="9" t="s">
        <v>136</v>
      </c>
      <c r="C48" s="10"/>
      <c r="D48" s="10"/>
      <c r="E48" s="10"/>
      <c r="F48" s="10"/>
      <c r="G48" s="10"/>
      <c r="H48" s="10"/>
      <c r="I48" s="10"/>
      <c r="J48" s="10"/>
    </row>
    <row r="49" ht="45.0" customHeight="1">
      <c r="A49" s="7" t="s">
        <v>137</v>
      </c>
      <c r="B49" s="9" t="s">
        <v>138</v>
      </c>
      <c r="C49" s="10"/>
      <c r="D49" s="10"/>
      <c r="E49" s="10"/>
      <c r="F49" s="10"/>
      <c r="G49" s="10"/>
      <c r="H49" s="10"/>
      <c r="I49" s="10"/>
      <c r="J49" s="10"/>
    </row>
    <row r="50" ht="15.75" customHeight="1">
      <c r="A50" s="7" t="s">
        <v>139</v>
      </c>
      <c r="B50" s="9" t="s">
        <v>140</v>
      </c>
      <c r="C50" s="10"/>
      <c r="D50" s="10"/>
      <c r="E50" s="10"/>
      <c r="F50" s="10"/>
      <c r="G50" s="10"/>
      <c r="H50" s="10"/>
      <c r="I50" s="10"/>
      <c r="J50" s="10"/>
    </row>
    <row r="51" ht="15.75" customHeight="1">
      <c r="A51" s="44" t="s">
        <v>141</v>
      </c>
      <c r="B51" s="45" t="s">
        <v>142</v>
      </c>
      <c r="C51" s="10"/>
      <c r="D51" s="10"/>
      <c r="E51" s="10"/>
      <c r="F51" s="10"/>
      <c r="G51" s="10"/>
      <c r="H51" s="10"/>
      <c r="I51" s="10"/>
      <c r="J51" s="10"/>
    </row>
    <row r="52" ht="58.5" customHeight="1">
      <c r="A52" s="46" t="s">
        <v>143</v>
      </c>
      <c r="B52" s="47" t="s">
        <v>144</v>
      </c>
      <c r="C52" s="10"/>
      <c r="D52" s="10"/>
      <c r="E52" s="10"/>
      <c r="F52" s="10"/>
      <c r="G52" s="10"/>
      <c r="H52" s="10"/>
      <c r="I52" s="10"/>
      <c r="J52" s="10"/>
    </row>
    <row r="53" ht="49.5" customHeight="1">
      <c r="A53" s="48" t="s">
        <v>145</v>
      </c>
      <c r="B53" s="49" t="s">
        <v>146</v>
      </c>
      <c r="C53" s="10"/>
      <c r="D53" s="10"/>
      <c r="E53" s="10"/>
      <c r="F53" s="10"/>
      <c r="G53" s="10"/>
      <c r="H53" s="10"/>
      <c r="I53" s="10"/>
      <c r="J53" s="10"/>
    </row>
    <row r="54" ht="45.0" customHeight="1">
      <c r="A54" s="50" t="s">
        <v>147</v>
      </c>
      <c r="B54" s="51" t="s">
        <v>148</v>
      </c>
      <c r="C54" s="10"/>
      <c r="D54" s="10"/>
      <c r="E54" s="10"/>
      <c r="F54" s="10"/>
      <c r="G54" s="10"/>
      <c r="H54" s="10"/>
      <c r="I54" s="10"/>
      <c r="J54" s="10"/>
    </row>
    <row r="55" ht="40.5" customHeight="1">
      <c r="A55" s="7" t="s">
        <v>149</v>
      </c>
      <c r="B55" s="10" t="s">
        <v>150</v>
      </c>
      <c r="C55" s="10"/>
      <c r="D55" s="10"/>
      <c r="E55" s="10"/>
      <c r="F55" s="10"/>
      <c r="G55" s="10"/>
      <c r="H55" s="10"/>
      <c r="I55" s="10"/>
      <c r="J55" s="10"/>
    </row>
    <row r="56" ht="40.5" customHeight="1">
      <c r="A56" s="7" t="s">
        <v>151</v>
      </c>
      <c r="B56" s="10" t="s">
        <v>152</v>
      </c>
      <c r="C56" s="10"/>
      <c r="D56" s="10"/>
      <c r="E56" s="10"/>
      <c r="F56" s="10"/>
      <c r="G56" s="10"/>
      <c r="H56" s="10"/>
      <c r="I56" s="10"/>
      <c r="J56" s="10"/>
    </row>
    <row r="57" ht="40.5" customHeight="1">
      <c r="A57" s="52" t="s">
        <v>153</v>
      </c>
      <c r="B57" s="10" t="s">
        <v>154</v>
      </c>
      <c r="C57" s="10"/>
      <c r="D57" s="10"/>
      <c r="E57" s="10"/>
      <c r="F57" s="10"/>
      <c r="G57" s="10"/>
      <c r="H57" s="10"/>
      <c r="I57" s="10"/>
      <c r="J57" s="10"/>
    </row>
    <row r="58" ht="15.75" customHeight="1">
      <c r="A58" s="10"/>
      <c r="B58" s="10"/>
      <c r="C58" s="10"/>
      <c r="D58" s="10"/>
      <c r="E58" s="10"/>
      <c r="F58" s="10"/>
      <c r="G58" s="10"/>
      <c r="H58" s="10"/>
      <c r="I58" s="10"/>
      <c r="J58" s="10"/>
    </row>
    <row r="59" ht="15.75" customHeight="1">
      <c r="A59" s="30"/>
      <c r="B59" s="30"/>
    </row>
    <row r="60" ht="15.75" customHeight="1">
      <c r="A60" s="30"/>
      <c r="B60" s="30"/>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7.0"/>
    <col customWidth="1" min="2" max="3" width="12.13"/>
    <col customWidth="1" min="4" max="4" width="17.88"/>
    <col customWidth="1" min="5" max="5" width="17.63"/>
    <col customWidth="1" min="6" max="6" width="18.63"/>
    <col customWidth="1" min="7" max="7" width="13.88"/>
    <col customWidth="1" min="8" max="8" width="16.25"/>
    <col customWidth="1" min="9" max="9" width="15.0"/>
    <col customWidth="1" min="10" max="10" width="14.63"/>
    <col customWidth="1" min="11" max="12" width="20.13"/>
    <col customWidth="1" min="13" max="13" width="34.0"/>
    <col customWidth="1" min="14" max="14" width="16.75"/>
    <col customWidth="1" min="15" max="15" width="16.5"/>
    <col customWidth="1" min="16" max="16" width="15.13"/>
    <col customWidth="1" min="17" max="17" width="12.75"/>
    <col customWidth="1" min="18" max="18" width="12.38"/>
    <col customWidth="1" min="19" max="19" width="14.0"/>
    <col customWidth="1" min="20" max="20" width="11.38"/>
    <col customWidth="1" min="21" max="21" width="28.0"/>
    <col customWidth="1" min="22" max="22" width="21.0"/>
    <col customWidth="1" min="23" max="23" width="12.75"/>
    <col customWidth="1" min="24" max="24" width="14.63"/>
    <col customWidth="1" min="25" max="25" width="15.0"/>
    <col customWidth="1" min="26" max="26" width="18.13"/>
  </cols>
  <sheetData>
    <row r="1">
      <c r="A1" s="11" t="str">
        <f>"Running Net Game Profit: "&amp;TEXT(Instructions!$B$32+SUM($W:$W),"$#,##0.00")&amp;"  |  Gross Profit Earned: "&amp;TEXT(SUM($Q:$Q),"$#,##0.00")&amp;"  |  Total Lost Entry Fees: "&amp;TEXT(SUM($S:$S),"$#,##0.00")&amp;"  |  StepCat v253.1 + Workbook v253.2"</f>
        <v>Running Net Game Profit: $0.00  |  Gross Profit Earned: $0.00  |  Total Lost Entry Fees: $0.00  |  StepCat v253.1 + Workbook v253.2</v>
      </c>
    </row>
    <row r="2">
      <c r="A2" s="12" t="s">
        <v>16</v>
      </c>
    </row>
    <row r="3">
      <c r="A3" s="13" t="s">
        <v>17</v>
      </c>
      <c r="N3" s="13" t="s">
        <v>20</v>
      </c>
    </row>
    <row r="4">
      <c r="A4" s="14" t="s">
        <v>21</v>
      </c>
      <c r="B4" s="14" t="s">
        <v>24</v>
      </c>
      <c r="C4" s="14" t="s">
        <v>25</v>
      </c>
      <c r="D4" s="14" t="s">
        <v>26</v>
      </c>
      <c r="E4" s="14" t="s">
        <v>27</v>
      </c>
      <c r="F4" s="14" t="s">
        <v>29</v>
      </c>
      <c r="G4" s="14" t="s">
        <v>30</v>
      </c>
      <c r="H4" s="14" t="s">
        <v>31</v>
      </c>
      <c r="I4" s="14" t="s">
        <v>32</v>
      </c>
      <c r="J4" s="14" t="s">
        <v>34</v>
      </c>
      <c r="K4" s="14" t="s">
        <v>36</v>
      </c>
      <c r="L4" s="14" t="s">
        <v>37</v>
      </c>
      <c r="M4" s="14" t="s">
        <v>38</v>
      </c>
      <c r="N4" s="35" t="str">
        <f t="array" ref="N4:N1000">VSTACK("Adjusted Pot / Chips",MAP(INDEX(A:A,5):INDEX(A:A,ROWS(A:A)),INDEX(F:F,5):INDEX(F:F,ROWS(F:F)),INDEX(G:G,5):INDEX(G:G,ROWS(G:G)),INDEX(H:H,5):INDEX(H:H,ROWS(H:H)),INDEX(E:E,5):INDEX(E:E,ROWS(E:E)),LAMBDA(a,f,g,h,e,IF(COUNTA(a,f,g,h,e)=0,"",IF(OR(LEFT(LOWER(TRIM(f&amp;"")),12)="subscription",LOWER(TRIM(f&amp;""))="membership"),"",IF(OR(AND(h&lt;&gt;"",h=0),LEFT(LOWER(TRIM(f&amp;"")),9)="free game",LOWER(TRIM(f&amp;""))="free",LOWER(TRIM(f&amp;""))="free entry"),IF(ISNUMBER(g),IF(ISNUMBER(SEARCH("non",LOWER(e&amp;""))),g*0.85,g),"N/A"),IF(g="","",IFERROR(IF(ISNUMBER(SEARCH("non",LOWER(e&amp;""))),g*0.85,g),""))))))))</f>
        <v>Adjusted Pot / Chips</v>
      </c>
      <c r="O4" s="35" t="str">
        <f t="array" ref="O4:O1000">VSTACK("Estimated Earned / Chips",MAP(INDEX(A:A,5):INDEX(A:A,ROWS(A:A)),INDEX(F:F,5):INDEX(F:F,ROWS(F:F)),INDEX(H:H,5):INDEX(H:H,ROWS(H:H)),INDEX(N:N,5):INDEX(N:N,ROWS(N:N)),INDEX(I:I,5):INDEX(I:I,ROWS(I:I)),LAMBDA(a,f,h,n,i,IF(COUNTA(a,f,h,n,i)=0,"",IF(OR(LEFT(LOWER(TRIM(f&amp;"")),12)="subscription",LOWER(TRIM(f&amp;""))="membership"),"",IF(OR(AND(h&lt;&gt;"",h=0),LEFT(LOWER(TRIM(f&amp;"")),9)="free game",LOWER(TRIM(f&amp;""))="free",LOWER(TRIM(f&amp;""))="free entry"),IF(OR(NOT(ISNUMBER(n)),NOT(ISNUMBER(i)),i=0),"N/A",IFERROR(n/i,"N/A")),IF(OR(n="",i="",i=0),"",IFERROR(n/i,""))))))))</f>
        <v>Estimated Earned / Chips</v>
      </c>
      <c r="P4" s="35" t="str">
        <f t="array" ref="P4:P1000">VSTACK("Result Earned / Chips",MAP(INDEX(A:A,5):INDEX(A:A,ROWS(A:A)),INDEX(F:F,5):INDEX(F:F,ROWS(F:F)),INDEX(L:L,5):INDEX(L:L,ROWS(L:L)),INDEX(H:H,5):INDEX(H:H,ROWS(H:H)),INDEX(D:D,5):INDEX(D:D,ROWS(D:D)),INDEX(K:K,5):INDEX(K:K,ROWS(K:K)),INDEX(O:O,5):INDEX(O:O,ROWS(O:O)),LAMBDA(a,f,l,h,d,k,o,IF(COUNTA(a,f,l,h,d,k,o)=0,"",IF(OR(LEFT(LOWER(TRIM(f&amp;"")),12)="subscription",LOWER(TRIM(f&amp;""))="membership"),"",IF(LOWER(l&amp;"")="yes",0,IF(OR(AND(h&lt;&gt;"",h=0),LEFT(LOWER(TRIM(f&amp;"")),9)="free game",LOWER(TRIM(f&amp;""))="free",LOWER(TRIM(f&amp;""))="free entry"),IF(LOWER(d&amp;"")="finalized",IF(ISNUMBER(k),k,""),IF(o&lt;&gt;"",o,"")),IF(k&lt;&gt;"",k,IF(o&lt;&gt;"",o,"")))))))))</f>
        <v>Result Earned / Chips</v>
      </c>
      <c r="Q4" s="35" t="str">
        <f t="array" ref="Q4:Q1000">VSTACK("Profit",MAP(INDEX(A:A,5):INDEX(A:A,ROWS(A:A)),INDEX(U:U,5):INDEX(U:U,ROWS(U:U)),INDEX(P:P,5):INDEX(P:P,ROWS(P:P)),INDEX(H:H,5):INDEX(H:H,ROWS(H:H)),LAMBDA(a,u,p,h,IF(COUNTA(a,u,p,h)=0,"",IF(OR(u="Subscription",u=""),"",IF(u="Estimate","N/A",IF(u="Profit",ROUND(IFERROR(p,0)-IFERROR(h,0),2),0)))))))</f>
        <v>Profit</v>
      </c>
      <c r="R4" s="35" t="str">
        <f t="array" ref="R4:R1000">VSTACK("Draw",MAP(INDEX(A:A,5):INDEX(A:A,ROWS(A:A)),INDEX(U:U,5):INDEX(U:U,ROWS(U:U)),INDEX(H:H,5):INDEX(H:H,ROWS(H:H)),LAMBDA(a,u,h,IF(COUNTA(a,u,h)=0,"",IF(OR(u="Subscription",u=""),"",IF(u="Estimate","N/A",IF(u="Draw",h,0)))))))</f>
        <v>Draw</v>
      </c>
      <c r="S4" s="35" t="str">
        <f t="array" ref="S4:S1000">VSTACK("Lost",MAP(INDEX(A:A,5):INDEX(A:A,ROWS(A:A)),INDEX(U:U,5):INDEX(U:U,ROWS(U:U)),INDEX(H:H,5):INDEX(H:H,ROWS(H:H)),LAMBDA(a,u,h,IF(COUNTA(a,u,h)=0,"",IF(OR(u="Subscription",u=""),"",IF(u="Estimate","N/A",IF(u="Disqualified",h,0)))))))</f>
        <v>Lost</v>
      </c>
      <c r="T4" s="35" t="str">
        <f t="array" ref="T4:T1000">VSTACK("ROI",MAP(INDEX(A:A,5):INDEX(A:A,ROWS(A:A)),INDEX(U:U,5):INDEX(U:U,ROWS(U:U)),INDEX(H:H,5):INDEX(H:H,ROWS(H:H)),INDEX(Q:Q,5):INDEX(Q:Q,ROWS(Q:Q)),INDEX(S:S,5):INDEX(S:S,ROWS(S:S)),LAMBDA(a,u,h,q,s,IF(COUNTA(a,u,h,q,s)=0,"",IF(OR(u="Subscription",u=""),"",IF(u="Estimate","N/A",IF(OR(u="Free Game",u="Disqualified — Free Game",h=0),"N/A",IF(u="Profit",q/h,IF(u="Disqualified",-s/h,0)))))))))</f>
        <v>ROI</v>
      </c>
      <c r="U4" s="35" t="str">
        <f t="array" ref="U4:U1000">VSTACK("Result",MAP(INDEX(A:A,5):INDEX(A:A,ROWS(A:A)),INDEX(F:F,5):INDEX(F:F,ROWS(F:F)),INDEX(H:H,5):INDEX(H:H,ROWS(H:H)),INDEX(L:L,5):INDEX(L:L,ROWS(L:L)),INDEX(P:P,5):INDEX(P:P,ROWS(P:P)),INDEX(D:D,5):INDEX(D:D,ROWS(D:D)),LAMBDA(a,f,h,l,p,d,IF(COUNTA(a,f,h,l,p,d)=0,"",IF(OR(LEFT(LOWER(TRIM(f&amp;"")),12)="subscription",LOWER(TRIM(f&amp;""))="membership"),"Subscription",IF(LOWER(TRIM(d&amp;""))="estimate","Estimate",IF(OR(AND(h&lt;&gt;"",h=0),LEFT(LOWER(TRIM(f&amp;"")),9)="free game",LOWER(TRIM(f&amp;""))="free",LOWER(TRIM(f&amp;""))="free entry"),IF(LOWER(l&amp;"")="yes","Disqualified — Free Game","Free Game"),IF(LOWER(l&amp;"")="yes","Disqualified",IF(p="","",IF(ROUND(IFERROR(VALUE(p),0)-IFERROR(VALUE(h),0),2)&gt;0,"Profit","Draw"))))))))))</f>
        <v>Result</v>
      </c>
      <c r="V4" s="35" t="str">
        <f t="array" ref="V4:V1000">VSTACK("Challenge Length (Weeks)",MAP(INDEX(A:A,5):INDEX(A:A,ROWS(A:A)),INDEX(B:B,5):INDEX(B:B,ROWS(B:B)),INDEX(C:C,5):INDEX(C:C,ROWS(C:C)),INDEX(U:U,5):INDEX(U:U,ROWS(U:U)),LAMBDA(a,b,c,u,IF(COUNTA(a,b,c,u)=0,"",IF(OR(b="",c="",u="Subscription"),"",IFERROR(ROUNDUP((c-b)/7,0),""))))))</f>
        <v>Challenge Length (Weeks)</v>
      </c>
      <c r="W4" s="35" t="str">
        <f t="array" ref="W4:W1000">VSTACK("Net Profit",MAP(INDEX(A:A,5):INDEX(A:A,ROWS(A:A)),INDEX(U:U,5):INDEX(U:U,ROWS(U:U)),INDEX(Q:Q,5):INDEX(Q:Q,ROWS(Q:Q)),INDEX(S:S,5):INDEX(S:S,ROWS(S:S)),LAMBDA(a,u,q,s,IF(COUNTA(a,u,q,s)=0,"",IF(OR(u="Subscription",u=""),"",IF(u="Estimate","N/A",IF(OR(u="Free Game",u="Disqualified — Free Game"),0,ROUND(IFERROR(q,0)-IFERROR(s,0),2))))))))</f>
        <v>Net Profit</v>
      </c>
      <c r="X4" s="35" t="str">
        <f t="array" ref="X4:X1000">VSTACK("Eliminated Players",MAP(INDEX(A:A,5):INDEX(A:A,ROWS(A:A)),INDEX(U:U,5):INDEX(U:U,ROWS(U:U)),INDEX(J:J,5):INDEX(J:J,ROWS(J:J)),INDEX(I:I,5):INDEX(I:I,ROWS(I:I)),LAMBDA(a,u,j,i,IF(COUNTA(a,u,j,i)=0,"",IF(OR(u="Subscription",NOT(ISNUMBER(j)),NOT(ISNUMBER(i)),j=0,i=0,i&gt;j),"",j-i)))))</f>
        <v>Eliminated Players</v>
      </c>
      <c r="Y4" s="35" t="str">
        <f t="array" ref="Y4:Y1000">VSTACK("Elimination Rate",MAP(INDEX(A:A,5):INDEX(A:A,ROWS(A:A)),INDEX(U:U,5):INDEX(U:U,ROWS(U:U)),INDEX(J:J,5):INDEX(J:J,ROWS(J:J)),INDEX(X:X,5):INDEX(X:X,ROWS(X:X)),LAMBDA(a,u,j,x,IF(COUNTA(a,u,j,x)=0,"",IF(OR(u="Subscription",NOT(ISNUMBER(j)),j=0,x=""),"",x/j)))))</f>
        <v>Elimination Rate</v>
      </c>
      <c r="Z4" s="35" t="str">
        <f t="array" ref="Z4:Z1000">VSTACK("Running Net Profit",LET(mask,MAP(INDEX(A:A,5):INDEX(A:A,ROWS(A:A)),INDEX(B:B,5):INDEX(B:B,ROWS(B:B)),INDEX(C:C,5):INDEX(C:C,ROWS(C:C)),INDEX(D:D,5):INDEX(D:D,ROWS(D:D)),INDEX(E:E,5):INDEX(E:E,ROWS(E:E)),INDEX(F:F,5):INDEX(F:F,ROWS(F:F)),INDEX(G:G,5):INDEX(G:G,ROWS(G:G)),INDEX(H:H,5):INDEX(H:H,ROWS(H:H)),INDEX(I:I,5):INDEX(I:I,ROWS(I:I)),INDEX(J:J,5):INDEX(J:J,ROWS(J:J)),INDEX(K:K,5):INDEX(K:K,ROWS(K:K)),INDEX(L:L,5):INDEX(L:L,ROWS(L:L)),INDEX(M:M,5):INDEX(M:M,ROWS(M:M)),LAMBDA(a,b,c,d,e,f,g,h,i,j,k,l,m,COUNTA(a,b,c,d,e,f,g,h,i,j,k,l,m))),running,SCAN(0,INDEX(W:W,5):INDEX(W:W,ROWS(W:W)),LAMBDA(total,value,total+IFERROR(N(value),0))),IF(mask=0,"",Instructions!$B$32+running)))</f>
        <v>Running Net Profit</v>
      </c>
    </row>
    <row r="5">
      <c r="A5" s="63" t="s">
        <v>225</v>
      </c>
      <c r="B5" s="64">
        <v>32685.0</v>
      </c>
      <c r="C5" s="64">
        <v>32715.0</v>
      </c>
      <c r="D5" s="63" t="s">
        <v>226</v>
      </c>
      <c r="E5" s="63" t="s">
        <v>158</v>
      </c>
      <c r="F5" s="63" t="s">
        <v>227</v>
      </c>
      <c r="G5" s="65">
        <v>20000.0</v>
      </c>
      <c r="H5" s="65">
        <v>40.0</v>
      </c>
      <c r="I5" s="66">
        <v>700.0</v>
      </c>
      <c r="J5" s="66">
        <v>800.0</v>
      </c>
      <c r="K5" s="67"/>
      <c r="L5" s="63" t="s">
        <v>228</v>
      </c>
      <c r="M5" s="68"/>
      <c r="N5" s="69">
        <v>20000.0</v>
      </c>
      <c r="O5" s="69">
        <v>28.571428571428573</v>
      </c>
      <c r="P5" s="69">
        <v>28.571428571428573</v>
      </c>
      <c r="Q5" s="69" t="s">
        <v>220</v>
      </c>
      <c r="R5" s="69" t="s">
        <v>220</v>
      </c>
      <c r="S5" s="69" t="s">
        <v>220</v>
      </c>
      <c r="T5" s="70" t="s">
        <v>220</v>
      </c>
      <c r="U5" s="71" t="s">
        <v>226</v>
      </c>
      <c r="V5" s="72">
        <v>5.0</v>
      </c>
      <c r="W5" s="73" t="s">
        <v>220</v>
      </c>
      <c r="X5" s="72">
        <v>100.0</v>
      </c>
      <c r="Y5" s="70">
        <v>0.125</v>
      </c>
      <c r="Z5" s="73">
        <v>0.0</v>
      </c>
    </row>
    <row r="6">
      <c r="A6" s="68"/>
      <c r="B6" s="74"/>
      <c r="C6" s="74"/>
      <c r="D6" s="68"/>
      <c r="E6" s="68"/>
      <c r="F6" s="68"/>
      <c r="G6" s="75"/>
      <c r="H6" s="75"/>
      <c r="I6" s="76"/>
      <c r="J6" s="76"/>
      <c r="K6" s="67"/>
      <c r="L6" s="68"/>
      <c r="M6" s="68"/>
      <c r="N6" s="69" t="s">
        <v>229</v>
      </c>
      <c r="O6" s="69" t="s">
        <v>229</v>
      </c>
      <c r="P6" s="69" t="s">
        <v>229</v>
      </c>
      <c r="Q6" s="69" t="s">
        <v>229</v>
      </c>
      <c r="R6" s="69" t="s">
        <v>229</v>
      </c>
      <c r="S6" s="69" t="s">
        <v>229</v>
      </c>
      <c r="T6" s="70" t="s">
        <v>229</v>
      </c>
      <c r="U6" s="71" t="s">
        <v>229</v>
      </c>
      <c r="V6" s="72" t="s">
        <v>229</v>
      </c>
      <c r="W6" s="73" t="s">
        <v>229</v>
      </c>
      <c r="X6" s="72" t="s">
        <v>229</v>
      </c>
      <c r="Y6" s="70" t="s">
        <v>229</v>
      </c>
      <c r="Z6" s="73" t="s">
        <v>229</v>
      </c>
    </row>
    <row r="7">
      <c r="A7" s="68"/>
      <c r="B7" s="74"/>
      <c r="C7" s="74"/>
      <c r="D7" s="68"/>
      <c r="E7" s="68"/>
      <c r="F7" s="68"/>
      <c r="G7" s="75"/>
      <c r="H7" s="75"/>
      <c r="I7" s="76"/>
      <c r="J7" s="76"/>
      <c r="K7" s="67"/>
      <c r="L7" s="68"/>
      <c r="M7" s="68"/>
      <c r="N7" s="69" t="s">
        <v>229</v>
      </c>
      <c r="O7" s="69" t="s">
        <v>229</v>
      </c>
      <c r="P7" s="69" t="s">
        <v>229</v>
      </c>
      <c r="Q7" s="69" t="s">
        <v>229</v>
      </c>
      <c r="R7" s="69" t="s">
        <v>229</v>
      </c>
      <c r="S7" s="69" t="s">
        <v>229</v>
      </c>
      <c r="T7" s="70" t="s">
        <v>229</v>
      </c>
      <c r="U7" s="71" t="s">
        <v>229</v>
      </c>
      <c r="V7" s="72" t="s">
        <v>229</v>
      </c>
      <c r="W7" s="73" t="s">
        <v>229</v>
      </c>
      <c r="X7" s="72" t="s">
        <v>229</v>
      </c>
      <c r="Y7" s="70" t="s">
        <v>229</v>
      </c>
      <c r="Z7" s="73" t="s">
        <v>229</v>
      </c>
    </row>
    <row r="8">
      <c r="A8" s="68"/>
      <c r="B8" s="74"/>
      <c r="C8" s="74"/>
      <c r="D8" s="68"/>
      <c r="E8" s="68"/>
      <c r="F8" s="68"/>
      <c r="G8" s="75"/>
      <c r="H8" s="75"/>
      <c r="I8" s="76"/>
      <c r="J8" s="76"/>
      <c r="K8" s="67"/>
      <c r="L8" s="68"/>
      <c r="M8" s="68"/>
      <c r="N8" s="69" t="s">
        <v>229</v>
      </c>
      <c r="O8" s="69" t="s">
        <v>229</v>
      </c>
      <c r="P8" s="69" t="s">
        <v>229</v>
      </c>
      <c r="Q8" s="69" t="s">
        <v>229</v>
      </c>
      <c r="R8" s="69" t="s">
        <v>229</v>
      </c>
      <c r="S8" s="69" t="s">
        <v>229</v>
      </c>
      <c r="T8" s="70" t="s">
        <v>229</v>
      </c>
      <c r="U8" s="71" t="s">
        <v>229</v>
      </c>
      <c r="V8" s="72" t="s">
        <v>229</v>
      </c>
      <c r="W8" s="73" t="s">
        <v>229</v>
      </c>
      <c r="X8" s="72" t="s">
        <v>229</v>
      </c>
      <c r="Y8" s="70" t="s">
        <v>229</v>
      </c>
      <c r="Z8" s="73" t="s">
        <v>229</v>
      </c>
    </row>
    <row r="9">
      <c r="A9" s="68"/>
      <c r="B9" s="74"/>
      <c r="C9" s="74"/>
      <c r="D9" s="68"/>
      <c r="E9" s="68"/>
      <c r="F9" s="68"/>
      <c r="G9" s="75"/>
      <c r="H9" s="75"/>
      <c r="I9" s="76"/>
      <c r="J9" s="76"/>
      <c r="K9" s="67"/>
      <c r="L9" s="68"/>
      <c r="M9" s="68"/>
      <c r="N9" s="69" t="s">
        <v>229</v>
      </c>
      <c r="O9" s="69" t="s">
        <v>229</v>
      </c>
      <c r="P9" s="69" t="s">
        <v>229</v>
      </c>
      <c r="Q9" s="69" t="s">
        <v>229</v>
      </c>
      <c r="R9" s="69" t="s">
        <v>229</v>
      </c>
      <c r="S9" s="69" t="s">
        <v>229</v>
      </c>
      <c r="T9" s="70" t="s">
        <v>229</v>
      </c>
      <c r="U9" s="71" t="s">
        <v>229</v>
      </c>
      <c r="V9" s="72" t="s">
        <v>229</v>
      </c>
      <c r="W9" s="73" t="s">
        <v>229</v>
      </c>
      <c r="X9" s="72" t="s">
        <v>229</v>
      </c>
      <c r="Y9" s="70" t="s">
        <v>229</v>
      </c>
      <c r="Z9" s="73" t="s">
        <v>229</v>
      </c>
    </row>
    <row r="10">
      <c r="A10" s="68"/>
      <c r="B10" s="74"/>
      <c r="C10" s="74"/>
      <c r="D10" s="68"/>
      <c r="E10" s="68"/>
      <c r="F10" s="68"/>
      <c r="G10" s="75"/>
      <c r="H10" s="75"/>
      <c r="I10" s="76"/>
      <c r="J10" s="76"/>
      <c r="K10" s="67"/>
      <c r="L10" s="68"/>
      <c r="M10" s="68"/>
      <c r="N10" s="69" t="s">
        <v>229</v>
      </c>
      <c r="O10" s="69" t="s">
        <v>229</v>
      </c>
      <c r="P10" s="69" t="s">
        <v>229</v>
      </c>
      <c r="Q10" s="69" t="s">
        <v>229</v>
      </c>
      <c r="R10" s="69" t="s">
        <v>229</v>
      </c>
      <c r="S10" s="69" t="s">
        <v>229</v>
      </c>
      <c r="T10" s="70" t="s">
        <v>229</v>
      </c>
      <c r="U10" s="71" t="s">
        <v>229</v>
      </c>
      <c r="V10" s="72" t="s">
        <v>229</v>
      </c>
      <c r="W10" s="73" t="s">
        <v>229</v>
      </c>
      <c r="X10" s="72" t="s">
        <v>229</v>
      </c>
      <c r="Y10" s="70" t="s">
        <v>229</v>
      </c>
      <c r="Z10" s="73" t="s">
        <v>229</v>
      </c>
    </row>
    <row r="11">
      <c r="A11" s="68"/>
      <c r="B11" s="74"/>
      <c r="C11" s="74"/>
      <c r="D11" s="68"/>
      <c r="E11" s="68"/>
      <c r="F11" s="68"/>
      <c r="G11" s="75"/>
      <c r="H11" s="75"/>
      <c r="I11" s="76"/>
      <c r="J11" s="76"/>
      <c r="K11" s="67"/>
      <c r="L11" s="68"/>
      <c r="M11" s="68"/>
      <c r="N11" s="69" t="s">
        <v>229</v>
      </c>
      <c r="O11" s="69" t="s">
        <v>229</v>
      </c>
      <c r="P11" s="69" t="s">
        <v>229</v>
      </c>
      <c r="Q11" s="69" t="s">
        <v>229</v>
      </c>
      <c r="R11" s="69" t="s">
        <v>229</v>
      </c>
      <c r="S11" s="69" t="s">
        <v>229</v>
      </c>
      <c r="T11" s="70" t="s">
        <v>229</v>
      </c>
      <c r="U11" s="71" t="s">
        <v>229</v>
      </c>
      <c r="V11" s="72" t="s">
        <v>229</v>
      </c>
      <c r="W11" s="73" t="s">
        <v>229</v>
      </c>
      <c r="X11" s="72" t="s">
        <v>229</v>
      </c>
      <c r="Y11" s="70" t="s">
        <v>229</v>
      </c>
      <c r="Z11" s="73" t="s">
        <v>229</v>
      </c>
    </row>
    <row r="12">
      <c r="A12" s="68"/>
      <c r="B12" s="74"/>
      <c r="C12" s="74"/>
      <c r="D12" s="68"/>
      <c r="E12" s="68"/>
      <c r="F12" s="68"/>
      <c r="G12" s="75"/>
      <c r="H12" s="75"/>
      <c r="I12" s="76"/>
      <c r="J12" s="76"/>
      <c r="K12" s="67"/>
      <c r="L12" s="68"/>
      <c r="M12" s="68"/>
      <c r="N12" s="69" t="s">
        <v>229</v>
      </c>
      <c r="O12" s="69" t="s">
        <v>229</v>
      </c>
      <c r="P12" s="69" t="s">
        <v>229</v>
      </c>
      <c r="Q12" s="69" t="s">
        <v>229</v>
      </c>
      <c r="R12" s="69" t="s">
        <v>229</v>
      </c>
      <c r="S12" s="69" t="s">
        <v>229</v>
      </c>
      <c r="T12" s="70" t="s">
        <v>229</v>
      </c>
      <c r="U12" s="71" t="s">
        <v>229</v>
      </c>
      <c r="V12" s="72" t="s">
        <v>229</v>
      </c>
      <c r="W12" s="73" t="s">
        <v>229</v>
      </c>
      <c r="X12" s="72" t="s">
        <v>229</v>
      </c>
      <c r="Y12" s="70" t="s">
        <v>229</v>
      </c>
      <c r="Z12" s="73" t="s">
        <v>229</v>
      </c>
    </row>
    <row r="13">
      <c r="A13" s="68"/>
      <c r="B13" s="74"/>
      <c r="C13" s="74"/>
      <c r="D13" s="68"/>
      <c r="E13" s="68"/>
      <c r="F13" s="68"/>
      <c r="G13" s="75"/>
      <c r="H13" s="75"/>
      <c r="I13" s="76"/>
      <c r="J13" s="76"/>
      <c r="K13" s="67"/>
      <c r="L13" s="68"/>
      <c r="M13" s="68"/>
      <c r="N13" s="69" t="s">
        <v>229</v>
      </c>
      <c r="O13" s="69" t="s">
        <v>229</v>
      </c>
      <c r="P13" s="69" t="s">
        <v>229</v>
      </c>
      <c r="Q13" s="69" t="s">
        <v>229</v>
      </c>
      <c r="R13" s="69" t="s">
        <v>229</v>
      </c>
      <c r="S13" s="69" t="s">
        <v>229</v>
      </c>
      <c r="T13" s="70" t="s">
        <v>229</v>
      </c>
      <c r="U13" s="71" t="s">
        <v>229</v>
      </c>
      <c r="V13" s="72" t="s">
        <v>229</v>
      </c>
      <c r="W13" s="73" t="s">
        <v>229</v>
      </c>
      <c r="X13" s="72" t="s">
        <v>229</v>
      </c>
      <c r="Y13" s="70" t="s">
        <v>229</v>
      </c>
      <c r="Z13" s="73" t="s">
        <v>229</v>
      </c>
    </row>
    <row r="14">
      <c r="A14" s="68"/>
      <c r="B14" s="74"/>
      <c r="C14" s="74"/>
      <c r="D14" s="68"/>
      <c r="E14" s="68"/>
      <c r="F14" s="68"/>
      <c r="G14" s="75"/>
      <c r="H14" s="75"/>
      <c r="I14" s="76"/>
      <c r="J14" s="76"/>
      <c r="K14" s="67"/>
      <c r="L14" s="68"/>
      <c r="M14" s="68"/>
      <c r="N14" s="69" t="s">
        <v>229</v>
      </c>
      <c r="O14" s="69" t="s">
        <v>229</v>
      </c>
      <c r="P14" s="69" t="s">
        <v>229</v>
      </c>
      <c r="Q14" s="69" t="s">
        <v>229</v>
      </c>
      <c r="R14" s="69" t="s">
        <v>229</v>
      </c>
      <c r="S14" s="69" t="s">
        <v>229</v>
      </c>
      <c r="T14" s="70" t="s">
        <v>229</v>
      </c>
      <c r="U14" s="71" t="s">
        <v>229</v>
      </c>
      <c r="V14" s="72" t="s">
        <v>229</v>
      </c>
      <c r="W14" s="73" t="s">
        <v>229</v>
      </c>
      <c r="X14" s="72" t="s">
        <v>229</v>
      </c>
      <c r="Y14" s="70" t="s">
        <v>229</v>
      </c>
      <c r="Z14" s="73" t="s">
        <v>229</v>
      </c>
    </row>
    <row r="15">
      <c r="A15" s="68"/>
      <c r="B15" s="74"/>
      <c r="C15" s="74"/>
      <c r="D15" s="68"/>
      <c r="E15" s="68"/>
      <c r="F15" s="68"/>
      <c r="G15" s="75"/>
      <c r="H15" s="75"/>
      <c r="I15" s="76"/>
      <c r="J15" s="76"/>
      <c r="K15" s="67"/>
      <c r="L15" s="68"/>
      <c r="M15" s="68"/>
      <c r="N15" s="69" t="s">
        <v>229</v>
      </c>
      <c r="O15" s="69" t="s">
        <v>229</v>
      </c>
      <c r="P15" s="69" t="s">
        <v>229</v>
      </c>
      <c r="Q15" s="69" t="s">
        <v>229</v>
      </c>
      <c r="R15" s="69" t="s">
        <v>229</v>
      </c>
      <c r="S15" s="69" t="s">
        <v>229</v>
      </c>
      <c r="T15" s="70" t="s">
        <v>229</v>
      </c>
      <c r="U15" s="71" t="s">
        <v>229</v>
      </c>
      <c r="V15" s="72" t="s">
        <v>229</v>
      </c>
      <c r="W15" s="73" t="s">
        <v>229</v>
      </c>
      <c r="X15" s="72" t="s">
        <v>229</v>
      </c>
      <c r="Y15" s="70" t="s">
        <v>229</v>
      </c>
      <c r="Z15" s="73" t="s">
        <v>229</v>
      </c>
    </row>
    <row r="16">
      <c r="A16" s="68"/>
      <c r="B16" s="74"/>
      <c r="C16" s="74"/>
      <c r="D16" s="68"/>
      <c r="E16" s="68"/>
      <c r="F16" s="68"/>
      <c r="G16" s="75"/>
      <c r="H16" s="75"/>
      <c r="I16" s="76"/>
      <c r="J16" s="76"/>
      <c r="K16" s="67"/>
      <c r="L16" s="68"/>
      <c r="M16" s="68"/>
      <c r="N16" s="69" t="s">
        <v>229</v>
      </c>
      <c r="O16" s="69" t="s">
        <v>229</v>
      </c>
      <c r="P16" s="69" t="s">
        <v>229</v>
      </c>
      <c r="Q16" s="69" t="s">
        <v>229</v>
      </c>
      <c r="R16" s="69" t="s">
        <v>229</v>
      </c>
      <c r="S16" s="69" t="s">
        <v>229</v>
      </c>
      <c r="T16" s="70" t="s">
        <v>229</v>
      </c>
      <c r="U16" s="71" t="s">
        <v>229</v>
      </c>
      <c r="V16" s="72" t="s">
        <v>229</v>
      </c>
      <c r="W16" s="73" t="s">
        <v>229</v>
      </c>
      <c r="X16" s="72" t="s">
        <v>229</v>
      </c>
      <c r="Y16" s="70" t="s">
        <v>229</v>
      </c>
      <c r="Z16" s="73" t="s">
        <v>229</v>
      </c>
    </row>
    <row r="17">
      <c r="A17" s="68"/>
      <c r="B17" s="74"/>
      <c r="C17" s="74"/>
      <c r="D17" s="68"/>
      <c r="E17" s="68"/>
      <c r="F17" s="68"/>
      <c r="G17" s="75"/>
      <c r="H17" s="75"/>
      <c r="I17" s="76"/>
      <c r="J17" s="76"/>
      <c r="K17" s="67"/>
      <c r="L17" s="68"/>
      <c r="M17" s="68"/>
      <c r="N17" s="69" t="s">
        <v>229</v>
      </c>
      <c r="O17" s="69" t="s">
        <v>229</v>
      </c>
      <c r="P17" s="69" t="s">
        <v>229</v>
      </c>
      <c r="Q17" s="69" t="s">
        <v>229</v>
      </c>
      <c r="R17" s="69" t="s">
        <v>229</v>
      </c>
      <c r="S17" s="69" t="s">
        <v>229</v>
      </c>
      <c r="T17" s="70" t="s">
        <v>229</v>
      </c>
      <c r="U17" s="71" t="s">
        <v>229</v>
      </c>
      <c r="V17" s="72" t="s">
        <v>229</v>
      </c>
      <c r="W17" s="73" t="s">
        <v>229</v>
      </c>
      <c r="X17" s="72" t="s">
        <v>229</v>
      </c>
      <c r="Y17" s="70" t="s">
        <v>229</v>
      </c>
      <c r="Z17" s="73" t="s">
        <v>229</v>
      </c>
    </row>
    <row r="18">
      <c r="A18" s="68"/>
      <c r="B18" s="74"/>
      <c r="C18" s="74"/>
      <c r="D18" s="68"/>
      <c r="E18" s="68"/>
      <c r="F18" s="68"/>
      <c r="G18" s="75"/>
      <c r="H18" s="75"/>
      <c r="I18" s="76"/>
      <c r="J18" s="76"/>
      <c r="K18" s="67"/>
      <c r="L18" s="68"/>
      <c r="M18" s="68"/>
      <c r="N18" s="69" t="s">
        <v>229</v>
      </c>
      <c r="O18" s="69" t="s">
        <v>229</v>
      </c>
      <c r="P18" s="69" t="s">
        <v>229</v>
      </c>
      <c r="Q18" s="69" t="s">
        <v>229</v>
      </c>
      <c r="R18" s="69" t="s">
        <v>229</v>
      </c>
      <c r="S18" s="69" t="s">
        <v>229</v>
      </c>
      <c r="T18" s="70" t="s">
        <v>229</v>
      </c>
      <c r="U18" s="71" t="s">
        <v>229</v>
      </c>
      <c r="V18" s="72" t="s">
        <v>229</v>
      </c>
      <c r="W18" s="73" t="s">
        <v>229</v>
      </c>
      <c r="X18" s="72" t="s">
        <v>229</v>
      </c>
      <c r="Y18" s="70" t="s">
        <v>229</v>
      </c>
      <c r="Z18" s="73" t="s">
        <v>229</v>
      </c>
    </row>
    <row r="19">
      <c r="A19" s="68"/>
      <c r="B19" s="74"/>
      <c r="C19" s="74"/>
      <c r="D19" s="68"/>
      <c r="E19" s="68"/>
      <c r="F19" s="68"/>
      <c r="G19" s="75"/>
      <c r="H19" s="75"/>
      <c r="I19" s="76"/>
      <c r="J19" s="76"/>
      <c r="K19" s="67"/>
      <c r="L19" s="68"/>
      <c r="M19" s="68"/>
      <c r="N19" s="69" t="s">
        <v>229</v>
      </c>
      <c r="O19" s="69" t="s">
        <v>229</v>
      </c>
      <c r="P19" s="69" t="s">
        <v>229</v>
      </c>
      <c r="Q19" s="69" t="s">
        <v>229</v>
      </c>
      <c r="R19" s="69" t="s">
        <v>229</v>
      </c>
      <c r="S19" s="69" t="s">
        <v>229</v>
      </c>
      <c r="T19" s="70" t="s">
        <v>229</v>
      </c>
      <c r="U19" s="71" t="s">
        <v>229</v>
      </c>
      <c r="V19" s="72" t="s">
        <v>229</v>
      </c>
      <c r="W19" s="73" t="s">
        <v>229</v>
      </c>
      <c r="X19" s="72" t="s">
        <v>229</v>
      </c>
      <c r="Y19" s="70" t="s">
        <v>229</v>
      </c>
      <c r="Z19" s="73" t="s">
        <v>229</v>
      </c>
    </row>
    <row r="20">
      <c r="A20" s="68"/>
      <c r="B20" s="74"/>
      <c r="C20" s="74"/>
      <c r="D20" s="68"/>
      <c r="E20" s="68"/>
      <c r="F20" s="68"/>
      <c r="G20" s="75"/>
      <c r="H20" s="75"/>
      <c r="I20" s="76"/>
      <c r="J20" s="76"/>
      <c r="K20" s="67"/>
      <c r="L20" s="68"/>
      <c r="M20" s="68"/>
      <c r="N20" s="69" t="s">
        <v>229</v>
      </c>
      <c r="O20" s="69" t="s">
        <v>229</v>
      </c>
      <c r="P20" s="69" t="s">
        <v>229</v>
      </c>
      <c r="Q20" s="69" t="s">
        <v>229</v>
      </c>
      <c r="R20" s="69" t="s">
        <v>229</v>
      </c>
      <c r="S20" s="69" t="s">
        <v>229</v>
      </c>
      <c r="T20" s="70" t="s">
        <v>229</v>
      </c>
      <c r="U20" s="71" t="s">
        <v>229</v>
      </c>
      <c r="V20" s="72" t="s">
        <v>229</v>
      </c>
      <c r="W20" s="73" t="s">
        <v>229</v>
      </c>
      <c r="X20" s="72" t="s">
        <v>229</v>
      </c>
      <c r="Y20" s="70" t="s">
        <v>229</v>
      </c>
      <c r="Z20" s="73" t="s">
        <v>229</v>
      </c>
    </row>
    <row r="21" ht="15.75" customHeight="1">
      <c r="A21" s="68"/>
      <c r="B21" s="74"/>
      <c r="C21" s="74"/>
      <c r="D21" s="68"/>
      <c r="E21" s="68"/>
      <c r="F21" s="68"/>
      <c r="G21" s="75"/>
      <c r="H21" s="75"/>
      <c r="I21" s="76"/>
      <c r="J21" s="76"/>
      <c r="K21" s="67"/>
      <c r="L21" s="68"/>
      <c r="M21" s="68"/>
      <c r="N21" s="69" t="s">
        <v>229</v>
      </c>
      <c r="O21" s="69" t="s">
        <v>229</v>
      </c>
      <c r="P21" s="69" t="s">
        <v>229</v>
      </c>
      <c r="Q21" s="69" t="s">
        <v>229</v>
      </c>
      <c r="R21" s="69" t="s">
        <v>229</v>
      </c>
      <c r="S21" s="69" t="s">
        <v>229</v>
      </c>
      <c r="T21" s="70" t="s">
        <v>229</v>
      </c>
      <c r="U21" s="71" t="s">
        <v>229</v>
      </c>
      <c r="V21" s="72" t="s">
        <v>229</v>
      </c>
      <c r="W21" s="73" t="s">
        <v>229</v>
      </c>
      <c r="X21" s="72" t="s">
        <v>229</v>
      </c>
      <c r="Y21" s="70" t="s">
        <v>229</v>
      </c>
      <c r="Z21" s="73" t="s">
        <v>229</v>
      </c>
    </row>
    <row r="22" ht="15.75" customHeight="1">
      <c r="A22" s="68"/>
      <c r="B22" s="74"/>
      <c r="C22" s="74"/>
      <c r="D22" s="68"/>
      <c r="E22" s="68"/>
      <c r="F22" s="68"/>
      <c r="G22" s="75"/>
      <c r="H22" s="75"/>
      <c r="I22" s="76"/>
      <c r="J22" s="76"/>
      <c r="K22" s="67"/>
      <c r="L22" s="68"/>
      <c r="M22" s="68"/>
      <c r="N22" s="69" t="s">
        <v>229</v>
      </c>
      <c r="O22" s="69" t="s">
        <v>229</v>
      </c>
      <c r="P22" s="69" t="s">
        <v>229</v>
      </c>
      <c r="Q22" s="69" t="s">
        <v>229</v>
      </c>
      <c r="R22" s="69" t="s">
        <v>229</v>
      </c>
      <c r="S22" s="69" t="s">
        <v>229</v>
      </c>
      <c r="T22" s="70" t="s">
        <v>229</v>
      </c>
      <c r="U22" s="71" t="s">
        <v>229</v>
      </c>
      <c r="V22" s="72" t="s">
        <v>229</v>
      </c>
      <c r="W22" s="73" t="s">
        <v>229</v>
      </c>
      <c r="X22" s="72" t="s">
        <v>229</v>
      </c>
      <c r="Y22" s="70" t="s">
        <v>229</v>
      </c>
      <c r="Z22" s="73" t="s">
        <v>229</v>
      </c>
    </row>
    <row r="23" ht="15.75" customHeight="1">
      <c r="A23" s="68"/>
      <c r="B23" s="74"/>
      <c r="C23" s="74"/>
      <c r="D23" s="68"/>
      <c r="E23" s="68"/>
      <c r="F23" s="68"/>
      <c r="G23" s="75"/>
      <c r="H23" s="75"/>
      <c r="I23" s="76"/>
      <c r="J23" s="76"/>
      <c r="K23" s="67"/>
      <c r="L23" s="68"/>
      <c r="M23" s="68"/>
      <c r="N23" s="69" t="s">
        <v>229</v>
      </c>
      <c r="O23" s="69" t="s">
        <v>229</v>
      </c>
      <c r="P23" s="69" t="s">
        <v>229</v>
      </c>
      <c r="Q23" s="69" t="s">
        <v>229</v>
      </c>
      <c r="R23" s="69" t="s">
        <v>229</v>
      </c>
      <c r="S23" s="69" t="s">
        <v>229</v>
      </c>
      <c r="T23" s="70" t="s">
        <v>229</v>
      </c>
      <c r="U23" s="71" t="s">
        <v>229</v>
      </c>
      <c r="V23" s="72" t="s">
        <v>229</v>
      </c>
      <c r="W23" s="73" t="s">
        <v>229</v>
      </c>
      <c r="X23" s="72" t="s">
        <v>229</v>
      </c>
      <c r="Y23" s="70" t="s">
        <v>229</v>
      </c>
      <c r="Z23" s="73" t="s">
        <v>229</v>
      </c>
    </row>
    <row r="24" ht="15.75" customHeight="1">
      <c r="A24" s="68"/>
      <c r="B24" s="74"/>
      <c r="C24" s="74"/>
      <c r="D24" s="68"/>
      <c r="E24" s="68"/>
      <c r="F24" s="68"/>
      <c r="G24" s="75"/>
      <c r="H24" s="75"/>
      <c r="I24" s="76"/>
      <c r="J24" s="76"/>
      <c r="K24" s="67"/>
      <c r="L24" s="68"/>
      <c r="M24" s="68"/>
      <c r="N24" s="69" t="s">
        <v>229</v>
      </c>
      <c r="O24" s="69" t="s">
        <v>229</v>
      </c>
      <c r="P24" s="69" t="s">
        <v>229</v>
      </c>
      <c r="Q24" s="69" t="s">
        <v>229</v>
      </c>
      <c r="R24" s="69" t="s">
        <v>229</v>
      </c>
      <c r="S24" s="69" t="s">
        <v>229</v>
      </c>
      <c r="T24" s="70" t="s">
        <v>229</v>
      </c>
      <c r="U24" s="71" t="s">
        <v>229</v>
      </c>
      <c r="V24" s="72" t="s">
        <v>229</v>
      </c>
      <c r="W24" s="73" t="s">
        <v>229</v>
      </c>
      <c r="X24" s="72" t="s">
        <v>229</v>
      </c>
      <c r="Y24" s="70" t="s">
        <v>229</v>
      </c>
      <c r="Z24" s="73" t="s">
        <v>229</v>
      </c>
    </row>
    <row r="25" ht="15.75" customHeight="1">
      <c r="A25" s="68"/>
      <c r="B25" s="74"/>
      <c r="C25" s="74"/>
      <c r="D25" s="68"/>
      <c r="E25" s="68"/>
      <c r="F25" s="68"/>
      <c r="G25" s="75"/>
      <c r="H25" s="75"/>
      <c r="I25" s="76"/>
      <c r="J25" s="76"/>
      <c r="K25" s="67"/>
      <c r="L25" s="68"/>
      <c r="M25" s="68"/>
      <c r="N25" s="69" t="s">
        <v>229</v>
      </c>
      <c r="O25" s="69" t="s">
        <v>229</v>
      </c>
      <c r="P25" s="69" t="s">
        <v>229</v>
      </c>
      <c r="Q25" s="69" t="s">
        <v>229</v>
      </c>
      <c r="R25" s="69" t="s">
        <v>229</v>
      </c>
      <c r="S25" s="69" t="s">
        <v>229</v>
      </c>
      <c r="T25" s="70" t="s">
        <v>229</v>
      </c>
      <c r="U25" s="71" t="s">
        <v>229</v>
      </c>
      <c r="V25" s="72" t="s">
        <v>229</v>
      </c>
      <c r="W25" s="73" t="s">
        <v>229</v>
      </c>
      <c r="X25" s="72" t="s">
        <v>229</v>
      </c>
      <c r="Y25" s="70" t="s">
        <v>229</v>
      </c>
      <c r="Z25" s="73" t="s">
        <v>229</v>
      </c>
    </row>
    <row r="26" ht="15.75" customHeight="1">
      <c r="A26" s="68"/>
      <c r="B26" s="74"/>
      <c r="C26" s="74"/>
      <c r="D26" s="68"/>
      <c r="E26" s="68"/>
      <c r="F26" s="68"/>
      <c r="G26" s="75"/>
      <c r="H26" s="75"/>
      <c r="I26" s="76"/>
      <c r="J26" s="76"/>
      <c r="K26" s="67"/>
      <c r="L26" s="68"/>
      <c r="M26" s="68"/>
      <c r="N26" s="69" t="s">
        <v>229</v>
      </c>
      <c r="O26" s="69" t="s">
        <v>229</v>
      </c>
      <c r="P26" s="69" t="s">
        <v>229</v>
      </c>
      <c r="Q26" s="69" t="s">
        <v>229</v>
      </c>
      <c r="R26" s="69" t="s">
        <v>229</v>
      </c>
      <c r="S26" s="69" t="s">
        <v>229</v>
      </c>
      <c r="T26" s="70" t="s">
        <v>229</v>
      </c>
      <c r="U26" s="71" t="s">
        <v>229</v>
      </c>
      <c r="V26" s="72" t="s">
        <v>229</v>
      </c>
      <c r="W26" s="73" t="s">
        <v>229</v>
      </c>
      <c r="X26" s="72" t="s">
        <v>229</v>
      </c>
      <c r="Y26" s="70" t="s">
        <v>229</v>
      </c>
      <c r="Z26" s="73" t="s">
        <v>229</v>
      </c>
    </row>
    <row r="27" ht="15.75" customHeight="1">
      <c r="A27" s="68"/>
      <c r="B27" s="74"/>
      <c r="C27" s="74"/>
      <c r="D27" s="68"/>
      <c r="E27" s="68"/>
      <c r="F27" s="68"/>
      <c r="G27" s="75"/>
      <c r="H27" s="75"/>
      <c r="I27" s="76"/>
      <c r="J27" s="76"/>
      <c r="K27" s="67"/>
      <c r="L27" s="68"/>
      <c r="M27" s="68"/>
      <c r="N27" s="69" t="s">
        <v>229</v>
      </c>
      <c r="O27" s="69" t="s">
        <v>229</v>
      </c>
      <c r="P27" s="69" t="s">
        <v>229</v>
      </c>
      <c r="Q27" s="69" t="s">
        <v>229</v>
      </c>
      <c r="R27" s="69" t="s">
        <v>229</v>
      </c>
      <c r="S27" s="69" t="s">
        <v>229</v>
      </c>
      <c r="T27" s="70" t="s">
        <v>229</v>
      </c>
      <c r="U27" s="71" t="s">
        <v>229</v>
      </c>
      <c r="V27" s="72" t="s">
        <v>229</v>
      </c>
      <c r="W27" s="73" t="s">
        <v>229</v>
      </c>
      <c r="X27" s="72" t="s">
        <v>229</v>
      </c>
      <c r="Y27" s="70" t="s">
        <v>229</v>
      </c>
      <c r="Z27" s="73" t="s">
        <v>229</v>
      </c>
    </row>
    <row r="28" ht="15.75" customHeight="1">
      <c r="A28" s="68"/>
      <c r="B28" s="74"/>
      <c r="C28" s="74"/>
      <c r="D28" s="68"/>
      <c r="E28" s="68"/>
      <c r="F28" s="68"/>
      <c r="G28" s="75"/>
      <c r="H28" s="75"/>
      <c r="I28" s="76"/>
      <c r="J28" s="76"/>
      <c r="K28" s="67"/>
      <c r="L28" s="68"/>
      <c r="M28" s="68"/>
      <c r="N28" s="69" t="s">
        <v>229</v>
      </c>
      <c r="O28" s="69" t="s">
        <v>229</v>
      </c>
      <c r="P28" s="69" t="s">
        <v>229</v>
      </c>
      <c r="Q28" s="69" t="s">
        <v>229</v>
      </c>
      <c r="R28" s="69" t="s">
        <v>229</v>
      </c>
      <c r="S28" s="69" t="s">
        <v>229</v>
      </c>
      <c r="T28" s="70" t="s">
        <v>229</v>
      </c>
      <c r="U28" s="71" t="s">
        <v>229</v>
      </c>
      <c r="V28" s="72" t="s">
        <v>229</v>
      </c>
      <c r="W28" s="73" t="s">
        <v>229</v>
      </c>
      <c r="X28" s="72" t="s">
        <v>229</v>
      </c>
      <c r="Y28" s="70" t="s">
        <v>229</v>
      </c>
      <c r="Z28" s="73" t="s">
        <v>229</v>
      </c>
    </row>
    <row r="29" ht="15.75" customHeight="1">
      <c r="A29" s="68"/>
      <c r="B29" s="74"/>
      <c r="C29" s="74"/>
      <c r="D29" s="68"/>
      <c r="E29" s="68"/>
      <c r="F29" s="68"/>
      <c r="G29" s="75"/>
      <c r="H29" s="75"/>
      <c r="I29" s="76"/>
      <c r="J29" s="76"/>
      <c r="K29" s="67"/>
      <c r="L29" s="68"/>
      <c r="M29" s="68"/>
      <c r="N29" s="69" t="s">
        <v>229</v>
      </c>
      <c r="O29" s="69" t="s">
        <v>229</v>
      </c>
      <c r="P29" s="69" t="s">
        <v>229</v>
      </c>
      <c r="Q29" s="69" t="s">
        <v>229</v>
      </c>
      <c r="R29" s="69" t="s">
        <v>229</v>
      </c>
      <c r="S29" s="69" t="s">
        <v>229</v>
      </c>
      <c r="T29" s="70" t="s">
        <v>229</v>
      </c>
      <c r="U29" s="71" t="s">
        <v>229</v>
      </c>
      <c r="V29" s="72" t="s">
        <v>229</v>
      </c>
      <c r="W29" s="73" t="s">
        <v>229</v>
      </c>
      <c r="X29" s="72" t="s">
        <v>229</v>
      </c>
      <c r="Y29" s="70" t="s">
        <v>229</v>
      </c>
      <c r="Z29" s="73" t="s">
        <v>229</v>
      </c>
    </row>
    <row r="30" ht="15.75" customHeight="1">
      <c r="A30" s="68"/>
      <c r="B30" s="74"/>
      <c r="C30" s="74"/>
      <c r="D30" s="68"/>
      <c r="E30" s="68"/>
      <c r="F30" s="68"/>
      <c r="G30" s="75"/>
      <c r="H30" s="75"/>
      <c r="I30" s="76"/>
      <c r="J30" s="76"/>
      <c r="K30" s="67"/>
      <c r="L30" s="68"/>
      <c r="M30" s="68"/>
      <c r="N30" s="69" t="s">
        <v>229</v>
      </c>
      <c r="O30" s="69" t="s">
        <v>229</v>
      </c>
      <c r="P30" s="69" t="s">
        <v>229</v>
      </c>
      <c r="Q30" s="69" t="s">
        <v>229</v>
      </c>
      <c r="R30" s="69" t="s">
        <v>229</v>
      </c>
      <c r="S30" s="69" t="s">
        <v>229</v>
      </c>
      <c r="T30" s="70" t="s">
        <v>229</v>
      </c>
      <c r="U30" s="71" t="s">
        <v>229</v>
      </c>
      <c r="V30" s="72" t="s">
        <v>229</v>
      </c>
      <c r="W30" s="73" t="s">
        <v>229</v>
      </c>
      <c r="X30" s="72" t="s">
        <v>229</v>
      </c>
      <c r="Y30" s="70" t="s">
        <v>229</v>
      </c>
      <c r="Z30" s="73" t="s">
        <v>229</v>
      </c>
    </row>
    <row r="31" ht="15.75" customHeight="1">
      <c r="A31" s="68"/>
      <c r="B31" s="74"/>
      <c r="C31" s="74"/>
      <c r="D31" s="68"/>
      <c r="E31" s="68"/>
      <c r="F31" s="68"/>
      <c r="G31" s="75"/>
      <c r="H31" s="75"/>
      <c r="I31" s="76"/>
      <c r="J31" s="76"/>
      <c r="K31" s="67"/>
      <c r="L31" s="68"/>
      <c r="M31" s="68"/>
      <c r="N31" s="69" t="s">
        <v>229</v>
      </c>
      <c r="O31" s="69" t="s">
        <v>229</v>
      </c>
      <c r="P31" s="69" t="s">
        <v>229</v>
      </c>
      <c r="Q31" s="69" t="s">
        <v>229</v>
      </c>
      <c r="R31" s="69" t="s">
        <v>229</v>
      </c>
      <c r="S31" s="69" t="s">
        <v>229</v>
      </c>
      <c r="T31" s="70" t="s">
        <v>229</v>
      </c>
      <c r="U31" s="71" t="s">
        <v>229</v>
      </c>
      <c r="V31" s="72" t="s">
        <v>229</v>
      </c>
      <c r="W31" s="73" t="s">
        <v>229</v>
      </c>
      <c r="X31" s="72" t="s">
        <v>229</v>
      </c>
      <c r="Y31" s="70" t="s">
        <v>229</v>
      </c>
      <c r="Z31" s="73" t="s">
        <v>229</v>
      </c>
    </row>
    <row r="32" ht="15.75" customHeight="1">
      <c r="A32" s="68"/>
      <c r="B32" s="74"/>
      <c r="C32" s="74"/>
      <c r="D32" s="68"/>
      <c r="E32" s="68"/>
      <c r="F32" s="68"/>
      <c r="G32" s="75"/>
      <c r="H32" s="75"/>
      <c r="I32" s="76"/>
      <c r="J32" s="76"/>
      <c r="K32" s="67"/>
      <c r="L32" s="68"/>
      <c r="M32" s="68"/>
      <c r="N32" s="69" t="s">
        <v>229</v>
      </c>
      <c r="O32" s="69" t="s">
        <v>229</v>
      </c>
      <c r="P32" s="69" t="s">
        <v>229</v>
      </c>
      <c r="Q32" s="69" t="s">
        <v>229</v>
      </c>
      <c r="R32" s="69" t="s">
        <v>229</v>
      </c>
      <c r="S32" s="69" t="s">
        <v>229</v>
      </c>
      <c r="T32" s="70" t="s">
        <v>229</v>
      </c>
      <c r="U32" s="71" t="s">
        <v>229</v>
      </c>
      <c r="V32" s="72" t="s">
        <v>229</v>
      </c>
      <c r="W32" s="73" t="s">
        <v>229</v>
      </c>
      <c r="X32" s="72" t="s">
        <v>229</v>
      </c>
      <c r="Y32" s="70" t="s">
        <v>229</v>
      </c>
      <c r="Z32" s="73" t="s">
        <v>229</v>
      </c>
    </row>
    <row r="33" ht="15.75" customHeight="1">
      <c r="A33" s="68"/>
      <c r="B33" s="74"/>
      <c r="C33" s="74"/>
      <c r="D33" s="68"/>
      <c r="E33" s="68"/>
      <c r="F33" s="68"/>
      <c r="G33" s="75"/>
      <c r="H33" s="75"/>
      <c r="I33" s="76"/>
      <c r="J33" s="76"/>
      <c r="K33" s="67"/>
      <c r="L33" s="68"/>
      <c r="M33" s="68"/>
      <c r="N33" s="69" t="s">
        <v>229</v>
      </c>
      <c r="O33" s="69" t="s">
        <v>229</v>
      </c>
      <c r="P33" s="69" t="s">
        <v>229</v>
      </c>
      <c r="Q33" s="69" t="s">
        <v>229</v>
      </c>
      <c r="R33" s="69" t="s">
        <v>229</v>
      </c>
      <c r="S33" s="69" t="s">
        <v>229</v>
      </c>
      <c r="T33" s="70" t="s">
        <v>229</v>
      </c>
      <c r="U33" s="71" t="s">
        <v>229</v>
      </c>
      <c r="V33" s="72" t="s">
        <v>229</v>
      </c>
      <c r="W33" s="73" t="s">
        <v>229</v>
      </c>
      <c r="X33" s="72" t="s">
        <v>229</v>
      </c>
      <c r="Y33" s="70" t="s">
        <v>229</v>
      </c>
      <c r="Z33" s="73" t="s">
        <v>229</v>
      </c>
    </row>
    <row r="34" ht="15.75" customHeight="1">
      <c r="A34" s="68"/>
      <c r="B34" s="74"/>
      <c r="C34" s="74"/>
      <c r="D34" s="68"/>
      <c r="E34" s="68"/>
      <c r="F34" s="68"/>
      <c r="G34" s="75"/>
      <c r="H34" s="75"/>
      <c r="I34" s="76"/>
      <c r="J34" s="76"/>
      <c r="K34" s="67"/>
      <c r="L34" s="68"/>
      <c r="M34" s="68"/>
      <c r="N34" s="69" t="s">
        <v>229</v>
      </c>
      <c r="O34" s="69" t="s">
        <v>229</v>
      </c>
      <c r="P34" s="69" t="s">
        <v>229</v>
      </c>
      <c r="Q34" s="69" t="s">
        <v>229</v>
      </c>
      <c r="R34" s="69" t="s">
        <v>229</v>
      </c>
      <c r="S34" s="69" t="s">
        <v>229</v>
      </c>
      <c r="T34" s="70" t="s">
        <v>229</v>
      </c>
      <c r="U34" s="71" t="s">
        <v>229</v>
      </c>
      <c r="V34" s="72" t="s">
        <v>229</v>
      </c>
      <c r="W34" s="73" t="s">
        <v>229</v>
      </c>
      <c r="X34" s="72" t="s">
        <v>229</v>
      </c>
      <c r="Y34" s="70" t="s">
        <v>229</v>
      </c>
      <c r="Z34" s="73" t="s">
        <v>229</v>
      </c>
    </row>
    <row r="35" ht="15.75" customHeight="1">
      <c r="A35" s="68"/>
      <c r="B35" s="74"/>
      <c r="C35" s="74"/>
      <c r="D35" s="68"/>
      <c r="E35" s="68"/>
      <c r="F35" s="68"/>
      <c r="G35" s="75"/>
      <c r="H35" s="75"/>
      <c r="I35" s="76"/>
      <c r="J35" s="76"/>
      <c r="K35" s="67"/>
      <c r="L35" s="68"/>
      <c r="M35" s="68"/>
      <c r="N35" s="69" t="s">
        <v>229</v>
      </c>
      <c r="O35" s="69" t="s">
        <v>229</v>
      </c>
      <c r="P35" s="69" t="s">
        <v>229</v>
      </c>
      <c r="Q35" s="69" t="s">
        <v>229</v>
      </c>
      <c r="R35" s="69" t="s">
        <v>229</v>
      </c>
      <c r="S35" s="69" t="s">
        <v>229</v>
      </c>
      <c r="T35" s="70" t="s">
        <v>229</v>
      </c>
      <c r="U35" s="71" t="s">
        <v>229</v>
      </c>
      <c r="V35" s="72" t="s">
        <v>229</v>
      </c>
      <c r="W35" s="73" t="s">
        <v>229</v>
      </c>
      <c r="X35" s="72" t="s">
        <v>229</v>
      </c>
      <c r="Y35" s="70" t="s">
        <v>229</v>
      </c>
      <c r="Z35" s="73" t="s">
        <v>229</v>
      </c>
    </row>
    <row r="36" ht="15.75" customHeight="1">
      <c r="A36" s="68"/>
      <c r="B36" s="74"/>
      <c r="C36" s="74"/>
      <c r="D36" s="68"/>
      <c r="E36" s="68"/>
      <c r="F36" s="68"/>
      <c r="G36" s="75"/>
      <c r="H36" s="75"/>
      <c r="I36" s="76"/>
      <c r="J36" s="76"/>
      <c r="K36" s="67"/>
      <c r="L36" s="68"/>
      <c r="M36" s="68"/>
      <c r="N36" s="69" t="s">
        <v>229</v>
      </c>
      <c r="O36" s="69" t="s">
        <v>229</v>
      </c>
      <c r="P36" s="69" t="s">
        <v>229</v>
      </c>
      <c r="Q36" s="69" t="s">
        <v>229</v>
      </c>
      <c r="R36" s="69" t="s">
        <v>229</v>
      </c>
      <c r="S36" s="69" t="s">
        <v>229</v>
      </c>
      <c r="T36" s="70" t="s">
        <v>229</v>
      </c>
      <c r="U36" s="71" t="s">
        <v>229</v>
      </c>
      <c r="V36" s="72" t="s">
        <v>229</v>
      </c>
      <c r="W36" s="73" t="s">
        <v>229</v>
      </c>
      <c r="X36" s="72" t="s">
        <v>229</v>
      </c>
      <c r="Y36" s="70" t="s">
        <v>229</v>
      </c>
      <c r="Z36" s="73" t="s">
        <v>229</v>
      </c>
    </row>
    <row r="37" ht="15.75" customHeight="1">
      <c r="A37" s="68"/>
      <c r="B37" s="74"/>
      <c r="C37" s="74"/>
      <c r="D37" s="68"/>
      <c r="E37" s="68"/>
      <c r="F37" s="68"/>
      <c r="G37" s="75"/>
      <c r="H37" s="75"/>
      <c r="I37" s="76"/>
      <c r="J37" s="76"/>
      <c r="K37" s="67"/>
      <c r="L37" s="68"/>
      <c r="M37" s="68"/>
      <c r="N37" s="69" t="s">
        <v>229</v>
      </c>
      <c r="O37" s="69" t="s">
        <v>229</v>
      </c>
      <c r="P37" s="69" t="s">
        <v>229</v>
      </c>
      <c r="Q37" s="69" t="s">
        <v>229</v>
      </c>
      <c r="R37" s="69" t="s">
        <v>229</v>
      </c>
      <c r="S37" s="69" t="s">
        <v>229</v>
      </c>
      <c r="T37" s="70" t="s">
        <v>229</v>
      </c>
      <c r="U37" s="71" t="s">
        <v>229</v>
      </c>
      <c r="V37" s="72" t="s">
        <v>229</v>
      </c>
      <c r="W37" s="73" t="s">
        <v>229</v>
      </c>
      <c r="X37" s="72" t="s">
        <v>229</v>
      </c>
      <c r="Y37" s="70" t="s">
        <v>229</v>
      </c>
      <c r="Z37" s="73" t="s">
        <v>229</v>
      </c>
    </row>
    <row r="38" ht="15.75" customHeight="1">
      <c r="A38" s="68"/>
      <c r="B38" s="74"/>
      <c r="C38" s="74"/>
      <c r="D38" s="68"/>
      <c r="E38" s="68"/>
      <c r="F38" s="68"/>
      <c r="G38" s="75"/>
      <c r="H38" s="75"/>
      <c r="I38" s="76"/>
      <c r="J38" s="76"/>
      <c r="K38" s="67"/>
      <c r="L38" s="68"/>
      <c r="M38" s="68"/>
      <c r="N38" s="69" t="s">
        <v>229</v>
      </c>
      <c r="O38" s="69" t="s">
        <v>229</v>
      </c>
      <c r="P38" s="69" t="s">
        <v>229</v>
      </c>
      <c r="Q38" s="69" t="s">
        <v>229</v>
      </c>
      <c r="R38" s="69" t="s">
        <v>229</v>
      </c>
      <c r="S38" s="69" t="s">
        <v>229</v>
      </c>
      <c r="T38" s="70" t="s">
        <v>229</v>
      </c>
      <c r="U38" s="71" t="s">
        <v>229</v>
      </c>
      <c r="V38" s="72" t="s">
        <v>229</v>
      </c>
      <c r="W38" s="73" t="s">
        <v>229</v>
      </c>
      <c r="X38" s="72" t="s">
        <v>229</v>
      </c>
      <c r="Y38" s="70" t="s">
        <v>229</v>
      </c>
      <c r="Z38" s="73" t="s">
        <v>229</v>
      </c>
    </row>
    <row r="39" ht="15.75" customHeight="1">
      <c r="A39" s="68"/>
      <c r="B39" s="74"/>
      <c r="C39" s="74"/>
      <c r="D39" s="68"/>
      <c r="E39" s="68"/>
      <c r="F39" s="68"/>
      <c r="G39" s="75"/>
      <c r="H39" s="75"/>
      <c r="I39" s="76"/>
      <c r="J39" s="76"/>
      <c r="K39" s="67"/>
      <c r="L39" s="68"/>
      <c r="M39" s="68"/>
      <c r="N39" s="69" t="s">
        <v>229</v>
      </c>
      <c r="O39" s="69" t="s">
        <v>229</v>
      </c>
      <c r="P39" s="69" t="s">
        <v>229</v>
      </c>
      <c r="Q39" s="69" t="s">
        <v>229</v>
      </c>
      <c r="R39" s="69" t="s">
        <v>229</v>
      </c>
      <c r="S39" s="69" t="s">
        <v>229</v>
      </c>
      <c r="T39" s="70" t="s">
        <v>229</v>
      </c>
      <c r="U39" s="71" t="s">
        <v>229</v>
      </c>
      <c r="V39" s="72" t="s">
        <v>229</v>
      </c>
      <c r="W39" s="73" t="s">
        <v>229</v>
      </c>
      <c r="X39" s="72" t="s">
        <v>229</v>
      </c>
      <c r="Y39" s="70" t="s">
        <v>229</v>
      </c>
      <c r="Z39" s="73" t="s">
        <v>229</v>
      </c>
    </row>
    <row r="40" ht="15.75" customHeight="1">
      <c r="A40" s="68"/>
      <c r="B40" s="74"/>
      <c r="C40" s="74"/>
      <c r="D40" s="68"/>
      <c r="E40" s="68"/>
      <c r="F40" s="68"/>
      <c r="G40" s="75"/>
      <c r="H40" s="75"/>
      <c r="I40" s="76"/>
      <c r="J40" s="76"/>
      <c r="K40" s="67"/>
      <c r="L40" s="68"/>
      <c r="M40" s="68"/>
      <c r="N40" s="69" t="s">
        <v>229</v>
      </c>
      <c r="O40" s="69" t="s">
        <v>229</v>
      </c>
      <c r="P40" s="69" t="s">
        <v>229</v>
      </c>
      <c r="Q40" s="69" t="s">
        <v>229</v>
      </c>
      <c r="R40" s="69" t="s">
        <v>229</v>
      </c>
      <c r="S40" s="69" t="s">
        <v>229</v>
      </c>
      <c r="T40" s="70" t="s">
        <v>229</v>
      </c>
      <c r="U40" s="71" t="s">
        <v>229</v>
      </c>
      <c r="V40" s="72" t="s">
        <v>229</v>
      </c>
      <c r="W40" s="73" t="s">
        <v>229</v>
      </c>
      <c r="X40" s="72" t="s">
        <v>229</v>
      </c>
      <c r="Y40" s="70" t="s">
        <v>229</v>
      </c>
      <c r="Z40" s="73" t="s">
        <v>229</v>
      </c>
    </row>
    <row r="41" ht="15.75" customHeight="1">
      <c r="A41" s="68"/>
      <c r="B41" s="74"/>
      <c r="C41" s="74"/>
      <c r="D41" s="68"/>
      <c r="E41" s="68"/>
      <c r="F41" s="68"/>
      <c r="G41" s="75"/>
      <c r="H41" s="75"/>
      <c r="I41" s="76"/>
      <c r="J41" s="76"/>
      <c r="K41" s="67"/>
      <c r="L41" s="68"/>
      <c r="M41" s="68"/>
      <c r="N41" s="69" t="s">
        <v>229</v>
      </c>
      <c r="O41" s="69" t="s">
        <v>229</v>
      </c>
      <c r="P41" s="69" t="s">
        <v>229</v>
      </c>
      <c r="Q41" s="69" t="s">
        <v>229</v>
      </c>
      <c r="R41" s="69" t="s">
        <v>229</v>
      </c>
      <c r="S41" s="69" t="s">
        <v>229</v>
      </c>
      <c r="T41" s="70" t="s">
        <v>229</v>
      </c>
      <c r="U41" s="71" t="s">
        <v>229</v>
      </c>
      <c r="V41" s="72" t="s">
        <v>229</v>
      </c>
      <c r="W41" s="73" t="s">
        <v>229</v>
      </c>
      <c r="X41" s="72" t="s">
        <v>229</v>
      </c>
      <c r="Y41" s="70" t="s">
        <v>229</v>
      </c>
      <c r="Z41" s="73" t="s">
        <v>229</v>
      </c>
    </row>
    <row r="42" ht="15.75" customHeight="1">
      <c r="A42" s="68"/>
      <c r="B42" s="74"/>
      <c r="C42" s="74"/>
      <c r="D42" s="68"/>
      <c r="E42" s="68"/>
      <c r="F42" s="68"/>
      <c r="G42" s="75"/>
      <c r="H42" s="75"/>
      <c r="I42" s="76"/>
      <c r="J42" s="76"/>
      <c r="K42" s="67"/>
      <c r="L42" s="68"/>
      <c r="M42" s="68"/>
      <c r="N42" s="69" t="s">
        <v>229</v>
      </c>
      <c r="O42" s="69" t="s">
        <v>229</v>
      </c>
      <c r="P42" s="69" t="s">
        <v>229</v>
      </c>
      <c r="Q42" s="69" t="s">
        <v>229</v>
      </c>
      <c r="R42" s="69" t="s">
        <v>229</v>
      </c>
      <c r="S42" s="69" t="s">
        <v>229</v>
      </c>
      <c r="T42" s="70" t="s">
        <v>229</v>
      </c>
      <c r="U42" s="71" t="s">
        <v>229</v>
      </c>
      <c r="V42" s="72" t="s">
        <v>229</v>
      </c>
      <c r="W42" s="73" t="s">
        <v>229</v>
      </c>
      <c r="X42" s="72" t="s">
        <v>229</v>
      </c>
      <c r="Y42" s="70" t="s">
        <v>229</v>
      </c>
      <c r="Z42" s="73" t="s">
        <v>229</v>
      </c>
    </row>
    <row r="43" ht="15.75" customHeight="1">
      <c r="A43" s="68"/>
      <c r="B43" s="74"/>
      <c r="C43" s="74"/>
      <c r="D43" s="68"/>
      <c r="E43" s="68"/>
      <c r="F43" s="68"/>
      <c r="G43" s="75"/>
      <c r="H43" s="75"/>
      <c r="I43" s="76"/>
      <c r="J43" s="76"/>
      <c r="K43" s="67"/>
      <c r="L43" s="68"/>
      <c r="M43" s="68"/>
      <c r="N43" s="69" t="s">
        <v>229</v>
      </c>
      <c r="O43" s="69" t="s">
        <v>229</v>
      </c>
      <c r="P43" s="69" t="s">
        <v>229</v>
      </c>
      <c r="Q43" s="69" t="s">
        <v>229</v>
      </c>
      <c r="R43" s="69" t="s">
        <v>229</v>
      </c>
      <c r="S43" s="69" t="s">
        <v>229</v>
      </c>
      <c r="T43" s="70" t="s">
        <v>229</v>
      </c>
      <c r="U43" s="71" t="s">
        <v>229</v>
      </c>
      <c r="V43" s="72" t="s">
        <v>229</v>
      </c>
      <c r="W43" s="73" t="s">
        <v>229</v>
      </c>
      <c r="X43" s="72" t="s">
        <v>229</v>
      </c>
      <c r="Y43" s="70" t="s">
        <v>229</v>
      </c>
      <c r="Z43" s="73" t="s">
        <v>229</v>
      </c>
    </row>
    <row r="44" ht="15.75" customHeight="1">
      <c r="A44" s="68"/>
      <c r="B44" s="74"/>
      <c r="C44" s="74"/>
      <c r="D44" s="68"/>
      <c r="E44" s="68"/>
      <c r="F44" s="68"/>
      <c r="G44" s="75"/>
      <c r="H44" s="75"/>
      <c r="I44" s="76"/>
      <c r="J44" s="76"/>
      <c r="K44" s="67"/>
      <c r="L44" s="68"/>
      <c r="M44" s="68"/>
      <c r="N44" s="69" t="s">
        <v>229</v>
      </c>
      <c r="O44" s="69" t="s">
        <v>229</v>
      </c>
      <c r="P44" s="69" t="s">
        <v>229</v>
      </c>
      <c r="Q44" s="69" t="s">
        <v>229</v>
      </c>
      <c r="R44" s="69" t="s">
        <v>229</v>
      </c>
      <c r="S44" s="69" t="s">
        <v>229</v>
      </c>
      <c r="T44" s="70" t="s">
        <v>229</v>
      </c>
      <c r="U44" s="71" t="s">
        <v>229</v>
      </c>
      <c r="V44" s="72" t="s">
        <v>229</v>
      </c>
      <c r="W44" s="73" t="s">
        <v>229</v>
      </c>
      <c r="X44" s="72" t="s">
        <v>229</v>
      </c>
      <c r="Y44" s="70" t="s">
        <v>229</v>
      </c>
      <c r="Z44" s="73" t="s">
        <v>229</v>
      </c>
    </row>
    <row r="45" ht="15.75" customHeight="1">
      <c r="A45" s="68"/>
      <c r="B45" s="74"/>
      <c r="C45" s="74"/>
      <c r="D45" s="68"/>
      <c r="E45" s="68"/>
      <c r="F45" s="68"/>
      <c r="G45" s="75"/>
      <c r="H45" s="75"/>
      <c r="I45" s="76"/>
      <c r="J45" s="76"/>
      <c r="K45" s="67"/>
      <c r="L45" s="68"/>
      <c r="M45" s="68"/>
      <c r="N45" s="69" t="s">
        <v>229</v>
      </c>
      <c r="O45" s="69" t="s">
        <v>229</v>
      </c>
      <c r="P45" s="69" t="s">
        <v>229</v>
      </c>
      <c r="Q45" s="69" t="s">
        <v>229</v>
      </c>
      <c r="R45" s="69" t="s">
        <v>229</v>
      </c>
      <c r="S45" s="69" t="s">
        <v>229</v>
      </c>
      <c r="T45" s="70" t="s">
        <v>229</v>
      </c>
      <c r="U45" s="71" t="s">
        <v>229</v>
      </c>
      <c r="V45" s="72" t="s">
        <v>229</v>
      </c>
      <c r="W45" s="73" t="s">
        <v>229</v>
      </c>
      <c r="X45" s="72" t="s">
        <v>229</v>
      </c>
      <c r="Y45" s="70" t="s">
        <v>229</v>
      </c>
      <c r="Z45" s="73" t="s">
        <v>229</v>
      </c>
    </row>
    <row r="46" ht="15.75" customHeight="1">
      <c r="A46" s="68"/>
      <c r="B46" s="74"/>
      <c r="C46" s="74"/>
      <c r="D46" s="68"/>
      <c r="E46" s="68"/>
      <c r="F46" s="68"/>
      <c r="G46" s="75"/>
      <c r="H46" s="75"/>
      <c r="I46" s="76"/>
      <c r="J46" s="76"/>
      <c r="K46" s="67"/>
      <c r="L46" s="68"/>
      <c r="M46" s="68"/>
      <c r="N46" s="69" t="s">
        <v>229</v>
      </c>
      <c r="O46" s="69" t="s">
        <v>229</v>
      </c>
      <c r="P46" s="69" t="s">
        <v>229</v>
      </c>
      <c r="Q46" s="69" t="s">
        <v>229</v>
      </c>
      <c r="R46" s="69" t="s">
        <v>229</v>
      </c>
      <c r="S46" s="69" t="s">
        <v>229</v>
      </c>
      <c r="T46" s="70" t="s">
        <v>229</v>
      </c>
      <c r="U46" s="71" t="s">
        <v>229</v>
      </c>
      <c r="V46" s="72" t="s">
        <v>229</v>
      </c>
      <c r="W46" s="73" t="s">
        <v>229</v>
      </c>
      <c r="X46" s="72" t="s">
        <v>229</v>
      </c>
      <c r="Y46" s="70" t="s">
        <v>229</v>
      </c>
      <c r="Z46" s="73" t="s">
        <v>229</v>
      </c>
    </row>
    <row r="47" ht="15.75" customHeight="1">
      <c r="A47" s="68"/>
      <c r="B47" s="74"/>
      <c r="C47" s="74"/>
      <c r="D47" s="68"/>
      <c r="E47" s="68"/>
      <c r="F47" s="68"/>
      <c r="G47" s="75"/>
      <c r="H47" s="75"/>
      <c r="I47" s="76"/>
      <c r="J47" s="76"/>
      <c r="K47" s="67"/>
      <c r="L47" s="68"/>
      <c r="M47" s="68"/>
      <c r="N47" s="69" t="s">
        <v>229</v>
      </c>
      <c r="O47" s="69" t="s">
        <v>229</v>
      </c>
      <c r="P47" s="69" t="s">
        <v>229</v>
      </c>
      <c r="Q47" s="69" t="s">
        <v>229</v>
      </c>
      <c r="R47" s="69" t="s">
        <v>229</v>
      </c>
      <c r="S47" s="69" t="s">
        <v>229</v>
      </c>
      <c r="T47" s="70" t="s">
        <v>229</v>
      </c>
      <c r="U47" s="71" t="s">
        <v>229</v>
      </c>
      <c r="V47" s="72" t="s">
        <v>229</v>
      </c>
      <c r="W47" s="73" t="s">
        <v>229</v>
      </c>
      <c r="X47" s="72" t="s">
        <v>229</v>
      </c>
      <c r="Y47" s="70" t="s">
        <v>229</v>
      </c>
      <c r="Z47" s="73" t="s">
        <v>229</v>
      </c>
    </row>
    <row r="48" ht="15.75" customHeight="1">
      <c r="A48" s="68"/>
      <c r="B48" s="74"/>
      <c r="C48" s="74"/>
      <c r="D48" s="68"/>
      <c r="E48" s="68"/>
      <c r="F48" s="68"/>
      <c r="G48" s="75"/>
      <c r="H48" s="75"/>
      <c r="I48" s="76"/>
      <c r="J48" s="76"/>
      <c r="K48" s="67"/>
      <c r="L48" s="68"/>
      <c r="M48" s="68"/>
      <c r="N48" s="69" t="s">
        <v>229</v>
      </c>
      <c r="O48" s="69" t="s">
        <v>229</v>
      </c>
      <c r="P48" s="69" t="s">
        <v>229</v>
      </c>
      <c r="Q48" s="69" t="s">
        <v>229</v>
      </c>
      <c r="R48" s="69" t="s">
        <v>229</v>
      </c>
      <c r="S48" s="69" t="s">
        <v>229</v>
      </c>
      <c r="T48" s="70" t="s">
        <v>229</v>
      </c>
      <c r="U48" s="71" t="s">
        <v>229</v>
      </c>
      <c r="V48" s="72" t="s">
        <v>229</v>
      </c>
      <c r="W48" s="73" t="s">
        <v>229</v>
      </c>
      <c r="X48" s="72" t="s">
        <v>229</v>
      </c>
      <c r="Y48" s="70" t="s">
        <v>229</v>
      </c>
      <c r="Z48" s="73" t="s">
        <v>229</v>
      </c>
    </row>
    <row r="49" ht="15.75" customHeight="1">
      <c r="A49" s="68"/>
      <c r="B49" s="74"/>
      <c r="C49" s="74"/>
      <c r="D49" s="68"/>
      <c r="E49" s="68"/>
      <c r="F49" s="68"/>
      <c r="G49" s="75"/>
      <c r="H49" s="75"/>
      <c r="I49" s="76"/>
      <c r="J49" s="76"/>
      <c r="K49" s="67"/>
      <c r="L49" s="68"/>
      <c r="M49" s="68"/>
      <c r="N49" s="69" t="s">
        <v>229</v>
      </c>
      <c r="O49" s="69" t="s">
        <v>229</v>
      </c>
      <c r="P49" s="69" t="s">
        <v>229</v>
      </c>
      <c r="Q49" s="69" t="s">
        <v>229</v>
      </c>
      <c r="R49" s="69" t="s">
        <v>229</v>
      </c>
      <c r="S49" s="69" t="s">
        <v>229</v>
      </c>
      <c r="T49" s="70" t="s">
        <v>229</v>
      </c>
      <c r="U49" s="71" t="s">
        <v>229</v>
      </c>
      <c r="V49" s="72" t="s">
        <v>229</v>
      </c>
      <c r="W49" s="73" t="s">
        <v>229</v>
      </c>
      <c r="X49" s="72" t="s">
        <v>229</v>
      </c>
      <c r="Y49" s="70" t="s">
        <v>229</v>
      </c>
      <c r="Z49" s="73" t="s">
        <v>229</v>
      </c>
    </row>
    <row r="50" ht="15.75" customHeight="1">
      <c r="A50" s="68"/>
      <c r="B50" s="74"/>
      <c r="C50" s="74"/>
      <c r="D50" s="68"/>
      <c r="E50" s="68"/>
      <c r="F50" s="68"/>
      <c r="G50" s="75"/>
      <c r="H50" s="75"/>
      <c r="I50" s="76"/>
      <c r="J50" s="76"/>
      <c r="K50" s="67"/>
      <c r="L50" s="68"/>
      <c r="M50" s="68"/>
      <c r="N50" s="69" t="s">
        <v>229</v>
      </c>
      <c r="O50" s="69" t="s">
        <v>229</v>
      </c>
      <c r="P50" s="69" t="s">
        <v>229</v>
      </c>
      <c r="Q50" s="69" t="s">
        <v>229</v>
      </c>
      <c r="R50" s="69" t="s">
        <v>229</v>
      </c>
      <c r="S50" s="69" t="s">
        <v>229</v>
      </c>
      <c r="T50" s="70" t="s">
        <v>229</v>
      </c>
      <c r="U50" s="71" t="s">
        <v>229</v>
      </c>
      <c r="V50" s="72" t="s">
        <v>229</v>
      </c>
      <c r="W50" s="73" t="s">
        <v>229</v>
      </c>
      <c r="X50" s="72" t="s">
        <v>229</v>
      </c>
      <c r="Y50" s="70" t="s">
        <v>229</v>
      </c>
      <c r="Z50" s="73" t="s">
        <v>229</v>
      </c>
    </row>
    <row r="51" ht="15.75" customHeight="1">
      <c r="A51" s="68"/>
      <c r="B51" s="74"/>
      <c r="C51" s="74"/>
      <c r="D51" s="68"/>
      <c r="E51" s="68"/>
      <c r="F51" s="68"/>
      <c r="G51" s="75"/>
      <c r="H51" s="75"/>
      <c r="I51" s="76"/>
      <c r="J51" s="76"/>
      <c r="K51" s="67"/>
      <c r="L51" s="68"/>
      <c r="M51" s="68"/>
      <c r="N51" s="69" t="s">
        <v>229</v>
      </c>
      <c r="O51" s="69" t="s">
        <v>229</v>
      </c>
      <c r="P51" s="69" t="s">
        <v>229</v>
      </c>
      <c r="Q51" s="69" t="s">
        <v>229</v>
      </c>
      <c r="R51" s="69" t="s">
        <v>229</v>
      </c>
      <c r="S51" s="69" t="s">
        <v>229</v>
      </c>
      <c r="T51" s="70" t="s">
        <v>229</v>
      </c>
      <c r="U51" s="71" t="s">
        <v>229</v>
      </c>
      <c r="V51" s="72" t="s">
        <v>229</v>
      </c>
      <c r="W51" s="73" t="s">
        <v>229</v>
      </c>
      <c r="X51" s="72" t="s">
        <v>229</v>
      </c>
      <c r="Y51" s="70" t="s">
        <v>229</v>
      </c>
      <c r="Z51" s="73" t="s">
        <v>229</v>
      </c>
    </row>
    <row r="52" ht="15.75" customHeight="1">
      <c r="A52" s="68"/>
      <c r="B52" s="74"/>
      <c r="C52" s="74"/>
      <c r="D52" s="68"/>
      <c r="E52" s="68"/>
      <c r="F52" s="68"/>
      <c r="G52" s="75"/>
      <c r="H52" s="75"/>
      <c r="I52" s="76"/>
      <c r="J52" s="76"/>
      <c r="K52" s="67"/>
      <c r="L52" s="68"/>
      <c r="M52" s="68"/>
      <c r="N52" s="69" t="s">
        <v>229</v>
      </c>
      <c r="O52" s="69" t="s">
        <v>229</v>
      </c>
      <c r="P52" s="69" t="s">
        <v>229</v>
      </c>
      <c r="Q52" s="69" t="s">
        <v>229</v>
      </c>
      <c r="R52" s="69" t="s">
        <v>229</v>
      </c>
      <c r="S52" s="69" t="s">
        <v>229</v>
      </c>
      <c r="T52" s="70" t="s">
        <v>229</v>
      </c>
      <c r="U52" s="71" t="s">
        <v>229</v>
      </c>
      <c r="V52" s="72" t="s">
        <v>229</v>
      </c>
      <c r="W52" s="73" t="s">
        <v>229</v>
      </c>
      <c r="X52" s="72" t="s">
        <v>229</v>
      </c>
      <c r="Y52" s="70" t="s">
        <v>229</v>
      </c>
      <c r="Z52" s="73" t="s">
        <v>229</v>
      </c>
    </row>
    <row r="53" ht="15.75" customHeight="1">
      <c r="A53" s="68"/>
      <c r="B53" s="74"/>
      <c r="C53" s="74"/>
      <c r="D53" s="68"/>
      <c r="E53" s="68"/>
      <c r="F53" s="68"/>
      <c r="G53" s="75"/>
      <c r="H53" s="75"/>
      <c r="I53" s="76"/>
      <c r="J53" s="76"/>
      <c r="K53" s="67"/>
      <c r="L53" s="68"/>
      <c r="M53" s="68"/>
      <c r="N53" s="69" t="s">
        <v>229</v>
      </c>
      <c r="O53" s="69" t="s">
        <v>229</v>
      </c>
      <c r="P53" s="69" t="s">
        <v>229</v>
      </c>
      <c r="Q53" s="69" t="s">
        <v>229</v>
      </c>
      <c r="R53" s="69" t="s">
        <v>229</v>
      </c>
      <c r="S53" s="69" t="s">
        <v>229</v>
      </c>
      <c r="T53" s="70" t="s">
        <v>229</v>
      </c>
      <c r="U53" s="71" t="s">
        <v>229</v>
      </c>
      <c r="V53" s="72" t="s">
        <v>229</v>
      </c>
      <c r="W53" s="73" t="s">
        <v>229</v>
      </c>
      <c r="X53" s="72" t="s">
        <v>229</v>
      </c>
      <c r="Y53" s="70" t="s">
        <v>229</v>
      </c>
      <c r="Z53" s="73" t="s">
        <v>229</v>
      </c>
    </row>
    <row r="54" ht="15.75" customHeight="1">
      <c r="A54" s="68"/>
      <c r="B54" s="74"/>
      <c r="C54" s="74"/>
      <c r="D54" s="68"/>
      <c r="E54" s="68"/>
      <c r="F54" s="68"/>
      <c r="G54" s="75"/>
      <c r="H54" s="75"/>
      <c r="I54" s="76"/>
      <c r="J54" s="76"/>
      <c r="K54" s="67"/>
      <c r="L54" s="68"/>
      <c r="M54" s="68"/>
      <c r="N54" s="69" t="s">
        <v>229</v>
      </c>
      <c r="O54" s="69" t="s">
        <v>229</v>
      </c>
      <c r="P54" s="69" t="s">
        <v>229</v>
      </c>
      <c r="Q54" s="69" t="s">
        <v>229</v>
      </c>
      <c r="R54" s="69" t="s">
        <v>229</v>
      </c>
      <c r="S54" s="69" t="s">
        <v>229</v>
      </c>
      <c r="T54" s="70" t="s">
        <v>229</v>
      </c>
      <c r="U54" s="71" t="s">
        <v>229</v>
      </c>
      <c r="V54" s="72" t="s">
        <v>229</v>
      </c>
      <c r="W54" s="73" t="s">
        <v>229</v>
      </c>
      <c r="X54" s="72" t="s">
        <v>229</v>
      </c>
      <c r="Y54" s="70" t="s">
        <v>229</v>
      </c>
      <c r="Z54" s="73" t="s">
        <v>229</v>
      </c>
    </row>
    <row r="55" ht="15.75" customHeight="1">
      <c r="A55" s="68"/>
      <c r="B55" s="74"/>
      <c r="C55" s="74"/>
      <c r="D55" s="68"/>
      <c r="E55" s="68"/>
      <c r="F55" s="68"/>
      <c r="G55" s="75"/>
      <c r="H55" s="75"/>
      <c r="I55" s="76"/>
      <c r="J55" s="76"/>
      <c r="K55" s="67"/>
      <c r="L55" s="68"/>
      <c r="M55" s="68"/>
      <c r="N55" s="69" t="s">
        <v>229</v>
      </c>
      <c r="O55" s="69" t="s">
        <v>229</v>
      </c>
      <c r="P55" s="69" t="s">
        <v>229</v>
      </c>
      <c r="Q55" s="69" t="s">
        <v>229</v>
      </c>
      <c r="R55" s="69" t="s">
        <v>229</v>
      </c>
      <c r="S55" s="69" t="s">
        <v>229</v>
      </c>
      <c r="T55" s="70" t="s">
        <v>229</v>
      </c>
      <c r="U55" s="71" t="s">
        <v>229</v>
      </c>
      <c r="V55" s="72" t="s">
        <v>229</v>
      </c>
      <c r="W55" s="73" t="s">
        <v>229</v>
      </c>
      <c r="X55" s="72" t="s">
        <v>229</v>
      </c>
      <c r="Y55" s="70" t="s">
        <v>229</v>
      </c>
      <c r="Z55" s="73" t="s">
        <v>229</v>
      </c>
    </row>
    <row r="56" ht="15.75" customHeight="1">
      <c r="A56" s="68"/>
      <c r="B56" s="74"/>
      <c r="C56" s="74"/>
      <c r="D56" s="68"/>
      <c r="E56" s="68"/>
      <c r="F56" s="68"/>
      <c r="G56" s="75"/>
      <c r="H56" s="75"/>
      <c r="I56" s="76"/>
      <c r="J56" s="76"/>
      <c r="K56" s="67"/>
      <c r="L56" s="68"/>
      <c r="M56" s="68"/>
      <c r="N56" s="69" t="s">
        <v>229</v>
      </c>
      <c r="O56" s="69" t="s">
        <v>229</v>
      </c>
      <c r="P56" s="69" t="s">
        <v>229</v>
      </c>
      <c r="Q56" s="69" t="s">
        <v>229</v>
      </c>
      <c r="R56" s="69" t="s">
        <v>229</v>
      </c>
      <c r="S56" s="69" t="s">
        <v>229</v>
      </c>
      <c r="T56" s="70" t="s">
        <v>229</v>
      </c>
      <c r="U56" s="71" t="s">
        <v>229</v>
      </c>
      <c r="V56" s="72" t="s">
        <v>229</v>
      </c>
      <c r="W56" s="73" t="s">
        <v>229</v>
      </c>
      <c r="X56" s="72" t="s">
        <v>229</v>
      </c>
      <c r="Y56" s="70" t="s">
        <v>229</v>
      </c>
      <c r="Z56" s="73" t="s">
        <v>229</v>
      </c>
    </row>
    <row r="57" ht="15.75" customHeight="1">
      <c r="A57" s="68"/>
      <c r="B57" s="74"/>
      <c r="C57" s="74"/>
      <c r="D57" s="68"/>
      <c r="E57" s="68"/>
      <c r="F57" s="68"/>
      <c r="G57" s="75"/>
      <c r="H57" s="75"/>
      <c r="I57" s="76"/>
      <c r="J57" s="76"/>
      <c r="K57" s="67"/>
      <c r="L57" s="68"/>
      <c r="M57" s="68"/>
      <c r="N57" s="69" t="s">
        <v>229</v>
      </c>
      <c r="O57" s="69" t="s">
        <v>229</v>
      </c>
      <c r="P57" s="69" t="s">
        <v>229</v>
      </c>
      <c r="Q57" s="69" t="s">
        <v>229</v>
      </c>
      <c r="R57" s="69" t="s">
        <v>229</v>
      </c>
      <c r="S57" s="69" t="s">
        <v>229</v>
      </c>
      <c r="T57" s="70" t="s">
        <v>229</v>
      </c>
      <c r="U57" s="71" t="s">
        <v>229</v>
      </c>
      <c r="V57" s="72" t="s">
        <v>229</v>
      </c>
      <c r="W57" s="73" t="s">
        <v>229</v>
      </c>
      <c r="X57" s="72" t="s">
        <v>229</v>
      </c>
      <c r="Y57" s="70" t="s">
        <v>229</v>
      </c>
      <c r="Z57" s="73" t="s">
        <v>229</v>
      </c>
    </row>
    <row r="58" ht="15.75" customHeight="1">
      <c r="A58" s="68"/>
      <c r="B58" s="74"/>
      <c r="C58" s="74"/>
      <c r="D58" s="68"/>
      <c r="E58" s="68"/>
      <c r="F58" s="68"/>
      <c r="G58" s="75"/>
      <c r="H58" s="75"/>
      <c r="I58" s="76"/>
      <c r="J58" s="76"/>
      <c r="K58" s="67"/>
      <c r="L58" s="68"/>
      <c r="M58" s="68"/>
      <c r="N58" s="69" t="s">
        <v>229</v>
      </c>
      <c r="O58" s="69" t="s">
        <v>229</v>
      </c>
      <c r="P58" s="69" t="s">
        <v>229</v>
      </c>
      <c r="Q58" s="69" t="s">
        <v>229</v>
      </c>
      <c r="R58" s="69" t="s">
        <v>229</v>
      </c>
      <c r="S58" s="69" t="s">
        <v>229</v>
      </c>
      <c r="T58" s="70" t="s">
        <v>229</v>
      </c>
      <c r="U58" s="71" t="s">
        <v>229</v>
      </c>
      <c r="V58" s="72" t="s">
        <v>229</v>
      </c>
      <c r="W58" s="73" t="s">
        <v>229</v>
      </c>
      <c r="X58" s="72" t="s">
        <v>229</v>
      </c>
      <c r="Y58" s="70" t="s">
        <v>229</v>
      </c>
      <c r="Z58" s="73" t="s">
        <v>229</v>
      </c>
    </row>
    <row r="59" ht="15.75" customHeight="1">
      <c r="A59" s="68"/>
      <c r="B59" s="74"/>
      <c r="C59" s="74"/>
      <c r="D59" s="68"/>
      <c r="E59" s="68"/>
      <c r="F59" s="68"/>
      <c r="G59" s="75"/>
      <c r="H59" s="75"/>
      <c r="I59" s="76"/>
      <c r="J59" s="76"/>
      <c r="K59" s="67"/>
      <c r="L59" s="68"/>
      <c r="M59" s="68"/>
      <c r="N59" s="69" t="s">
        <v>229</v>
      </c>
      <c r="O59" s="69" t="s">
        <v>229</v>
      </c>
      <c r="P59" s="69" t="s">
        <v>229</v>
      </c>
      <c r="Q59" s="69" t="s">
        <v>229</v>
      </c>
      <c r="R59" s="69" t="s">
        <v>229</v>
      </c>
      <c r="S59" s="69" t="s">
        <v>229</v>
      </c>
      <c r="T59" s="70" t="s">
        <v>229</v>
      </c>
      <c r="U59" s="71" t="s">
        <v>229</v>
      </c>
      <c r="V59" s="72" t="s">
        <v>229</v>
      </c>
      <c r="W59" s="73" t="s">
        <v>229</v>
      </c>
      <c r="X59" s="72" t="s">
        <v>229</v>
      </c>
      <c r="Y59" s="70" t="s">
        <v>229</v>
      </c>
      <c r="Z59" s="73" t="s">
        <v>229</v>
      </c>
    </row>
    <row r="60" ht="15.75" customHeight="1">
      <c r="A60" s="68"/>
      <c r="B60" s="74"/>
      <c r="C60" s="74"/>
      <c r="D60" s="68"/>
      <c r="E60" s="68"/>
      <c r="F60" s="68"/>
      <c r="G60" s="75"/>
      <c r="H60" s="75"/>
      <c r="I60" s="76"/>
      <c r="J60" s="76"/>
      <c r="K60" s="67"/>
      <c r="L60" s="68"/>
      <c r="M60" s="68"/>
      <c r="N60" s="69" t="s">
        <v>229</v>
      </c>
      <c r="O60" s="69" t="s">
        <v>229</v>
      </c>
      <c r="P60" s="69" t="s">
        <v>229</v>
      </c>
      <c r="Q60" s="69" t="s">
        <v>229</v>
      </c>
      <c r="R60" s="69" t="s">
        <v>229</v>
      </c>
      <c r="S60" s="69" t="s">
        <v>229</v>
      </c>
      <c r="T60" s="70" t="s">
        <v>229</v>
      </c>
      <c r="U60" s="71" t="s">
        <v>229</v>
      </c>
      <c r="V60" s="72" t="s">
        <v>229</v>
      </c>
      <c r="W60" s="73" t="s">
        <v>229</v>
      </c>
      <c r="X60" s="72" t="s">
        <v>229</v>
      </c>
      <c r="Y60" s="70" t="s">
        <v>229</v>
      </c>
      <c r="Z60" s="73" t="s">
        <v>229</v>
      </c>
    </row>
    <row r="61" ht="15.75" customHeight="1">
      <c r="A61" s="68"/>
      <c r="B61" s="74"/>
      <c r="C61" s="74"/>
      <c r="D61" s="68"/>
      <c r="E61" s="68"/>
      <c r="F61" s="68"/>
      <c r="G61" s="75"/>
      <c r="H61" s="75"/>
      <c r="I61" s="76"/>
      <c r="J61" s="76"/>
      <c r="K61" s="67"/>
      <c r="L61" s="68"/>
      <c r="M61" s="68"/>
      <c r="N61" s="69" t="s">
        <v>229</v>
      </c>
      <c r="O61" s="69" t="s">
        <v>229</v>
      </c>
      <c r="P61" s="69" t="s">
        <v>229</v>
      </c>
      <c r="Q61" s="69" t="s">
        <v>229</v>
      </c>
      <c r="R61" s="69" t="s">
        <v>229</v>
      </c>
      <c r="S61" s="69" t="s">
        <v>229</v>
      </c>
      <c r="T61" s="70" t="s">
        <v>229</v>
      </c>
      <c r="U61" s="71" t="s">
        <v>229</v>
      </c>
      <c r="V61" s="72" t="s">
        <v>229</v>
      </c>
      <c r="W61" s="73" t="s">
        <v>229</v>
      </c>
      <c r="X61" s="72" t="s">
        <v>229</v>
      </c>
      <c r="Y61" s="70" t="s">
        <v>229</v>
      </c>
      <c r="Z61" s="73" t="s">
        <v>229</v>
      </c>
    </row>
    <row r="62" ht="15.75" customHeight="1">
      <c r="A62" s="68"/>
      <c r="B62" s="74"/>
      <c r="C62" s="74"/>
      <c r="D62" s="68"/>
      <c r="E62" s="68"/>
      <c r="F62" s="68"/>
      <c r="G62" s="75"/>
      <c r="H62" s="75"/>
      <c r="I62" s="76"/>
      <c r="J62" s="76"/>
      <c r="K62" s="67"/>
      <c r="L62" s="68"/>
      <c r="M62" s="68"/>
      <c r="N62" s="69" t="s">
        <v>229</v>
      </c>
      <c r="O62" s="69" t="s">
        <v>229</v>
      </c>
      <c r="P62" s="69" t="s">
        <v>229</v>
      </c>
      <c r="Q62" s="69" t="s">
        <v>229</v>
      </c>
      <c r="R62" s="69" t="s">
        <v>229</v>
      </c>
      <c r="S62" s="69" t="s">
        <v>229</v>
      </c>
      <c r="T62" s="70" t="s">
        <v>229</v>
      </c>
      <c r="U62" s="71" t="s">
        <v>229</v>
      </c>
      <c r="V62" s="72" t="s">
        <v>229</v>
      </c>
      <c r="W62" s="73" t="s">
        <v>229</v>
      </c>
      <c r="X62" s="72" t="s">
        <v>229</v>
      </c>
      <c r="Y62" s="70" t="s">
        <v>229</v>
      </c>
      <c r="Z62" s="73" t="s">
        <v>229</v>
      </c>
    </row>
    <row r="63" ht="15.75" customHeight="1">
      <c r="A63" s="68"/>
      <c r="B63" s="74"/>
      <c r="C63" s="74"/>
      <c r="D63" s="68"/>
      <c r="E63" s="68"/>
      <c r="F63" s="68"/>
      <c r="G63" s="75"/>
      <c r="H63" s="75"/>
      <c r="I63" s="76"/>
      <c r="J63" s="76"/>
      <c r="K63" s="67"/>
      <c r="L63" s="68"/>
      <c r="M63" s="68"/>
      <c r="N63" s="69" t="s">
        <v>229</v>
      </c>
      <c r="O63" s="69" t="s">
        <v>229</v>
      </c>
      <c r="P63" s="69" t="s">
        <v>229</v>
      </c>
      <c r="Q63" s="69" t="s">
        <v>229</v>
      </c>
      <c r="R63" s="69" t="s">
        <v>229</v>
      </c>
      <c r="S63" s="69" t="s">
        <v>229</v>
      </c>
      <c r="T63" s="70" t="s">
        <v>229</v>
      </c>
      <c r="U63" s="71" t="s">
        <v>229</v>
      </c>
      <c r="V63" s="72" t="s">
        <v>229</v>
      </c>
      <c r="W63" s="73" t="s">
        <v>229</v>
      </c>
      <c r="X63" s="72" t="s">
        <v>229</v>
      </c>
      <c r="Y63" s="70" t="s">
        <v>229</v>
      </c>
      <c r="Z63" s="73" t="s">
        <v>229</v>
      </c>
    </row>
    <row r="64" ht="15.75" customHeight="1">
      <c r="A64" s="68"/>
      <c r="B64" s="74"/>
      <c r="C64" s="74"/>
      <c r="D64" s="68"/>
      <c r="E64" s="68"/>
      <c r="F64" s="68"/>
      <c r="G64" s="75"/>
      <c r="H64" s="75"/>
      <c r="I64" s="76"/>
      <c r="J64" s="76"/>
      <c r="K64" s="67"/>
      <c r="L64" s="68"/>
      <c r="M64" s="68"/>
      <c r="N64" s="69" t="s">
        <v>229</v>
      </c>
      <c r="O64" s="69" t="s">
        <v>229</v>
      </c>
      <c r="P64" s="69" t="s">
        <v>229</v>
      </c>
      <c r="Q64" s="69" t="s">
        <v>229</v>
      </c>
      <c r="R64" s="69" t="s">
        <v>229</v>
      </c>
      <c r="S64" s="69" t="s">
        <v>229</v>
      </c>
      <c r="T64" s="70" t="s">
        <v>229</v>
      </c>
      <c r="U64" s="71" t="s">
        <v>229</v>
      </c>
      <c r="V64" s="72" t="s">
        <v>229</v>
      </c>
      <c r="W64" s="73" t="s">
        <v>229</v>
      </c>
      <c r="X64" s="72" t="s">
        <v>229</v>
      </c>
      <c r="Y64" s="70" t="s">
        <v>229</v>
      </c>
      <c r="Z64" s="73" t="s">
        <v>229</v>
      </c>
    </row>
    <row r="65" ht="15.75" customHeight="1">
      <c r="A65" s="68"/>
      <c r="B65" s="74"/>
      <c r="C65" s="74"/>
      <c r="D65" s="68"/>
      <c r="E65" s="68"/>
      <c r="F65" s="68"/>
      <c r="G65" s="75"/>
      <c r="H65" s="75"/>
      <c r="I65" s="76"/>
      <c r="J65" s="76"/>
      <c r="K65" s="67"/>
      <c r="L65" s="68"/>
      <c r="M65" s="68"/>
      <c r="N65" s="69" t="s">
        <v>229</v>
      </c>
      <c r="O65" s="69" t="s">
        <v>229</v>
      </c>
      <c r="P65" s="69" t="s">
        <v>229</v>
      </c>
      <c r="Q65" s="69" t="s">
        <v>229</v>
      </c>
      <c r="R65" s="69" t="s">
        <v>229</v>
      </c>
      <c r="S65" s="69" t="s">
        <v>229</v>
      </c>
      <c r="T65" s="70" t="s">
        <v>229</v>
      </c>
      <c r="U65" s="71" t="s">
        <v>229</v>
      </c>
      <c r="V65" s="72" t="s">
        <v>229</v>
      </c>
      <c r="W65" s="73" t="s">
        <v>229</v>
      </c>
      <c r="X65" s="72" t="s">
        <v>229</v>
      </c>
      <c r="Y65" s="70" t="s">
        <v>229</v>
      </c>
      <c r="Z65" s="73" t="s">
        <v>229</v>
      </c>
    </row>
    <row r="66" ht="15.75" customHeight="1">
      <c r="A66" s="68"/>
      <c r="B66" s="74"/>
      <c r="C66" s="74"/>
      <c r="D66" s="68"/>
      <c r="E66" s="68"/>
      <c r="F66" s="68"/>
      <c r="G66" s="75"/>
      <c r="H66" s="75"/>
      <c r="I66" s="76"/>
      <c r="J66" s="76"/>
      <c r="K66" s="67"/>
      <c r="L66" s="68"/>
      <c r="M66" s="68"/>
      <c r="N66" s="69" t="s">
        <v>229</v>
      </c>
      <c r="O66" s="69" t="s">
        <v>229</v>
      </c>
      <c r="P66" s="69" t="s">
        <v>229</v>
      </c>
      <c r="Q66" s="69" t="s">
        <v>229</v>
      </c>
      <c r="R66" s="69" t="s">
        <v>229</v>
      </c>
      <c r="S66" s="69" t="s">
        <v>229</v>
      </c>
      <c r="T66" s="70" t="s">
        <v>229</v>
      </c>
      <c r="U66" s="71" t="s">
        <v>229</v>
      </c>
      <c r="V66" s="72" t="s">
        <v>229</v>
      </c>
      <c r="W66" s="73" t="s">
        <v>229</v>
      </c>
      <c r="X66" s="72" t="s">
        <v>229</v>
      </c>
      <c r="Y66" s="70" t="s">
        <v>229</v>
      </c>
      <c r="Z66" s="73" t="s">
        <v>229</v>
      </c>
    </row>
    <row r="67" ht="15.75" customHeight="1">
      <c r="A67" s="68"/>
      <c r="B67" s="74"/>
      <c r="C67" s="74"/>
      <c r="D67" s="68"/>
      <c r="E67" s="68"/>
      <c r="F67" s="68"/>
      <c r="G67" s="75"/>
      <c r="H67" s="75"/>
      <c r="I67" s="76"/>
      <c r="J67" s="76"/>
      <c r="K67" s="67"/>
      <c r="L67" s="68"/>
      <c r="M67" s="68"/>
      <c r="N67" s="69" t="s">
        <v>229</v>
      </c>
      <c r="O67" s="69" t="s">
        <v>229</v>
      </c>
      <c r="P67" s="69" t="s">
        <v>229</v>
      </c>
      <c r="Q67" s="69" t="s">
        <v>229</v>
      </c>
      <c r="R67" s="69" t="s">
        <v>229</v>
      </c>
      <c r="S67" s="69" t="s">
        <v>229</v>
      </c>
      <c r="T67" s="70" t="s">
        <v>229</v>
      </c>
      <c r="U67" s="71" t="s">
        <v>229</v>
      </c>
      <c r="V67" s="72" t="s">
        <v>229</v>
      </c>
      <c r="W67" s="73" t="s">
        <v>229</v>
      </c>
      <c r="X67" s="72" t="s">
        <v>229</v>
      </c>
      <c r="Y67" s="70" t="s">
        <v>229</v>
      </c>
      <c r="Z67" s="73" t="s">
        <v>229</v>
      </c>
    </row>
    <row r="68" ht="15.75" customHeight="1">
      <c r="A68" s="68"/>
      <c r="B68" s="74"/>
      <c r="C68" s="74"/>
      <c r="D68" s="68"/>
      <c r="E68" s="68"/>
      <c r="F68" s="68"/>
      <c r="G68" s="75"/>
      <c r="H68" s="75"/>
      <c r="I68" s="76"/>
      <c r="J68" s="76"/>
      <c r="K68" s="67"/>
      <c r="L68" s="68"/>
      <c r="M68" s="68"/>
      <c r="N68" s="69" t="s">
        <v>229</v>
      </c>
      <c r="O68" s="69" t="s">
        <v>229</v>
      </c>
      <c r="P68" s="69" t="s">
        <v>229</v>
      </c>
      <c r="Q68" s="69" t="s">
        <v>229</v>
      </c>
      <c r="R68" s="69" t="s">
        <v>229</v>
      </c>
      <c r="S68" s="69" t="s">
        <v>229</v>
      </c>
      <c r="T68" s="70" t="s">
        <v>229</v>
      </c>
      <c r="U68" s="71" t="s">
        <v>229</v>
      </c>
      <c r="V68" s="72" t="s">
        <v>229</v>
      </c>
      <c r="W68" s="73" t="s">
        <v>229</v>
      </c>
      <c r="X68" s="72" t="s">
        <v>229</v>
      </c>
      <c r="Y68" s="70" t="s">
        <v>229</v>
      </c>
      <c r="Z68" s="73" t="s">
        <v>229</v>
      </c>
    </row>
    <row r="69" ht="15.75" customHeight="1">
      <c r="A69" s="68"/>
      <c r="B69" s="74"/>
      <c r="C69" s="74"/>
      <c r="D69" s="68"/>
      <c r="E69" s="68"/>
      <c r="F69" s="68"/>
      <c r="G69" s="75"/>
      <c r="H69" s="75"/>
      <c r="I69" s="76"/>
      <c r="J69" s="76"/>
      <c r="K69" s="67"/>
      <c r="L69" s="68"/>
      <c r="M69" s="68"/>
      <c r="N69" s="69" t="s">
        <v>229</v>
      </c>
      <c r="O69" s="69" t="s">
        <v>229</v>
      </c>
      <c r="P69" s="69" t="s">
        <v>229</v>
      </c>
      <c r="Q69" s="69" t="s">
        <v>229</v>
      </c>
      <c r="R69" s="69" t="s">
        <v>229</v>
      </c>
      <c r="S69" s="69" t="s">
        <v>229</v>
      </c>
      <c r="T69" s="70" t="s">
        <v>229</v>
      </c>
      <c r="U69" s="71" t="s">
        <v>229</v>
      </c>
      <c r="V69" s="72" t="s">
        <v>229</v>
      </c>
      <c r="W69" s="73" t="s">
        <v>229</v>
      </c>
      <c r="X69" s="72" t="s">
        <v>229</v>
      </c>
      <c r="Y69" s="70" t="s">
        <v>229</v>
      </c>
      <c r="Z69" s="73" t="s">
        <v>229</v>
      </c>
    </row>
    <row r="70" ht="15.75" customHeight="1">
      <c r="A70" s="68"/>
      <c r="B70" s="74"/>
      <c r="C70" s="74"/>
      <c r="D70" s="68"/>
      <c r="E70" s="68"/>
      <c r="F70" s="68"/>
      <c r="G70" s="75"/>
      <c r="H70" s="75"/>
      <c r="I70" s="76"/>
      <c r="J70" s="76"/>
      <c r="K70" s="67"/>
      <c r="L70" s="68"/>
      <c r="M70" s="68"/>
      <c r="N70" s="69" t="s">
        <v>229</v>
      </c>
      <c r="O70" s="69" t="s">
        <v>229</v>
      </c>
      <c r="P70" s="69" t="s">
        <v>229</v>
      </c>
      <c r="Q70" s="69" t="s">
        <v>229</v>
      </c>
      <c r="R70" s="69" t="s">
        <v>229</v>
      </c>
      <c r="S70" s="69" t="s">
        <v>229</v>
      </c>
      <c r="T70" s="70" t="s">
        <v>229</v>
      </c>
      <c r="U70" s="71" t="s">
        <v>229</v>
      </c>
      <c r="V70" s="72" t="s">
        <v>229</v>
      </c>
      <c r="W70" s="73" t="s">
        <v>229</v>
      </c>
      <c r="X70" s="72" t="s">
        <v>229</v>
      </c>
      <c r="Y70" s="70" t="s">
        <v>229</v>
      </c>
      <c r="Z70" s="73" t="s">
        <v>229</v>
      </c>
    </row>
    <row r="71" ht="15.75" customHeight="1">
      <c r="A71" s="68"/>
      <c r="B71" s="74"/>
      <c r="C71" s="74"/>
      <c r="D71" s="68"/>
      <c r="E71" s="68"/>
      <c r="F71" s="68"/>
      <c r="G71" s="75"/>
      <c r="H71" s="75"/>
      <c r="I71" s="76"/>
      <c r="J71" s="76"/>
      <c r="K71" s="67"/>
      <c r="L71" s="68"/>
      <c r="M71" s="68"/>
      <c r="N71" s="69" t="s">
        <v>229</v>
      </c>
      <c r="O71" s="69" t="s">
        <v>229</v>
      </c>
      <c r="P71" s="69" t="s">
        <v>229</v>
      </c>
      <c r="Q71" s="69" t="s">
        <v>229</v>
      </c>
      <c r="R71" s="69" t="s">
        <v>229</v>
      </c>
      <c r="S71" s="69" t="s">
        <v>229</v>
      </c>
      <c r="T71" s="70" t="s">
        <v>229</v>
      </c>
      <c r="U71" s="71" t="s">
        <v>229</v>
      </c>
      <c r="V71" s="72" t="s">
        <v>229</v>
      </c>
      <c r="W71" s="73" t="s">
        <v>229</v>
      </c>
      <c r="X71" s="72" t="s">
        <v>229</v>
      </c>
      <c r="Y71" s="70" t="s">
        <v>229</v>
      </c>
      <c r="Z71" s="73" t="s">
        <v>229</v>
      </c>
    </row>
    <row r="72" ht="15.75" customHeight="1">
      <c r="A72" s="68"/>
      <c r="B72" s="74"/>
      <c r="C72" s="74"/>
      <c r="D72" s="68"/>
      <c r="E72" s="68"/>
      <c r="F72" s="68"/>
      <c r="G72" s="75"/>
      <c r="H72" s="75"/>
      <c r="I72" s="76"/>
      <c r="J72" s="76"/>
      <c r="K72" s="67"/>
      <c r="L72" s="68"/>
      <c r="M72" s="68"/>
      <c r="N72" s="69" t="s">
        <v>229</v>
      </c>
      <c r="O72" s="69" t="s">
        <v>229</v>
      </c>
      <c r="P72" s="69" t="s">
        <v>229</v>
      </c>
      <c r="Q72" s="69" t="s">
        <v>229</v>
      </c>
      <c r="R72" s="69" t="s">
        <v>229</v>
      </c>
      <c r="S72" s="69" t="s">
        <v>229</v>
      </c>
      <c r="T72" s="70" t="s">
        <v>229</v>
      </c>
      <c r="U72" s="71" t="s">
        <v>229</v>
      </c>
      <c r="V72" s="72" t="s">
        <v>229</v>
      </c>
      <c r="W72" s="73" t="s">
        <v>229</v>
      </c>
      <c r="X72" s="72" t="s">
        <v>229</v>
      </c>
      <c r="Y72" s="70" t="s">
        <v>229</v>
      </c>
      <c r="Z72" s="73" t="s">
        <v>229</v>
      </c>
    </row>
    <row r="73" ht="15.75" customHeight="1">
      <c r="A73" s="68"/>
      <c r="B73" s="74"/>
      <c r="C73" s="74"/>
      <c r="D73" s="68"/>
      <c r="E73" s="68"/>
      <c r="F73" s="68"/>
      <c r="G73" s="75"/>
      <c r="H73" s="75"/>
      <c r="I73" s="76"/>
      <c r="J73" s="76"/>
      <c r="K73" s="67"/>
      <c r="L73" s="68"/>
      <c r="M73" s="68"/>
      <c r="N73" s="69" t="s">
        <v>229</v>
      </c>
      <c r="O73" s="69" t="s">
        <v>229</v>
      </c>
      <c r="P73" s="69" t="s">
        <v>229</v>
      </c>
      <c r="Q73" s="69" t="s">
        <v>229</v>
      </c>
      <c r="R73" s="69" t="s">
        <v>229</v>
      </c>
      <c r="S73" s="69" t="s">
        <v>229</v>
      </c>
      <c r="T73" s="70" t="s">
        <v>229</v>
      </c>
      <c r="U73" s="71" t="s">
        <v>229</v>
      </c>
      <c r="V73" s="72" t="s">
        <v>229</v>
      </c>
      <c r="W73" s="73" t="s">
        <v>229</v>
      </c>
      <c r="X73" s="72" t="s">
        <v>229</v>
      </c>
      <c r="Y73" s="70" t="s">
        <v>229</v>
      </c>
      <c r="Z73" s="73" t="s">
        <v>229</v>
      </c>
    </row>
    <row r="74" ht="15.75" customHeight="1">
      <c r="A74" s="68"/>
      <c r="B74" s="74"/>
      <c r="C74" s="74"/>
      <c r="D74" s="68"/>
      <c r="E74" s="68"/>
      <c r="F74" s="68"/>
      <c r="G74" s="75"/>
      <c r="H74" s="75"/>
      <c r="I74" s="76"/>
      <c r="J74" s="76"/>
      <c r="K74" s="67"/>
      <c r="L74" s="68"/>
      <c r="M74" s="68"/>
      <c r="N74" s="69" t="s">
        <v>229</v>
      </c>
      <c r="O74" s="69" t="s">
        <v>229</v>
      </c>
      <c r="P74" s="69" t="s">
        <v>229</v>
      </c>
      <c r="Q74" s="69" t="s">
        <v>229</v>
      </c>
      <c r="R74" s="69" t="s">
        <v>229</v>
      </c>
      <c r="S74" s="69" t="s">
        <v>229</v>
      </c>
      <c r="T74" s="70" t="s">
        <v>229</v>
      </c>
      <c r="U74" s="71" t="s">
        <v>229</v>
      </c>
      <c r="V74" s="72" t="s">
        <v>229</v>
      </c>
      <c r="W74" s="73" t="s">
        <v>229</v>
      </c>
      <c r="X74" s="72" t="s">
        <v>229</v>
      </c>
      <c r="Y74" s="70" t="s">
        <v>229</v>
      </c>
      <c r="Z74" s="73" t="s">
        <v>229</v>
      </c>
    </row>
    <row r="75" ht="15.75" customHeight="1">
      <c r="A75" s="68"/>
      <c r="B75" s="74"/>
      <c r="C75" s="74"/>
      <c r="D75" s="68"/>
      <c r="E75" s="68"/>
      <c r="F75" s="68"/>
      <c r="G75" s="75"/>
      <c r="H75" s="75"/>
      <c r="I75" s="76"/>
      <c r="J75" s="76"/>
      <c r="K75" s="67"/>
      <c r="L75" s="68"/>
      <c r="M75" s="68"/>
      <c r="N75" s="69" t="s">
        <v>229</v>
      </c>
      <c r="O75" s="69" t="s">
        <v>229</v>
      </c>
      <c r="P75" s="69" t="s">
        <v>229</v>
      </c>
      <c r="Q75" s="69" t="s">
        <v>229</v>
      </c>
      <c r="R75" s="69" t="s">
        <v>229</v>
      </c>
      <c r="S75" s="69" t="s">
        <v>229</v>
      </c>
      <c r="T75" s="70" t="s">
        <v>229</v>
      </c>
      <c r="U75" s="71" t="s">
        <v>229</v>
      </c>
      <c r="V75" s="72" t="s">
        <v>229</v>
      </c>
      <c r="W75" s="73" t="s">
        <v>229</v>
      </c>
      <c r="X75" s="72" t="s">
        <v>229</v>
      </c>
      <c r="Y75" s="70" t="s">
        <v>229</v>
      </c>
      <c r="Z75" s="73" t="s">
        <v>229</v>
      </c>
    </row>
    <row r="76" ht="15.75" customHeight="1">
      <c r="A76" s="68"/>
      <c r="B76" s="74"/>
      <c r="C76" s="74"/>
      <c r="D76" s="68"/>
      <c r="E76" s="68"/>
      <c r="F76" s="68"/>
      <c r="G76" s="75"/>
      <c r="H76" s="75"/>
      <c r="I76" s="76"/>
      <c r="J76" s="76"/>
      <c r="K76" s="67"/>
      <c r="L76" s="68"/>
      <c r="M76" s="68"/>
      <c r="N76" s="69" t="s">
        <v>229</v>
      </c>
      <c r="O76" s="69" t="s">
        <v>229</v>
      </c>
      <c r="P76" s="69" t="s">
        <v>229</v>
      </c>
      <c r="Q76" s="69" t="s">
        <v>229</v>
      </c>
      <c r="R76" s="69" t="s">
        <v>229</v>
      </c>
      <c r="S76" s="69" t="s">
        <v>229</v>
      </c>
      <c r="T76" s="70" t="s">
        <v>229</v>
      </c>
      <c r="U76" s="71" t="s">
        <v>229</v>
      </c>
      <c r="V76" s="72" t="s">
        <v>229</v>
      </c>
      <c r="W76" s="73" t="s">
        <v>229</v>
      </c>
      <c r="X76" s="72" t="s">
        <v>229</v>
      </c>
      <c r="Y76" s="70" t="s">
        <v>229</v>
      </c>
      <c r="Z76" s="73" t="s">
        <v>229</v>
      </c>
    </row>
    <row r="77" ht="15.75" customHeight="1">
      <c r="A77" s="68"/>
      <c r="B77" s="74"/>
      <c r="C77" s="74"/>
      <c r="D77" s="68"/>
      <c r="E77" s="68"/>
      <c r="F77" s="68"/>
      <c r="G77" s="75"/>
      <c r="H77" s="75"/>
      <c r="I77" s="76"/>
      <c r="J77" s="76"/>
      <c r="K77" s="67"/>
      <c r="L77" s="68"/>
      <c r="M77" s="68"/>
      <c r="N77" s="69" t="s">
        <v>229</v>
      </c>
      <c r="O77" s="69" t="s">
        <v>229</v>
      </c>
      <c r="P77" s="69" t="s">
        <v>229</v>
      </c>
      <c r="Q77" s="69" t="s">
        <v>229</v>
      </c>
      <c r="R77" s="69" t="s">
        <v>229</v>
      </c>
      <c r="S77" s="69" t="s">
        <v>229</v>
      </c>
      <c r="T77" s="70" t="s">
        <v>229</v>
      </c>
      <c r="U77" s="71" t="s">
        <v>229</v>
      </c>
      <c r="V77" s="72" t="s">
        <v>229</v>
      </c>
      <c r="W77" s="73" t="s">
        <v>229</v>
      </c>
      <c r="X77" s="72" t="s">
        <v>229</v>
      </c>
      <c r="Y77" s="70" t="s">
        <v>229</v>
      </c>
      <c r="Z77" s="73" t="s">
        <v>229</v>
      </c>
    </row>
    <row r="78" ht="15.75" customHeight="1">
      <c r="A78" s="68"/>
      <c r="B78" s="74"/>
      <c r="C78" s="74"/>
      <c r="D78" s="68"/>
      <c r="E78" s="68"/>
      <c r="F78" s="68"/>
      <c r="G78" s="75"/>
      <c r="H78" s="75"/>
      <c r="I78" s="76"/>
      <c r="J78" s="76"/>
      <c r="K78" s="67"/>
      <c r="L78" s="68"/>
      <c r="M78" s="68"/>
      <c r="N78" s="69" t="s">
        <v>229</v>
      </c>
      <c r="O78" s="69" t="s">
        <v>229</v>
      </c>
      <c r="P78" s="69" t="s">
        <v>229</v>
      </c>
      <c r="Q78" s="69" t="s">
        <v>229</v>
      </c>
      <c r="R78" s="69" t="s">
        <v>229</v>
      </c>
      <c r="S78" s="69" t="s">
        <v>229</v>
      </c>
      <c r="T78" s="70" t="s">
        <v>229</v>
      </c>
      <c r="U78" s="71" t="s">
        <v>229</v>
      </c>
      <c r="V78" s="72" t="s">
        <v>229</v>
      </c>
      <c r="W78" s="73" t="s">
        <v>229</v>
      </c>
      <c r="X78" s="72" t="s">
        <v>229</v>
      </c>
      <c r="Y78" s="70" t="s">
        <v>229</v>
      </c>
      <c r="Z78" s="73" t="s">
        <v>229</v>
      </c>
    </row>
    <row r="79" ht="15.75" customHeight="1">
      <c r="A79" s="68"/>
      <c r="B79" s="74"/>
      <c r="C79" s="74"/>
      <c r="D79" s="68"/>
      <c r="E79" s="68"/>
      <c r="F79" s="68"/>
      <c r="G79" s="75"/>
      <c r="H79" s="75"/>
      <c r="I79" s="76"/>
      <c r="J79" s="76"/>
      <c r="K79" s="67"/>
      <c r="L79" s="68"/>
      <c r="M79" s="68"/>
      <c r="N79" s="69" t="s">
        <v>229</v>
      </c>
      <c r="O79" s="69" t="s">
        <v>229</v>
      </c>
      <c r="P79" s="69" t="s">
        <v>229</v>
      </c>
      <c r="Q79" s="69" t="s">
        <v>229</v>
      </c>
      <c r="R79" s="69" t="s">
        <v>229</v>
      </c>
      <c r="S79" s="69" t="s">
        <v>229</v>
      </c>
      <c r="T79" s="70" t="s">
        <v>229</v>
      </c>
      <c r="U79" s="71" t="s">
        <v>229</v>
      </c>
      <c r="V79" s="72" t="s">
        <v>229</v>
      </c>
      <c r="W79" s="73" t="s">
        <v>229</v>
      </c>
      <c r="X79" s="72" t="s">
        <v>229</v>
      </c>
      <c r="Y79" s="70" t="s">
        <v>229</v>
      </c>
      <c r="Z79" s="73" t="s">
        <v>229</v>
      </c>
    </row>
    <row r="80" ht="15.75" customHeight="1">
      <c r="A80" s="68"/>
      <c r="B80" s="74"/>
      <c r="C80" s="74"/>
      <c r="D80" s="68"/>
      <c r="E80" s="68"/>
      <c r="F80" s="68"/>
      <c r="G80" s="75"/>
      <c r="H80" s="75"/>
      <c r="I80" s="76"/>
      <c r="J80" s="76"/>
      <c r="K80" s="67"/>
      <c r="L80" s="68"/>
      <c r="M80" s="68"/>
      <c r="N80" s="69" t="s">
        <v>229</v>
      </c>
      <c r="O80" s="69" t="s">
        <v>229</v>
      </c>
      <c r="P80" s="69" t="s">
        <v>229</v>
      </c>
      <c r="Q80" s="69" t="s">
        <v>229</v>
      </c>
      <c r="R80" s="69" t="s">
        <v>229</v>
      </c>
      <c r="S80" s="69" t="s">
        <v>229</v>
      </c>
      <c r="T80" s="70" t="s">
        <v>229</v>
      </c>
      <c r="U80" s="71" t="s">
        <v>229</v>
      </c>
      <c r="V80" s="72" t="s">
        <v>229</v>
      </c>
      <c r="W80" s="73" t="s">
        <v>229</v>
      </c>
      <c r="X80" s="72" t="s">
        <v>229</v>
      </c>
      <c r="Y80" s="70" t="s">
        <v>229</v>
      </c>
      <c r="Z80" s="73" t="s">
        <v>229</v>
      </c>
    </row>
    <row r="81" ht="15.75" customHeight="1">
      <c r="A81" s="68"/>
      <c r="B81" s="74"/>
      <c r="C81" s="74"/>
      <c r="D81" s="68"/>
      <c r="E81" s="68"/>
      <c r="F81" s="68"/>
      <c r="G81" s="75"/>
      <c r="H81" s="75"/>
      <c r="I81" s="76"/>
      <c r="J81" s="76"/>
      <c r="K81" s="67"/>
      <c r="L81" s="68"/>
      <c r="M81" s="68"/>
      <c r="N81" s="69" t="s">
        <v>229</v>
      </c>
      <c r="O81" s="69" t="s">
        <v>229</v>
      </c>
      <c r="P81" s="69" t="s">
        <v>229</v>
      </c>
      <c r="Q81" s="69" t="s">
        <v>229</v>
      </c>
      <c r="R81" s="69" t="s">
        <v>229</v>
      </c>
      <c r="S81" s="69" t="s">
        <v>229</v>
      </c>
      <c r="T81" s="70" t="s">
        <v>229</v>
      </c>
      <c r="U81" s="71" t="s">
        <v>229</v>
      </c>
      <c r="V81" s="72" t="s">
        <v>229</v>
      </c>
      <c r="W81" s="73" t="s">
        <v>229</v>
      </c>
      <c r="X81" s="72" t="s">
        <v>229</v>
      </c>
      <c r="Y81" s="70" t="s">
        <v>229</v>
      </c>
      <c r="Z81" s="73" t="s">
        <v>229</v>
      </c>
    </row>
    <row r="82" ht="15.75" customHeight="1">
      <c r="A82" s="68"/>
      <c r="B82" s="74"/>
      <c r="C82" s="74"/>
      <c r="D82" s="68"/>
      <c r="E82" s="68"/>
      <c r="F82" s="68"/>
      <c r="G82" s="75"/>
      <c r="H82" s="75"/>
      <c r="I82" s="76"/>
      <c r="J82" s="76"/>
      <c r="K82" s="67"/>
      <c r="L82" s="68"/>
      <c r="M82" s="68"/>
      <c r="N82" s="69" t="s">
        <v>229</v>
      </c>
      <c r="O82" s="69" t="s">
        <v>229</v>
      </c>
      <c r="P82" s="69" t="s">
        <v>229</v>
      </c>
      <c r="Q82" s="69" t="s">
        <v>229</v>
      </c>
      <c r="R82" s="69" t="s">
        <v>229</v>
      </c>
      <c r="S82" s="69" t="s">
        <v>229</v>
      </c>
      <c r="T82" s="70" t="s">
        <v>229</v>
      </c>
      <c r="U82" s="71" t="s">
        <v>229</v>
      </c>
      <c r="V82" s="72" t="s">
        <v>229</v>
      </c>
      <c r="W82" s="73" t="s">
        <v>229</v>
      </c>
      <c r="X82" s="72" t="s">
        <v>229</v>
      </c>
      <c r="Y82" s="70" t="s">
        <v>229</v>
      </c>
      <c r="Z82" s="73" t="s">
        <v>229</v>
      </c>
    </row>
    <row r="83" ht="15.75" customHeight="1">
      <c r="A83" s="68"/>
      <c r="B83" s="74"/>
      <c r="C83" s="74"/>
      <c r="D83" s="68"/>
      <c r="E83" s="68"/>
      <c r="F83" s="68"/>
      <c r="G83" s="75"/>
      <c r="H83" s="75"/>
      <c r="I83" s="76"/>
      <c r="J83" s="76"/>
      <c r="K83" s="67"/>
      <c r="L83" s="68"/>
      <c r="M83" s="68"/>
      <c r="N83" s="69" t="s">
        <v>229</v>
      </c>
      <c r="O83" s="69" t="s">
        <v>229</v>
      </c>
      <c r="P83" s="69" t="s">
        <v>229</v>
      </c>
      <c r="Q83" s="69" t="s">
        <v>229</v>
      </c>
      <c r="R83" s="69" t="s">
        <v>229</v>
      </c>
      <c r="S83" s="69" t="s">
        <v>229</v>
      </c>
      <c r="T83" s="70" t="s">
        <v>229</v>
      </c>
      <c r="U83" s="71" t="s">
        <v>229</v>
      </c>
      <c r="V83" s="72" t="s">
        <v>229</v>
      </c>
      <c r="W83" s="73" t="s">
        <v>229</v>
      </c>
      <c r="X83" s="72" t="s">
        <v>229</v>
      </c>
      <c r="Y83" s="70" t="s">
        <v>229</v>
      </c>
      <c r="Z83" s="73" t="s">
        <v>229</v>
      </c>
    </row>
    <row r="84" ht="15.75" customHeight="1">
      <c r="A84" s="68"/>
      <c r="B84" s="74"/>
      <c r="C84" s="74"/>
      <c r="D84" s="68"/>
      <c r="E84" s="68"/>
      <c r="F84" s="68"/>
      <c r="G84" s="75"/>
      <c r="H84" s="75"/>
      <c r="I84" s="76"/>
      <c r="J84" s="76"/>
      <c r="K84" s="67"/>
      <c r="L84" s="68"/>
      <c r="M84" s="68"/>
      <c r="N84" s="69" t="s">
        <v>229</v>
      </c>
      <c r="O84" s="69" t="s">
        <v>229</v>
      </c>
      <c r="P84" s="69" t="s">
        <v>229</v>
      </c>
      <c r="Q84" s="69" t="s">
        <v>229</v>
      </c>
      <c r="R84" s="69" t="s">
        <v>229</v>
      </c>
      <c r="S84" s="69" t="s">
        <v>229</v>
      </c>
      <c r="T84" s="70" t="s">
        <v>229</v>
      </c>
      <c r="U84" s="71" t="s">
        <v>229</v>
      </c>
      <c r="V84" s="72" t="s">
        <v>229</v>
      </c>
      <c r="W84" s="73" t="s">
        <v>229</v>
      </c>
      <c r="X84" s="72" t="s">
        <v>229</v>
      </c>
      <c r="Y84" s="70" t="s">
        <v>229</v>
      </c>
      <c r="Z84" s="73" t="s">
        <v>229</v>
      </c>
    </row>
    <row r="85" ht="15.75" customHeight="1">
      <c r="A85" s="68"/>
      <c r="B85" s="74"/>
      <c r="C85" s="74"/>
      <c r="D85" s="68"/>
      <c r="E85" s="68"/>
      <c r="F85" s="68"/>
      <c r="G85" s="75"/>
      <c r="H85" s="75"/>
      <c r="I85" s="76"/>
      <c r="J85" s="76"/>
      <c r="K85" s="67"/>
      <c r="L85" s="68"/>
      <c r="M85" s="68"/>
      <c r="N85" s="69" t="s">
        <v>229</v>
      </c>
      <c r="O85" s="69" t="s">
        <v>229</v>
      </c>
      <c r="P85" s="69" t="s">
        <v>229</v>
      </c>
      <c r="Q85" s="69" t="s">
        <v>229</v>
      </c>
      <c r="R85" s="69" t="s">
        <v>229</v>
      </c>
      <c r="S85" s="69" t="s">
        <v>229</v>
      </c>
      <c r="T85" s="70" t="s">
        <v>229</v>
      </c>
      <c r="U85" s="71" t="s">
        <v>229</v>
      </c>
      <c r="V85" s="72" t="s">
        <v>229</v>
      </c>
      <c r="W85" s="73" t="s">
        <v>229</v>
      </c>
      <c r="X85" s="72" t="s">
        <v>229</v>
      </c>
      <c r="Y85" s="70" t="s">
        <v>229</v>
      </c>
      <c r="Z85" s="73" t="s">
        <v>229</v>
      </c>
    </row>
    <row r="86" ht="15.75" customHeight="1">
      <c r="A86" s="68"/>
      <c r="B86" s="74"/>
      <c r="C86" s="74"/>
      <c r="D86" s="68"/>
      <c r="E86" s="68"/>
      <c r="F86" s="68"/>
      <c r="G86" s="75"/>
      <c r="H86" s="75"/>
      <c r="I86" s="76"/>
      <c r="J86" s="76"/>
      <c r="K86" s="67"/>
      <c r="L86" s="68"/>
      <c r="M86" s="68"/>
      <c r="N86" s="69" t="s">
        <v>229</v>
      </c>
      <c r="O86" s="69" t="s">
        <v>229</v>
      </c>
      <c r="P86" s="69" t="s">
        <v>229</v>
      </c>
      <c r="Q86" s="69" t="s">
        <v>229</v>
      </c>
      <c r="R86" s="69" t="s">
        <v>229</v>
      </c>
      <c r="S86" s="69" t="s">
        <v>229</v>
      </c>
      <c r="T86" s="70" t="s">
        <v>229</v>
      </c>
      <c r="U86" s="71" t="s">
        <v>229</v>
      </c>
      <c r="V86" s="72" t="s">
        <v>229</v>
      </c>
      <c r="W86" s="73" t="s">
        <v>229</v>
      </c>
      <c r="X86" s="72" t="s">
        <v>229</v>
      </c>
      <c r="Y86" s="70" t="s">
        <v>229</v>
      </c>
      <c r="Z86" s="73" t="s">
        <v>229</v>
      </c>
    </row>
    <row r="87" ht="15.75" customHeight="1">
      <c r="A87" s="68"/>
      <c r="B87" s="74"/>
      <c r="C87" s="74"/>
      <c r="D87" s="68"/>
      <c r="E87" s="68"/>
      <c r="F87" s="68"/>
      <c r="G87" s="75"/>
      <c r="H87" s="75"/>
      <c r="I87" s="76"/>
      <c r="J87" s="76"/>
      <c r="K87" s="67"/>
      <c r="L87" s="68"/>
      <c r="M87" s="68"/>
      <c r="N87" s="69" t="s">
        <v>229</v>
      </c>
      <c r="O87" s="69" t="s">
        <v>229</v>
      </c>
      <c r="P87" s="69" t="s">
        <v>229</v>
      </c>
      <c r="Q87" s="69" t="s">
        <v>229</v>
      </c>
      <c r="R87" s="69" t="s">
        <v>229</v>
      </c>
      <c r="S87" s="69" t="s">
        <v>229</v>
      </c>
      <c r="T87" s="70" t="s">
        <v>229</v>
      </c>
      <c r="U87" s="71" t="s">
        <v>229</v>
      </c>
      <c r="V87" s="72" t="s">
        <v>229</v>
      </c>
      <c r="W87" s="73" t="s">
        <v>229</v>
      </c>
      <c r="X87" s="72" t="s">
        <v>229</v>
      </c>
      <c r="Y87" s="70" t="s">
        <v>229</v>
      </c>
      <c r="Z87" s="73" t="s">
        <v>229</v>
      </c>
    </row>
    <row r="88" ht="15.75" customHeight="1">
      <c r="A88" s="68"/>
      <c r="B88" s="74"/>
      <c r="C88" s="74"/>
      <c r="D88" s="68"/>
      <c r="E88" s="68"/>
      <c r="F88" s="68"/>
      <c r="G88" s="75"/>
      <c r="H88" s="75"/>
      <c r="I88" s="76"/>
      <c r="J88" s="76"/>
      <c r="K88" s="67"/>
      <c r="L88" s="68"/>
      <c r="M88" s="68"/>
      <c r="N88" s="69" t="s">
        <v>229</v>
      </c>
      <c r="O88" s="69" t="s">
        <v>229</v>
      </c>
      <c r="P88" s="69" t="s">
        <v>229</v>
      </c>
      <c r="Q88" s="69" t="s">
        <v>229</v>
      </c>
      <c r="R88" s="69" t="s">
        <v>229</v>
      </c>
      <c r="S88" s="69" t="s">
        <v>229</v>
      </c>
      <c r="T88" s="70" t="s">
        <v>229</v>
      </c>
      <c r="U88" s="71" t="s">
        <v>229</v>
      </c>
      <c r="V88" s="72" t="s">
        <v>229</v>
      </c>
      <c r="W88" s="73" t="s">
        <v>229</v>
      </c>
      <c r="X88" s="72" t="s">
        <v>229</v>
      </c>
      <c r="Y88" s="70" t="s">
        <v>229</v>
      </c>
      <c r="Z88" s="73" t="s">
        <v>229</v>
      </c>
    </row>
    <row r="89" ht="15.75" customHeight="1">
      <c r="A89" s="68"/>
      <c r="B89" s="74"/>
      <c r="C89" s="74"/>
      <c r="D89" s="68"/>
      <c r="E89" s="68"/>
      <c r="F89" s="68"/>
      <c r="G89" s="75"/>
      <c r="H89" s="75"/>
      <c r="I89" s="76"/>
      <c r="J89" s="76"/>
      <c r="K89" s="67"/>
      <c r="L89" s="68"/>
      <c r="M89" s="68"/>
      <c r="N89" s="69" t="s">
        <v>229</v>
      </c>
      <c r="O89" s="69" t="s">
        <v>229</v>
      </c>
      <c r="P89" s="69" t="s">
        <v>229</v>
      </c>
      <c r="Q89" s="69" t="s">
        <v>229</v>
      </c>
      <c r="R89" s="69" t="s">
        <v>229</v>
      </c>
      <c r="S89" s="69" t="s">
        <v>229</v>
      </c>
      <c r="T89" s="70" t="s">
        <v>229</v>
      </c>
      <c r="U89" s="71" t="s">
        <v>229</v>
      </c>
      <c r="V89" s="72" t="s">
        <v>229</v>
      </c>
      <c r="W89" s="73" t="s">
        <v>229</v>
      </c>
      <c r="X89" s="72" t="s">
        <v>229</v>
      </c>
      <c r="Y89" s="70" t="s">
        <v>229</v>
      </c>
      <c r="Z89" s="73" t="s">
        <v>229</v>
      </c>
    </row>
    <row r="90" ht="15.75" customHeight="1">
      <c r="A90" s="68"/>
      <c r="B90" s="74"/>
      <c r="C90" s="74"/>
      <c r="D90" s="68"/>
      <c r="E90" s="68"/>
      <c r="F90" s="68"/>
      <c r="G90" s="75"/>
      <c r="H90" s="75"/>
      <c r="I90" s="76"/>
      <c r="J90" s="76"/>
      <c r="K90" s="67"/>
      <c r="L90" s="68"/>
      <c r="M90" s="68"/>
      <c r="N90" s="69" t="s">
        <v>229</v>
      </c>
      <c r="O90" s="69" t="s">
        <v>229</v>
      </c>
      <c r="P90" s="69" t="s">
        <v>229</v>
      </c>
      <c r="Q90" s="69" t="s">
        <v>229</v>
      </c>
      <c r="R90" s="69" t="s">
        <v>229</v>
      </c>
      <c r="S90" s="69" t="s">
        <v>229</v>
      </c>
      <c r="T90" s="70" t="s">
        <v>229</v>
      </c>
      <c r="U90" s="71" t="s">
        <v>229</v>
      </c>
      <c r="V90" s="72" t="s">
        <v>229</v>
      </c>
      <c r="W90" s="73" t="s">
        <v>229</v>
      </c>
      <c r="X90" s="72" t="s">
        <v>229</v>
      </c>
      <c r="Y90" s="70" t="s">
        <v>229</v>
      </c>
      <c r="Z90" s="73" t="s">
        <v>229</v>
      </c>
    </row>
    <row r="91" ht="15.75" customHeight="1">
      <c r="A91" s="68"/>
      <c r="B91" s="74"/>
      <c r="C91" s="74"/>
      <c r="D91" s="68"/>
      <c r="E91" s="68"/>
      <c r="F91" s="68"/>
      <c r="G91" s="75"/>
      <c r="H91" s="75"/>
      <c r="I91" s="76"/>
      <c r="J91" s="76"/>
      <c r="K91" s="67"/>
      <c r="L91" s="68"/>
      <c r="M91" s="68"/>
      <c r="N91" s="69" t="s">
        <v>229</v>
      </c>
      <c r="O91" s="69" t="s">
        <v>229</v>
      </c>
      <c r="P91" s="69" t="s">
        <v>229</v>
      </c>
      <c r="Q91" s="69" t="s">
        <v>229</v>
      </c>
      <c r="R91" s="69" t="s">
        <v>229</v>
      </c>
      <c r="S91" s="69" t="s">
        <v>229</v>
      </c>
      <c r="T91" s="70" t="s">
        <v>229</v>
      </c>
      <c r="U91" s="71" t="s">
        <v>229</v>
      </c>
      <c r="V91" s="72" t="s">
        <v>229</v>
      </c>
      <c r="W91" s="73" t="s">
        <v>229</v>
      </c>
      <c r="X91" s="72" t="s">
        <v>229</v>
      </c>
      <c r="Y91" s="70" t="s">
        <v>229</v>
      </c>
      <c r="Z91" s="73" t="s">
        <v>229</v>
      </c>
    </row>
    <row r="92" ht="15.75" customHeight="1">
      <c r="A92" s="68"/>
      <c r="B92" s="74"/>
      <c r="C92" s="74"/>
      <c r="D92" s="68"/>
      <c r="E92" s="68"/>
      <c r="F92" s="68"/>
      <c r="G92" s="75"/>
      <c r="H92" s="75"/>
      <c r="I92" s="76"/>
      <c r="J92" s="76"/>
      <c r="K92" s="67"/>
      <c r="L92" s="68"/>
      <c r="M92" s="68"/>
      <c r="N92" s="69" t="s">
        <v>229</v>
      </c>
      <c r="O92" s="69" t="s">
        <v>229</v>
      </c>
      <c r="P92" s="69" t="s">
        <v>229</v>
      </c>
      <c r="Q92" s="69" t="s">
        <v>229</v>
      </c>
      <c r="R92" s="69" t="s">
        <v>229</v>
      </c>
      <c r="S92" s="69" t="s">
        <v>229</v>
      </c>
      <c r="T92" s="70" t="s">
        <v>229</v>
      </c>
      <c r="U92" s="71" t="s">
        <v>229</v>
      </c>
      <c r="V92" s="72" t="s">
        <v>229</v>
      </c>
      <c r="W92" s="73" t="s">
        <v>229</v>
      </c>
      <c r="X92" s="72" t="s">
        <v>229</v>
      </c>
      <c r="Y92" s="70" t="s">
        <v>229</v>
      </c>
      <c r="Z92" s="73" t="s">
        <v>229</v>
      </c>
    </row>
    <row r="93" ht="15.75" customHeight="1">
      <c r="A93" s="68"/>
      <c r="B93" s="74"/>
      <c r="C93" s="74"/>
      <c r="D93" s="68"/>
      <c r="E93" s="68"/>
      <c r="F93" s="68"/>
      <c r="G93" s="75"/>
      <c r="H93" s="75"/>
      <c r="I93" s="76"/>
      <c r="J93" s="76"/>
      <c r="K93" s="67"/>
      <c r="L93" s="68"/>
      <c r="M93" s="68"/>
      <c r="N93" s="69" t="s">
        <v>229</v>
      </c>
      <c r="O93" s="69" t="s">
        <v>229</v>
      </c>
      <c r="P93" s="69" t="s">
        <v>229</v>
      </c>
      <c r="Q93" s="69" t="s">
        <v>229</v>
      </c>
      <c r="R93" s="69" t="s">
        <v>229</v>
      </c>
      <c r="S93" s="69" t="s">
        <v>229</v>
      </c>
      <c r="T93" s="70" t="s">
        <v>229</v>
      </c>
      <c r="U93" s="71" t="s">
        <v>229</v>
      </c>
      <c r="V93" s="72" t="s">
        <v>229</v>
      </c>
      <c r="W93" s="73" t="s">
        <v>229</v>
      </c>
      <c r="X93" s="72" t="s">
        <v>229</v>
      </c>
      <c r="Y93" s="70" t="s">
        <v>229</v>
      </c>
      <c r="Z93" s="73" t="s">
        <v>229</v>
      </c>
    </row>
    <row r="94" ht="15.75" customHeight="1">
      <c r="A94" s="68"/>
      <c r="B94" s="74"/>
      <c r="C94" s="74"/>
      <c r="D94" s="68"/>
      <c r="E94" s="77"/>
      <c r="F94" s="68"/>
      <c r="G94" s="75"/>
      <c r="H94" s="75"/>
      <c r="I94" s="76"/>
      <c r="J94" s="76"/>
      <c r="K94" s="67"/>
      <c r="L94" s="68"/>
      <c r="M94" s="68"/>
      <c r="N94" s="69" t="s">
        <v>229</v>
      </c>
      <c r="O94" s="69" t="s">
        <v>229</v>
      </c>
      <c r="P94" s="69" t="s">
        <v>229</v>
      </c>
      <c r="Q94" s="69" t="s">
        <v>229</v>
      </c>
      <c r="R94" s="69" t="s">
        <v>229</v>
      </c>
      <c r="S94" s="69" t="s">
        <v>229</v>
      </c>
      <c r="T94" s="70" t="s">
        <v>229</v>
      </c>
      <c r="U94" s="71" t="s">
        <v>229</v>
      </c>
      <c r="V94" s="72" t="s">
        <v>229</v>
      </c>
      <c r="W94" s="73" t="s">
        <v>229</v>
      </c>
      <c r="X94" s="72" t="s">
        <v>229</v>
      </c>
      <c r="Y94" s="70" t="s">
        <v>229</v>
      </c>
      <c r="Z94" s="73" t="s">
        <v>229</v>
      </c>
    </row>
    <row r="95" ht="15.75" customHeight="1">
      <c r="A95" s="68"/>
      <c r="B95" s="74"/>
      <c r="C95" s="74"/>
      <c r="D95" s="68"/>
      <c r="E95" s="68"/>
      <c r="F95" s="68"/>
      <c r="G95" s="75"/>
      <c r="H95" s="75"/>
      <c r="I95" s="76"/>
      <c r="J95" s="76"/>
      <c r="K95" s="67"/>
      <c r="L95" s="68"/>
      <c r="M95" s="68"/>
      <c r="N95" s="69" t="s">
        <v>229</v>
      </c>
      <c r="O95" s="69" t="s">
        <v>229</v>
      </c>
      <c r="P95" s="69" t="s">
        <v>229</v>
      </c>
      <c r="Q95" s="69" t="s">
        <v>229</v>
      </c>
      <c r="R95" s="69" t="s">
        <v>229</v>
      </c>
      <c r="S95" s="69" t="s">
        <v>229</v>
      </c>
      <c r="T95" s="70" t="s">
        <v>229</v>
      </c>
      <c r="U95" s="71" t="s">
        <v>229</v>
      </c>
      <c r="V95" s="72" t="s">
        <v>229</v>
      </c>
      <c r="W95" s="73" t="s">
        <v>229</v>
      </c>
      <c r="X95" s="72" t="s">
        <v>229</v>
      </c>
      <c r="Y95" s="70" t="s">
        <v>229</v>
      </c>
      <c r="Z95" s="73" t="s">
        <v>229</v>
      </c>
    </row>
    <row r="96" ht="15.75" customHeight="1">
      <c r="A96" s="68"/>
      <c r="B96" s="74"/>
      <c r="C96" s="74"/>
      <c r="D96" s="68"/>
      <c r="E96" s="77"/>
      <c r="F96" s="68"/>
      <c r="G96" s="75"/>
      <c r="H96" s="75"/>
      <c r="I96" s="76"/>
      <c r="J96" s="76"/>
      <c r="K96" s="67"/>
      <c r="L96" s="68"/>
      <c r="M96" s="68"/>
      <c r="N96" s="69" t="s">
        <v>229</v>
      </c>
      <c r="O96" s="69" t="s">
        <v>229</v>
      </c>
      <c r="P96" s="69" t="s">
        <v>229</v>
      </c>
      <c r="Q96" s="69" t="s">
        <v>229</v>
      </c>
      <c r="R96" s="69" t="s">
        <v>229</v>
      </c>
      <c r="S96" s="69" t="s">
        <v>229</v>
      </c>
      <c r="T96" s="70" t="s">
        <v>229</v>
      </c>
      <c r="U96" s="71" t="s">
        <v>229</v>
      </c>
      <c r="V96" s="72" t="s">
        <v>229</v>
      </c>
      <c r="W96" s="73" t="s">
        <v>229</v>
      </c>
      <c r="X96" s="72" t="s">
        <v>229</v>
      </c>
      <c r="Y96" s="70" t="s">
        <v>229</v>
      </c>
      <c r="Z96" s="73" t="s">
        <v>229</v>
      </c>
    </row>
    <row r="97" ht="15.75" customHeight="1">
      <c r="A97" s="68"/>
      <c r="B97" s="74"/>
      <c r="C97" s="74"/>
      <c r="D97" s="68"/>
      <c r="E97" s="77"/>
      <c r="F97" s="68"/>
      <c r="G97" s="75"/>
      <c r="H97" s="75"/>
      <c r="I97" s="76"/>
      <c r="J97" s="76"/>
      <c r="K97" s="67"/>
      <c r="L97" s="68"/>
      <c r="M97" s="68"/>
      <c r="N97" s="69" t="s">
        <v>229</v>
      </c>
      <c r="O97" s="69" t="s">
        <v>229</v>
      </c>
      <c r="P97" s="69" t="s">
        <v>229</v>
      </c>
      <c r="Q97" s="69" t="s">
        <v>229</v>
      </c>
      <c r="R97" s="69" t="s">
        <v>229</v>
      </c>
      <c r="S97" s="69" t="s">
        <v>229</v>
      </c>
      <c r="T97" s="70" t="s">
        <v>229</v>
      </c>
      <c r="U97" s="71" t="s">
        <v>229</v>
      </c>
      <c r="V97" s="72" t="s">
        <v>229</v>
      </c>
      <c r="W97" s="73" t="s">
        <v>229</v>
      </c>
      <c r="X97" s="72" t="s">
        <v>229</v>
      </c>
      <c r="Y97" s="70" t="s">
        <v>229</v>
      </c>
      <c r="Z97" s="73" t="s">
        <v>229</v>
      </c>
    </row>
    <row r="98" ht="15.75" customHeight="1">
      <c r="A98" s="68"/>
      <c r="B98" s="74"/>
      <c r="C98" s="74"/>
      <c r="D98" s="68"/>
      <c r="E98" s="77"/>
      <c r="F98" s="68"/>
      <c r="G98" s="75"/>
      <c r="H98" s="75"/>
      <c r="I98" s="76"/>
      <c r="J98" s="76"/>
      <c r="K98" s="67"/>
      <c r="L98" s="68"/>
      <c r="M98" s="68"/>
      <c r="N98" s="69" t="s">
        <v>229</v>
      </c>
      <c r="O98" s="69" t="s">
        <v>229</v>
      </c>
      <c r="P98" s="69" t="s">
        <v>229</v>
      </c>
      <c r="Q98" s="69" t="s">
        <v>229</v>
      </c>
      <c r="R98" s="69" t="s">
        <v>229</v>
      </c>
      <c r="S98" s="69" t="s">
        <v>229</v>
      </c>
      <c r="T98" s="70" t="s">
        <v>229</v>
      </c>
      <c r="U98" s="71" t="s">
        <v>229</v>
      </c>
      <c r="V98" s="72" t="s">
        <v>229</v>
      </c>
      <c r="W98" s="73" t="s">
        <v>229</v>
      </c>
      <c r="X98" s="72" t="s">
        <v>229</v>
      </c>
      <c r="Y98" s="70" t="s">
        <v>229</v>
      </c>
      <c r="Z98" s="73" t="s">
        <v>229</v>
      </c>
    </row>
    <row r="99" ht="15.75" customHeight="1">
      <c r="A99" s="68"/>
      <c r="B99" s="74"/>
      <c r="C99" s="74"/>
      <c r="D99" s="68"/>
      <c r="E99" s="77"/>
      <c r="F99" s="68"/>
      <c r="G99" s="75"/>
      <c r="H99" s="75"/>
      <c r="I99" s="76"/>
      <c r="J99" s="76"/>
      <c r="K99" s="67"/>
      <c r="L99" s="68"/>
      <c r="M99" s="68"/>
      <c r="N99" s="69" t="s">
        <v>229</v>
      </c>
      <c r="O99" s="69" t="s">
        <v>229</v>
      </c>
      <c r="P99" s="69" t="s">
        <v>229</v>
      </c>
      <c r="Q99" s="69" t="s">
        <v>229</v>
      </c>
      <c r="R99" s="69" t="s">
        <v>229</v>
      </c>
      <c r="S99" s="69" t="s">
        <v>229</v>
      </c>
      <c r="T99" s="70" t="s">
        <v>229</v>
      </c>
      <c r="U99" s="71" t="s">
        <v>229</v>
      </c>
      <c r="V99" s="72" t="s">
        <v>229</v>
      </c>
      <c r="W99" s="73" t="s">
        <v>229</v>
      </c>
      <c r="X99" s="72" t="s">
        <v>229</v>
      </c>
      <c r="Y99" s="70" t="s">
        <v>229</v>
      </c>
      <c r="Z99" s="73" t="s">
        <v>229</v>
      </c>
    </row>
    <row r="100" ht="15.75" customHeight="1">
      <c r="A100" s="68"/>
      <c r="B100" s="74"/>
      <c r="C100" s="74"/>
      <c r="D100" s="68"/>
      <c r="E100" s="77"/>
      <c r="F100" s="68"/>
      <c r="G100" s="75"/>
      <c r="H100" s="75"/>
      <c r="I100" s="76"/>
      <c r="J100" s="76"/>
      <c r="K100" s="67"/>
      <c r="L100" s="68"/>
      <c r="M100" s="68"/>
      <c r="N100" s="69" t="s">
        <v>229</v>
      </c>
      <c r="O100" s="69" t="s">
        <v>229</v>
      </c>
      <c r="P100" s="69" t="s">
        <v>229</v>
      </c>
      <c r="Q100" s="69" t="s">
        <v>229</v>
      </c>
      <c r="R100" s="69" t="s">
        <v>229</v>
      </c>
      <c r="S100" s="69" t="s">
        <v>229</v>
      </c>
      <c r="T100" s="70" t="s">
        <v>229</v>
      </c>
      <c r="U100" s="71" t="s">
        <v>229</v>
      </c>
      <c r="V100" s="72" t="s">
        <v>229</v>
      </c>
      <c r="W100" s="73" t="s">
        <v>229</v>
      </c>
      <c r="X100" s="72" t="s">
        <v>229</v>
      </c>
      <c r="Y100" s="70" t="s">
        <v>229</v>
      </c>
      <c r="Z100" s="73" t="s">
        <v>229</v>
      </c>
    </row>
    <row r="101" ht="15.75" customHeight="1">
      <c r="A101" s="68"/>
      <c r="B101" s="74"/>
      <c r="C101" s="74"/>
      <c r="D101" s="68"/>
      <c r="E101" s="77"/>
      <c r="F101" s="68"/>
      <c r="G101" s="75"/>
      <c r="H101" s="75"/>
      <c r="I101" s="76"/>
      <c r="J101" s="76"/>
      <c r="K101" s="67"/>
      <c r="L101" s="68"/>
      <c r="M101" s="68"/>
      <c r="N101" s="69" t="s">
        <v>229</v>
      </c>
      <c r="O101" s="69" t="s">
        <v>229</v>
      </c>
      <c r="P101" s="69" t="s">
        <v>229</v>
      </c>
      <c r="Q101" s="69" t="s">
        <v>229</v>
      </c>
      <c r="R101" s="69" t="s">
        <v>229</v>
      </c>
      <c r="S101" s="69" t="s">
        <v>229</v>
      </c>
      <c r="T101" s="70" t="s">
        <v>229</v>
      </c>
      <c r="U101" s="71" t="s">
        <v>229</v>
      </c>
      <c r="V101" s="72" t="s">
        <v>229</v>
      </c>
      <c r="W101" s="73" t="s">
        <v>229</v>
      </c>
      <c r="X101" s="72" t="s">
        <v>229</v>
      </c>
      <c r="Y101" s="70" t="s">
        <v>229</v>
      </c>
      <c r="Z101" s="73" t="s">
        <v>229</v>
      </c>
    </row>
    <row r="102" ht="15.75" customHeight="1">
      <c r="A102" s="68"/>
      <c r="B102" s="74"/>
      <c r="C102" s="74"/>
      <c r="D102" s="68"/>
      <c r="E102" s="77"/>
      <c r="F102" s="68"/>
      <c r="G102" s="75"/>
      <c r="H102" s="75"/>
      <c r="I102" s="76"/>
      <c r="J102" s="76"/>
      <c r="K102" s="67"/>
      <c r="L102" s="68"/>
      <c r="M102" s="68"/>
      <c r="N102" s="69" t="s">
        <v>229</v>
      </c>
      <c r="O102" s="69" t="s">
        <v>229</v>
      </c>
      <c r="P102" s="69" t="s">
        <v>229</v>
      </c>
      <c r="Q102" s="69" t="s">
        <v>229</v>
      </c>
      <c r="R102" s="69" t="s">
        <v>229</v>
      </c>
      <c r="S102" s="69" t="s">
        <v>229</v>
      </c>
      <c r="T102" s="70" t="s">
        <v>229</v>
      </c>
      <c r="U102" s="71" t="s">
        <v>229</v>
      </c>
      <c r="V102" s="72" t="s">
        <v>229</v>
      </c>
      <c r="W102" s="73" t="s">
        <v>229</v>
      </c>
      <c r="X102" s="72" t="s">
        <v>229</v>
      </c>
      <c r="Y102" s="70" t="s">
        <v>229</v>
      </c>
      <c r="Z102" s="73" t="s">
        <v>229</v>
      </c>
    </row>
    <row r="103" ht="15.75" customHeight="1">
      <c r="A103" s="68"/>
      <c r="B103" s="74"/>
      <c r="C103" s="74"/>
      <c r="D103" s="68"/>
      <c r="E103" s="77"/>
      <c r="F103" s="68"/>
      <c r="G103" s="75"/>
      <c r="H103" s="75"/>
      <c r="I103" s="76"/>
      <c r="J103" s="76"/>
      <c r="K103" s="67"/>
      <c r="L103" s="68"/>
      <c r="M103" s="68"/>
      <c r="N103" s="69" t="s">
        <v>229</v>
      </c>
      <c r="O103" s="69" t="s">
        <v>229</v>
      </c>
      <c r="P103" s="69" t="s">
        <v>229</v>
      </c>
      <c r="Q103" s="69" t="s">
        <v>229</v>
      </c>
      <c r="R103" s="69" t="s">
        <v>229</v>
      </c>
      <c r="S103" s="69" t="s">
        <v>229</v>
      </c>
      <c r="T103" s="70" t="s">
        <v>229</v>
      </c>
      <c r="U103" s="71" t="s">
        <v>229</v>
      </c>
      <c r="V103" s="72" t="s">
        <v>229</v>
      </c>
      <c r="W103" s="73" t="s">
        <v>229</v>
      </c>
      <c r="X103" s="72" t="s">
        <v>229</v>
      </c>
      <c r="Y103" s="70" t="s">
        <v>229</v>
      </c>
      <c r="Z103" s="73" t="s">
        <v>229</v>
      </c>
    </row>
    <row r="104" ht="15.75" customHeight="1">
      <c r="A104" s="68"/>
      <c r="B104" s="74"/>
      <c r="C104" s="74"/>
      <c r="D104" s="68"/>
      <c r="E104" s="77"/>
      <c r="F104" s="68"/>
      <c r="G104" s="75"/>
      <c r="H104" s="75"/>
      <c r="I104" s="76"/>
      <c r="J104" s="76"/>
      <c r="K104" s="67"/>
      <c r="L104" s="68"/>
      <c r="M104" s="68"/>
      <c r="N104" s="69" t="s">
        <v>229</v>
      </c>
      <c r="O104" s="69" t="s">
        <v>229</v>
      </c>
      <c r="P104" s="69" t="s">
        <v>229</v>
      </c>
      <c r="Q104" s="69" t="s">
        <v>229</v>
      </c>
      <c r="R104" s="69" t="s">
        <v>229</v>
      </c>
      <c r="S104" s="69" t="s">
        <v>229</v>
      </c>
      <c r="T104" s="70" t="s">
        <v>229</v>
      </c>
      <c r="U104" s="71" t="s">
        <v>229</v>
      </c>
      <c r="V104" s="72" t="s">
        <v>229</v>
      </c>
      <c r="W104" s="73" t="s">
        <v>229</v>
      </c>
      <c r="X104" s="72" t="s">
        <v>229</v>
      </c>
      <c r="Y104" s="70" t="s">
        <v>229</v>
      </c>
      <c r="Z104" s="73" t="s">
        <v>229</v>
      </c>
    </row>
    <row r="105" ht="15.75" customHeight="1">
      <c r="A105" s="68"/>
      <c r="B105" s="74"/>
      <c r="C105" s="74"/>
      <c r="D105" s="68"/>
      <c r="E105" s="77"/>
      <c r="F105" s="68"/>
      <c r="G105" s="75"/>
      <c r="H105" s="75"/>
      <c r="I105" s="76"/>
      <c r="J105" s="76"/>
      <c r="K105" s="67"/>
      <c r="L105" s="68"/>
      <c r="M105" s="68"/>
      <c r="N105" s="69" t="s">
        <v>229</v>
      </c>
      <c r="O105" s="69" t="s">
        <v>229</v>
      </c>
      <c r="P105" s="69" t="s">
        <v>229</v>
      </c>
      <c r="Q105" s="69" t="s">
        <v>229</v>
      </c>
      <c r="R105" s="69" t="s">
        <v>229</v>
      </c>
      <c r="S105" s="69" t="s">
        <v>229</v>
      </c>
      <c r="T105" s="70" t="s">
        <v>229</v>
      </c>
      <c r="U105" s="71" t="s">
        <v>229</v>
      </c>
      <c r="V105" s="72" t="s">
        <v>229</v>
      </c>
      <c r="W105" s="73" t="s">
        <v>229</v>
      </c>
      <c r="X105" s="72" t="s">
        <v>229</v>
      </c>
      <c r="Y105" s="70" t="s">
        <v>229</v>
      </c>
      <c r="Z105" s="73" t="s">
        <v>229</v>
      </c>
    </row>
    <row r="106" ht="15.75" customHeight="1">
      <c r="A106" s="68"/>
      <c r="B106" s="74"/>
      <c r="C106" s="74"/>
      <c r="D106" s="68"/>
      <c r="E106" s="77"/>
      <c r="F106" s="68"/>
      <c r="G106" s="75"/>
      <c r="H106" s="75"/>
      <c r="I106" s="76"/>
      <c r="J106" s="76"/>
      <c r="K106" s="67"/>
      <c r="L106" s="68"/>
      <c r="M106" s="68"/>
      <c r="N106" s="69" t="s">
        <v>229</v>
      </c>
      <c r="O106" s="69" t="s">
        <v>229</v>
      </c>
      <c r="P106" s="69" t="s">
        <v>229</v>
      </c>
      <c r="Q106" s="69" t="s">
        <v>229</v>
      </c>
      <c r="R106" s="69" t="s">
        <v>229</v>
      </c>
      <c r="S106" s="69" t="s">
        <v>229</v>
      </c>
      <c r="T106" s="70" t="s">
        <v>229</v>
      </c>
      <c r="U106" s="71" t="s">
        <v>229</v>
      </c>
      <c r="V106" s="72" t="s">
        <v>229</v>
      </c>
      <c r="W106" s="73" t="s">
        <v>229</v>
      </c>
      <c r="X106" s="72" t="s">
        <v>229</v>
      </c>
      <c r="Y106" s="70" t="s">
        <v>229</v>
      </c>
      <c r="Z106" s="73" t="s">
        <v>229</v>
      </c>
    </row>
    <row r="107" ht="15.75" customHeight="1">
      <c r="A107" s="68"/>
      <c r="B107" s="74"/>
      <c r="C107" s="74"/>
      <c r="D107" s="68"/>
      <c r="E107" s="77"/>
      <c r="F107" s="68"/>
      <c r="G107" s="75"/>
      <c r="H107" s="75"/>
      <c r="I107" s="76"/>
      <c r="J107" s="76"/>
      <c r="K107" s="67"/>
      <c r="L107" s="68"/>
      <c r="M107" s="68"/>
      <c r="N107" s="69" t="s">
        <v>229</v>
      </c>
      <c r="O107" s="69" t="s">
        <v>229</v>
      </c>
      <c r="P107" s="69" t="s">
        <v>229</v>
      </c>
      <c r="Q107" s="69" t="s">
        <v>229</v>
      </c>
      <c r="R107" s="69" t="s">
        <v>229</v>
      </c>
      <c r="S107" s="69" t="s">
        <v>229</v>
      </c>
      <c r="T107" s="70" t="s">
        <v>229</v>
      </c>
      <c r="U107" s="71" t="s">
        <v>229</v>
      </c>
      <c r="V107" s="72" t="s">
        <v>229</v>
      </c>
      <c r="W107" s="73" t="s">
        <v>229</v>
      </c>
      <c r="X107" s="72" t="s">
        <v>229</v>
      </c>
      <c r="Y107" s="70" t="s">
        <v>229</v>
      </c>
      <c r="Z107" s="73" t="s">
        <v>229</v>
      </c>
    </row>
    <row r="108" ht="15.75" customHeight="1">
      <c r="A108" s="68"/>
      <c r="B108" s="74"/>
      <c r="C108" s="74"/>
      <c r="D108" s="68"/>
      <c r="E108" s="77"/>
      <c r="F108" s="68"/>
      <c r="G108" s="75"/>
      <c r="H108" s="75"/>
      <c r="I108" s="76"/>
      <c r="J108" s="76"/>
      <c r="K108" s="67"/>
      <c r="L108" s="68"/>
      <c r="M108" s="68"/>
      <c r="N108" s="69" t="s">
        <v>229</v>
      </c>
      <c r="O108" s="69" t="s">
        <v>229</v>
      </c>
      <c r="P108" s="69" t="s">
        <v>229</v>
      </c>
      <c r="Q108" s="69" t="s">
        <v>229</v>
      </c>
      <c r="R108" s="69" t="s">
        <v>229</v>
      </c>
      <c r="S108" s="69" t="s">
        <v>229</v>
      </c>
      <c r="T108" s="70" t="s">
        <v>229</v>
      </c>
      <c r="U108" s="71" t="s">
        <v>229</v>
      </c>
      <c r="V108" s="72" t="s">
        <v>229</v>
      </c>
      <c r="W108" s="73" t="s">
        <v>229</v>
      </c>
      <c r="X108" s="72" t="s">
        <v>229</v>
      </c>
      <c r="Y108" s="70" t="s">
        <v>229</v>
      </c>
      <c r="Z108" s="73" t="s">
        <v>229</v>
      </c>
    </row>
    <row r="109" ht="15.75" customHeight="1">
      <c r="A109" s="68"/>
      <c r="B109" s="74"/>
      <c r="C109" s="74"/>
      <c r="D109" s="68"/>
      <c r="E109" s="77"/>
      <c r="F109" s="68"/>
      <c r="G109" s="75"/>
      <c r="H109" s="75"/>
      <c r="I109" s="76"/>
      <c r="J109" s="76"/>
      <c r="K109" s="67"/>
      <c r="L109" s="68"/>
      <c r="M109" s="68"/>
      <c r="N109" s="69" t="s">
        <v>229</v>
      </c>
      <c r="O109" s="69" t="s">
        <v>229</v>
      </c>
      <c r="P109" s="69" t="s">
        <v>229</v>
      </c>
      <c r="Q109" s="69" t="s">
        <v>229</v>
      </c>
      <c r="R109" s="69" t="s">
        <v>229</v>
      </c>
      <c r="S109" s="69" t="s">
        <v>229</v>
      </c>
      <c r="T109" s="70" t="s">
        <v>229</v>
      </c>
      <c r="U109" s="71" t="s">
        <v>229</v>
      </c>
      <c r="V109" s="72" t="s">
        <v>229</v>
      </c>
      <c r="W109" s="73" t="s">
        <v>229</v>
      </c>
      <c r="X109" s="72" t="s">
        <v>229</v>
      </c>
      <c r="Y109" s="70" t="s">
        <v>229</v>
      </c>
      <c r="Z109" s="73" t="s">
        <v>229</v>
      </c>
    </row>
    <row r="110" ht="15.75" customHeight="1">
      <c r="A110" s="68"/>
      <c r="B110" s="74"/>
      <c r="C110" s="74"/>
      <c r="D110" s="68"/>
      <c r="E110" s="77"/>
      <c r="F110" s="68"/>
      <c r="G110" s="75"/>
      <c r="H110" s="75"/>
      <c r="I110" s="76"/>
      <c r="J110" s="76"/>
      <c r="K110" s="67"/>
      <c r="L110" s="68"/>
      <c r="M110" s="68"/>
      <c r="N110" s="69" t="s">
        <v>229</v>
      </c>
      <c r="O110" s="69" t="s">
        <v>229</v>
      </c>
      <c r="P110" s="69" t="s">
        <v>229</v>
      </c>
      <c r="Q110" s="69" t="s">
        <v>229</v>
      </c>
      <c r="R110" s="69" t="s">
        <v>229</v>
      </c>
      <c r="S110" s="69" t="s">
        <v>229</v>
      </c>
      <c r="T110" s="70" t="s">
        <v>229</v>
      </c>
      <c r="U110" s="71" t="s">
        <v>229</v>
      </c>
      <c r="V110" s="72" t="s">
        <v>229</v>
      </c>
      <c r="W110" s="73" t="s">
        <v>229</v>
      </c>
      <c r="X110" s="72" t="s">
        <v>229</v>
      </c>
      <c r="Y110" s="70" t="s">
        <v>229</v>
      </c>
      <c r="Z110" s="73" t="s">
        <v>229</v>
      </c>
    </row>
    <row r="111" ht="15.75" customHeight="1">
      <c r="A111" s="68"/>
      <c r="B111" s="74"/>
      <c r="C111" s="74"/>
      <c r="D111" s="68"/>
      <c r="E111" s="77"/>
      <c r="F111" s="68"/>
      <c r="G111" s="75"/>
      <c r="H111" s="75"/>
      <c r="I111" s="76"/>
      <c r="J111" s="76"/>
      <c r="K111" s="67"/>
      <c r="L111" s="68"/>
      <c r="M111" s="68"/>
      <c r="N111" s="69" t="s">
        <v>229</v>
      </c>
      <c r="O111" s="69" t="s">
        <v>229</v>
      </c>
      <c r="P111" s="69" t="s">
        <v>229</v>
      </c>
      <c r="Q111" s="69" t="s">
        <v>229</v>
      </c>
      <c r="R111" s="69" t="s">
        <v>229</v>
      </c>
      <c r="S111" s="69" t="s">
        <v>229</v>
      </c>
      <c r="T111" s="70" t="s">
        <v>229</v>
      </c>
      <c r="U111" s="71" t="s">
        <v>229</v>
      </c>
      <c r="V111" s="72" t="s">
        <v>229</v>
      </c>
      <c r="W111" s="73" t="s">
        <v>229</v>
      </c>
      <c r="X111" s="72" t="s">
        <v>229</v>
      </c>
      <c r="Y111" s="70" t="s">
        <v>229</v>
      </c>
      <c r="Z111" s="73" t="s">
        <v>229</v>
      </c>
    </row>
    <row r="112" ht="15.75" customHeight="1">
      <c r="A112" s="68"/>
      <c r="B112" s="74"/>
      <c r="C112" s="74"/>
      <c r="D112" s="68"/>
      <c r="E112" s="77"/>
      <c r="F112" s="68"/>
      <c r="G112" s="75"/>
      <c r="H112" s="75"/>
      <c r="I112" s="76"/>
      <c r="J112" s="76"/>
      <c r="K112" s="67"/>
      <c r="L112" s="68"/>
      <c r="M112" s="68"/>
      <c r="N112" s="69" t="s">
        <v>229</v>
      </c>
      <c r="O112" s="69" t="s">
        <v>229</v>
      </c>
      <c r="P112" s="69" t="s">
        <v>229</v>
      </c>
      <c r="Q112" s="69" t="s">
        <v>229</v>
      </c>
      <c r="R112" s="69" t="s">
        <v>229</v>
      </c>
      <c r="S112" s="69" t="s">
        <v>229</v>
      </c>
      <c r="T112" s="70" t="s">
        <v>229</v>
      </c>
      <c r="U112" s="71" t="s">
        <v>229</v>
      </c>
      <c r="V112" s="72" t="s">
        <v>229</v>
      </c>
      <c r="W112" s="73" t="s">
        <v>229</v>
      </c>
      <c r="X112" s="72" t="s">
        <v>229</v>
      </c>
      <c r="Y112" s="70" t="s">
        <v>229</v>
      </c>
      <c r="Z112" s="73" t="s">
        <v>229</v>
      </c>
    </row>
    <row r="113" ht="15.75" customHeight="1">
      <c r="A113" s="68"/>
      <c r="B113" s="74"/>
      <c r="C113" s="74"/>
      <c r="D113" s="68"/>
      <c r="E113" s="77"/>
      <c r="F113" s="68"/>
      <c r="G113" s="75"/>
      <c r="H113" s="75"/>
      <c r="I113" s="76"/>
      <c r="J113" s="76"/>
      <c r="K113" s="67"/>
      <c r="L113" s="68"/>
      <c r="M113" s="68"/>
      <c r="N113" s="69" t="s">
        <v>229</v>
      </c>
      <c r="O113" s="69" t="s">
        <v>229</v>
      </c>
      <c r="P113" s="69" t="s">
        <v>229</v>
      </c>
      <c r="Q113" s="69" t="s">
        <v>229</v>
      </c>
      <c r="R113" s="69" t="s">
        <v>229</v>
      </c>
      <c r="S113" s="69" t="s">
        <v>229</v>
      </c>
      <c r="T113" s="70" t="s">
        <v>229</v>
      </c>
      <c r="U113" s="71" t="s">
        <v>229</v>
      </c>
      <c r="V113" s="72" t="s">
        <v>229</v>
      </c>
      <c r="W113" s="73" t="s">
        <v>229</v>
      </c>
      <c r="X113" s="72" t="s">
        <v>229</v>
      </c>
      <c r="Y113" s="70" t="s">
        <v>229</v>
      </c>
      <c r="Z113" s="73" t="s">
        <v>229</v>
      </c>
    </row>
    <row r="114" ht="15.75" customHeight="1">
      <c r="A114" s="68"/>
      <c r="B114" s="74"/>
      <c r="C114" s="74"/>
      <c r="D114" s="68"/>
      <c r="E114" s="77"/>
      <c r="F114" s="68"/>
      <c r="G114" s="75"/>
      <c r="H114" s="75"/>
      <c r="I114" s="76"/>
      <c r="J114" s="76"/>
      <c r="K114" s="67"/>
      <c r="L114" s="68"/>
      <c r="M114" s="68"/>
      <c r="N114" s="69" t="s">
        <v>229</v>
      </c>
      <c r="O114" s="69" t="s">
        <v>229</v>
      </c>
      <c r="P114" s="69" t="s">
        <v>229</v>
      </c>
      <c r="Q114" s="69" t="s">
        <v>229</v>
      </c>
      <c r="R114" s="69" t="s">
        <v>229</v>
      </c>
      <c r="S114" s="69" t="s">
        <v>229</v>
      </c>
      <c r="T114" s="70" t="s">
        <v>229</v>
      </c>
      <c r="U114" s="71" t="s">
        <v>229</v>
      </c>
      <c r="V114" s="72" t="s">
        <v>229</v>
      </c>
      <c r="W114" s="73" t="s">
        <v>229</v>
      </c>
      <c r="X114" s="72" t="s">
        <v>229</v>
      </c>
      <c r="Y114" s="70" t="s">
        <v>229</v>
      </c>
      <c r="Z114" s="73" t="s">
        <v>229</v>
      </c>
    </row>
    <row r="115" ht="15.75" customHeight="1">
      <c r="A115" s="68"/>
      <c r="B115" s="74"/>
      <c r="C115" s="74"/>
      <c r="D115" s="68"/>
      <c r="E115" s="77"/>
      <c r="F115" s="68"/>
      <c r="G115" s="75"/>
      <c r="H115" s="75"/>
      <c r="I115" s="76"/>
      <c r="J115" s="76"/>
      <c r="K115" s="67"/>
      <c r="L115" s="68"/>
      <c r="M115" s="68"/>
      <c r="N115" s="69" t="s">
        <v>229</v>
      </c>
      <c r="O115" s="69" t="s">
        <v>229</v>
      </c>
      <c r="P115" s="69" t="s">
        <v>229</v>
      </c>
      <c r="Q115" s="69" t="s">
        <v>229</v>
      </c>
      <c r="R115" s="69" t="s">
        <v>229</v>
      </c>
      <c r="S115" s="69" t="s">
        <v>229</v>
      </c>
      <c r="T115" s="70" t="s">
        <v>229</v>
      </c>
      <c r="U115" s="71" t="s">
        <v>229</v>
      </c>
      <c r="V115" s="72" t="s">
        <v>229</v>
      </c>
      <c r="W115" s="73" t="s">
        <v>229</v>
      </c>
      <c r="X115" s="72" t="s">
        <v>229</v>
      </c>
      <c r="Y115" s="70" t="s">
        <v>229</v>
      </c>
      <c r="Z115" s="73" t="s">
        <v>229</v>
      </c>
    </row>
    <row r="116" ht="15.75" customHeight="1">
      <c r="A116" s="68"/>
      <c r="B116" s="74"/>
      <c r="C116" s="74"/>
      <c r="D116" s="68"/>
      <c r="E116" s="77"/>
      <c r="F116" s="68"/>
      <c r="G116" s="75"/>
      <c r="H116" s="75"/>
      <c r="I116" s="76"/>
      <c r="J116" s="76"/>
      <c r="K116" s="67"/>
      <c r="L116" s="68"/>
      <c r="M116" s="68"/>
      <c r="N116" s="69" t="s">
        <v>229</v>
      </c>
      <c r="O116" s="69" t="s">
        <v>229</v>
      </c>
      <c r="P116" s="69" t="s">
        <v>229</v>
      </c>
      <c r="Q116" s="69" t="s">
        <v>229</v>
      </c>
      <c r="R116" s="69" t="s">
        <v>229</v>
      </c>
      <c r="S116" s="69" t="s">
        <v>229</v>
      </c>
      <c r="T116" s="70" t="s">
        <v>229</v>
      </c>
      <c r="U116" s="71" t="s">
        <v>229</v>
      </c>
      <c r="V116" s="72" t="s">
        <v>229</v>
      </c>
      <c r="W116" s="73" t="s">
        <v>229</v>
      </c>
      <c r="X116" s="72" t="s">
        <v>229</v>
      </c>
      <c r="Y116" s="70" t="s">
        <v>229</v>
      </c>
      <c r="Z116" s="73" t="s">
        <v>229</v>
      </c>
    </row>
    <row r="117" ht="15.75" customHeight="1">
      <c r="A117" s="68"/>
      <c r="B117" s="74"/>
      <c r="C117" s="74"/>
      <c r="D117" s="68"/>
      <c r="E117" s="77"/>
      <c r="F117" s="68"/>
      <c r="G117" s="75"/>
      <c r="H117" s="75"/>
      <c r="I117" s="76"/>
      <c r="J117" s="76"/>
      <c r="K117" s="67"/>
      <c r="L117" s="68"/>
      <c r="M117" s="68"/>
      <c r="N117" s="69" t="s">
        <v>229</v>
      </c>
      <c r="O117" s="69" t="s">
        <v>229</v>
      </c>
      <c r="P117" s="69" t="s">
        <v>229</v>
      </c>
      <c r="Q117" s="69" t="s">
        <v>229</v>
      </c>
      <c r="R117" s="69" t="s">
        <v>229</v>
      </c>
      <c r="S117" s="69" t="s">
        <v>229</v>
      </c>
      <c r="T117" s="70" t="s">
        <v>229</v>
      </c>
      <c r="U117" s="71" t="s">
        <v>229</v>
      </c>
      <c r="V117" s="72" t="s">
        <v>229</v>
      </c>
      <c r="W117" s="73" t="s">
        <v>229</v>
      </c>
      <c r="X117" s="72" t="s">
        <v>229</v>
      </c>
      <c r="Y117" s="70" t="s">
        <v>229</v>
      </c>
      <c r="Z117" s="73" t="s">
        <v>229</v>
      </c>
    </row>
    <row r="118" ht="15.75" customHeight="1">
      <c r="A118" s="68"/>
      <c r="B118" s="74"/>
      <c r="C118" s="74"/>
      <c r="D118" s="68"/>
      <c r="E118" s="77"/>
      <c r="F118" s="68"/>
      <c r="G118" s="75"/>
      <c r="H118" s="75"/>
      <c r="I118" s="76"/>
      <c r="J118" s="76"/>
      <c r="K118" s="67"/>
      <c r="L118" s="68"/>
      <c r="M118" s="68"/>
      <c r="N118" s="69" t="s">
        <v>229</v>
      </c>
      <c r="O118" s="69" t="s">
        <v>229</v>
      </c>
      <c r="P118" s="69" t="s">
        <v>229</v>
      </c>
      <c r="Q118" s="69" t="s">
        <v>229</v>
      </c>
      <c r="R118" s="69" t="s">
        <v>229</v>
      </c>
      <c r="S118" s="69" t="s">
        <v>229</v>
      </c>
      <c r="T118" s="70" t="s">
        <v>229</v>
      </c>
      <c r="U118" s="71" t="s">
        <v>229</v>
      </c>
      <c r="V118" s="72" t="s">
        <v>229</v>
      </c>
      <c r="W118" s="73" t="s">
        <v>229</v>
      </c>
      <c r="X118" s="72" t="s">
        <v>229</v>
      </c>
      <c r="Y118" s="70" t="s">
        <v>229</v>
      </c>
      <c r="Z118" s="73" t="s">
        <v>229</v>
      </c>
    </row>
    <row r="119" ht="15.75" customHeight="1">
      <c r="A119" s="68"/>
      <c r="B119" s="74"/>
      <c r="C119" s="74"/>
      <c r="D119" s="68"/>
      <c r="E119" s="77"/>
      <c r="F119" s="68"/>
      <c r="G119" s="75"/>
      <c r="H119" s="75"/>
      <c r="I119" s="76"/>
      <c r="J119" s="76"/>
      <c r="K119" s="67"/>
      <c r="L119" s="68"/>
      <c r="M119" s="68"/>
      <c r="N119" s="69" t="s">
        <v>229</v>
      </c>
      <c r="O119" s="69" t="s">
        <v>229</v>
      </c>
      <c r="P119" s="69" t="s">
        <v>229</v>
      </c>
      <c r="Q119" s="69" t="s">
        <v>229</v>
      </c>
      <c r="R119" s="69" t="s">
        <v>229</v>
      </c>
      <c r="S119" s="69" t="s">
        <v>229</v>
      </c>
      <c r="T119" s="70" t="s">
        <v>229</v>
      </c>
      <c r="U119" s="71" t="s">
        <v>229</v>
      </c>
      <c r="V119" s="72" t="s">
        <v>229</v>
      </c>
      <c r="W119" s="73" t="s">
        <v>229</v>
      </c>
      <c r="X119" s="72" t="s">
        <v>229</v>
      </c>
      <c r="Y119" s="70" t="s">
        <v>229</v>
      </c>
      <c r="Z119" s="73" t="s">
        <v>229</v>
      </c>
    </row>
    <row r="120" ht="15.75" customHeight="1">
      <c r="A120" s="68"/>
      <c r="B120" s="74"/>
      <c r="C120" s="74"/>
      <c r="D120" s="68"/>
      <c r="E120" s="77"/>
      <c r="F120" s="68"/>
      <c r="G120" s="75"/>
      <c r="H120" s="75"/>
      <c r="I120" s="76"/>
      <c r="J120" s="76"/>
      <c r="K120" s="67"/>
      <c r="L120" s="68"/>
      <c r="M120" s="68"/>
      <c r="N120" s="69" t="s">
        <v>229</v>
      </c>
      <c r="O120" s="69" t="s">
        <v>229</v>
      </c>
      <c r="P120" s="69" t="s">
        <v>229</v>
      </c>
      <c r="Q120" s="69" t="s">
        <v>229</v>
      </c>
      <c r="R120" s="69" t="s">
        <v>229</v>
      </c>
      <c r="S120" s="69" t="s">
        <v>229</v>
      </c>
      <c r="T120" s="70" t="s">
        <v>229</v>
      </c>
      <c r="U120" s="71" t="s">
        <v>229</v>
      </c>
      <c r="V120" s="72" t="s">
        <v>229</v>
      </c>
      <c r="W120" s="73" t="s">
        <v>229</v>
      </c>
      <c r="X120" s="72" t="s">
        <v>229</v>
      </c>
      <c r="Y120" s="70" t="s">
        <v>229</v>
      </c>
      <c r="Z120" s="73" t="s">
        <v>229</v>
      </c>
    </row>
    <row r="121" ht="15.75" customHeight="1">
      <c r="A121" s="68"/>
      <c r="B121" s="74"/>
      <c r="C121" s="74"/>
      <c r="D121" s="68"/>
      <c r="E121" s="77"/>
      <c r="F121" s="68"/>
      <c r="G121" s="75"/>
      <c r="H121" s="75"/>
      <c r="I121" s="76"/>
      <c r="J121" s="76"/>
      <c r="K121" s="67"/>
      <c r="L121" s="68"/>
      <c r="M121" s="68"/>
      <c r="N121" s="69" t="s">
        <v>229</v>
      </c>
      <c r="O121" s="69" t="s">
        <v>229</v>
      </c>
      <c r="P121" s="69" t="s">
        <v>229</v>
      </c>
      <c r="Q121" s="69" t="s">
        <v>229</v>
      </c>
      <c r="R121" s="69" t="s">
        <v>229</v>
      </c>
      <c r="S121" s="69" t="s">
        <v>229</v>
      </c>
      <c r="T121" s="70" t="s">
        <v>229</v>
      </c>
      <c r="U121" s="71" t="s">
        <v>229</v>
      </c>
      <c r="V121" s="72" t="s">
        <v>229</v>
      </c>
      <c r="W121" s="73" t="s">
        <v>229</v>
      </c>
      <c r="X121" s="72" t="s">
        <v>229</v>
      </c>
      <c r="Y121" s="70" t="s">
        <v>229</v>
      </c>
      <c r="Z121" s="73" t="s">
        <v>229</v>
      </c>
    </row>
    <row r="122" ht="15.75" customHeight="1">
      <c r="A122" s="68"/>
      <c r="B122" s="74"/>
      <c r="C122" s="74"/>
      <c r="D122" s="68"/>
      <c r="E122" s="77"/>
      <c r="F122" s="68"/>
      <c r="G122" s="75"/>
      <c r="H122" s="75"/>
      <c r="I122" s="76"/>
      <c r="J122" s="76"/>
      <c r="K122" s="67"/>
      <c r="L122" s="68"/>
      <c r="M122" s="68"/>
      <c r="N122" s="69" t="s">
        <v>229</v>
      </c>
      <c r="O122" s="69" t="s">
        <v>229</v>
      </c>
      <c r="P122" s="69" t="s">
        <v>229</v>
      </c>
      <c r="Q122" s="69" t="s">
        <v>229</v>
      </c>
      <c r="R122" s="69" t="s">
        <v>229</v>
      </c>
      <c r="S122" s="69" t="s">
        <v>229</v>
      </c>
      <c r="T122" s="70" t="s">
        <v>229</v>
      </c>
      <c r="U122" s="71" t="s">
        <v>229</v>
      </c>
      <c r="V122" s="72" t="s">
        <v>229</v>
      </c>
      <c r="W122" s="73" t="s">
        <v>229</v>
      </c>
      <c r="X122" s="72" t="s">
        <v>229</v>
      </c>
      <c r="Y122" s="70" t="s">
        <v>229</v>
      </c>
      <c r="Z122" s="73" t="s">
        <v>229</v>
      </c>
    </row>
    <row r="123" ht="15.75" customHeight="1">
      <c r="A123" s="68"/>
      <c r="B123" s="74"/>
      <c r="C123" s="74"/>
      <c r="D123" s="68"/>
      <c r="E123" s="77"/>
      <c r="F123" s="68"/>
      <c r="G123" s="75"/>
      <c r="H123" s="75"/>
      <c r="I123" s="76"/>
      <c r="J123" s="76"/>
      <c r="K123" s="67"/>
      <c r="L123" s="68"/>
      <c r="M123" s="68"/>
      <c r="N123" s="69" t="s">
        <v>229</v>
      </c>
      <c r="O123" s="69" t="s">
        <v>229</v>
      </c>
      <c r="P123" s="69" t="s">
        <v>229</v>
      </c>
      <c r="Q123" s="69" t="s">
        <v>229</v>
      </c>
      <c r="R123" s="69" t="s">
        <v>229</v>
      </c>
      <c r="S123" s="69" t="s">
        <v>229</v>
      </c>
      <c r="T123" s="70" t="s">
        <v>229</v>
      </c>
      <c r="U123" s="71" t="s">
        <v>229</v>
      </c>
      <c r="V123" s="72" t="s">
        <v>229</v>
      </c>
      <c r="W123" s="73" t="s">
        <v>229</v>
      </c>
      <c r="X123" s="72" t="s">
        <v>229</v>
      </c>
      <c r="Y123" s="70" t="s">
        <v>229</v>
      </c>
      <c r="Z123" s="73" t="s">
        <v>229</v>
      </c>
    </row>
    <row r="124" ht="15.75" customHeight="1">
      <c r="A124" s="68"/>
      <c r="B124" s="74"/>
      <c r="C124" s="74"/>
      <c r="D124" s="68"/>
      <c r="E124" s="77"/>
      <c r="F124" s="68"/>
      <c r="G124" s="75"/>
      <c r="H124" s="75"/>
      <c r="I124" s="76"/>
      <c r="J124" s="76"/>
      <c r="K124" s="67"/>
      <c r="L124" s="68"/>
      <c r="M124" s="68"/>
      <c r="N124" s="69" t="s">
        <v>229</v>
      </c>
      <c r="O124" s="69" t="s">
        <v>229</v>
      </c>
      <c r="P124" s="69" t="s">
        <v>229</v>
      </c>
      <c r="Q124" s="69" t="s">
        <v>229</v>
      </c>
      <c r="R124" s="69" t="s">
        <v>229</v>
      </c>
      <c r="S124" s="69" t="s">
        <v>229</v>
      </c>
      <c r="T124" s="70" t="s">
        <v>229</v>
      </c>
      <c r="U124" s="71" t="s">
        <v>229</v>
      </c>
      <c r="V124" s="72" t="s">
        <v>229</v>
      </c>
      <c r="W124" s="73" t="s">
        <v>229</v>
      </c>
      <c r="X124" s="72" t="s">
        <v>229</v>
      </c>
      <c r="Y124" s="70" t="s">
        <v>229</v>
      </c>
      <c r="Z124" s="73" t="s">
        <v>229</v>
      </c>
    </row>
    <row r="125" ht="15.75" customHeight="1">
      <c r="A125" s="68"/>
      <c r="B125" s="74"/>
      <c r="C125" s="74"/>
      <c r="D125" s="68"/>
      <c r="E125" s="77"/>
      <c r="F125" s="68"/>
      <c r="G125" s="75"/>
      <c r="H125" s="75"/>
      <c r="I125" s="76"/>
      <c r="J125" s="76"/>
      <c r="K125" s="67"/>
      <c r="L125" s="68"/>
      <c r="M125" s="68"/>
      <c r="N125" s="69" t="s">
        <v>229</v>
      </c>
      <c r="O125" s="69" t="s">
        <v>229</v>
      </c>
      <c r="P125" s="69" t="s">
        <v>229</v>
      </c>
      <c r="Q125" s="69" t="s">
        <v>229</v>
      </c>
      <c r="R125" s="69" t="s">
        <v>229</v>
      </c>
      <c r="S125" s="69" t="s">
        <v>229</v>
      </c>
      <c r="T125" s="70" t="s">
        <v>229</v>
      </c>
      <c r="U125" s="71" t="s">
        <v>229</v>
      </c>
      <c r="V125" s="72" t="s">
        <v>229</v>
      </c>
      <c r="W125" s="73" t="s">
        <v>229</v>
      </c>
      <c r="X125" s="72" t="s">
        <v>229</v>
      </c>
      <c r="Y125" s="70" t="s">
        <v>229</v>
      </c>
      <c r="Z125" s="73" t="s">
        <v>229</v>
      </c>
    </row>
    <row r="126" ht="15.75" customHeight="1">
      <c r="A126" s="68"/>
      <c r="B126" s="74"/>
      <c r="C126" s="74"/>
      <c r="D126" s="68"/>
      <c r="E126" s="77"/>
      <c r="F126" s="68"/>
      <c r="G126" s="75"/>
      <c r="H126" s="75"/>
      <c r="I126" s="76"/>
      <c r="J126" s="76"/>
      <c r="K126" s="67"/>
      <c r="L126" s="68"/>
      <c r="M126" s="68"/>
      <c r="N126" s="69" t="s">
        <v>229</v>
      </c>
      <c r="O126" s="69" t="s">
        <v>229</v>
      </c>
      <c r="P126" s="69" t="s">
        <v>229</v>
      </c>
      <c r="Q126" s="69" t="s">
        <v>229</v>
      </c>
      <c r="R126" s="69" t="s">
        <v>229</v>
      </c>
      <c r="S126" s="69" t="s">
        <v>229</v>
      </c>
      <c r="T126" s="70" t="s">
        <v>229</v>
      </c>
      <c r="U126" s="71" t="s">
        <v>229</v>
      </c>
      <c r="V126" s="72" t="s">
        <v>229</v>
      </c>
      <c r="W126" s="73" t="s">
        <v>229</v>
      </c>
      <c r="X126" s="72" t="s">
        <v>229</v>
      </c>
      <c r="Y126" s="70" t="s">
        <v>229</v>
      </c>
      <c r="Z126" s="73" t="s">
        <v>229</v>
      </c>
    </row>
    <row r="127" ht="15.75" customHeight="1">
      <c r="A127" s="68"/>
      <c r="B127" s="74"/>
      <c r="C127" s="74"/>
      <c r="D127" s="68"/>
      <c r="E127" s="77"/>
      <c r="F127" s="68"/>
      <c r="G127" s="75"/>
      <c r="H127" s="75"/>
      <c r="I127" s="76"/>
      <c r="J127" s="76"/>
      <c r="K127" s="67"/>
      <c r="L127" s="68"/>
      <c r="M127" s="68"/>
      <c r="N127" s="69" t="s">
        <v>229</v>
      </c>
      <c r="O127" s="69" t="s">
        <v>229</v>
      </c>
      <c r="P127" s="69" t="s">
        <v>229</v>
      </c>
      <c r="Q127" s="69" t="s">
        <v>229</v>
      </c>
      <c r="R127" s="69" t="s">
        <v>229</v>
      </c>
      <c r="S127" s="69" t="s">
        <v>229</v>
      </c>
      <c r="T127" s="70" t="s">
        <v>229</v>
      </c>
      <c r="U127" s="71" t="s">
        <v>229</v>
      </c>
      <c r="V127" s="72" t="s">
        <v>229</v>
      </c>
      <c r="W127" s="73" t="s">
        <v>229</v>
      </c>
      <c r="X127" s="72" t="s">
        <v>229</v>
      </c>
      <c r="Y127" s="70" t="s">
        <v>229</v>
      </c>
      <c r="Z127" s="73" t="s">
        <v>229</v>
      </c>
    </row>
    <row r="128" ht="15.75" customHeight="1">
      <c r="A128" s="68"/>
      <c r="B128" s="74"/>
      <c r="C128" s="74"/>
      <c r="D128" s="68"/>
      <c r="E128" s="77"/>
      <c r="F128" s="68"/>
      <c r="G128" s="75"/>
      <c r="H128" s="75"/>
      <c r="I128" s="76"/>
      <c r="J128" s="76"/>
      <c r="K128" s="67"/>
      <c r="L128" s="68"/>
      <c r="M128" s="68"/>
      <c r="N128" s="69" t="s">
        <v>229</v>
      </c>
      <c r="O128" s="69" t="s">
        <v>229</v>
      </c>
      <c r="P128" s="69" t="s">
        <v>229</v>
      </c>
      <c r="Q128" s="69" t="s">
        <v>229</v>
      </c>
      <c r="R128" s="69" t="s">
        <v>229</v>
      </c>
      <c r="S128" s="69" t="s">
        <v>229</v>
      </c>
      <c r="T128" s="70" t="s">
        <v>229</v>
      </c>
      <c r="U128" s="71" t="s">
        <v>229</v>
      </c>
      <c r="V128" s="72" t="s">
        <v>229</v>
      </c>
      <c r="W128" s="73" t="s">
        <v>229</v>
      </c>
      <c r="X128" s="72" t="s">
        <v>229</v>
      </c>
      <c r="Y128" s="70" t="s">
        <v>229</v>
      </c>
      <c r="Z128" s="73" t="s">
        <v>229</v>
      </c>
    </row>
    <row r="129" ht="15.75" customHeight="1">
      <c r="A129" s="68"/>
      <c r="B129" s="74"/>
      <c r="C129" s="74"/>
      <c r="D129" s="68"/>
      <c r="E129" s="77"/>
      <c r="F129" s="68"/>
      <c r="G129" s="75"/>
      <c r="H129" s="75"/>
      <c r="I129" s="76"/>
      <c r="J129" s="76"/>
      <c r="K129" s="67"/>
      <c r="L129" s="68"/>
      <c r="M129" s="68"/>
      <c r="N129" s="69" t="s">
        <v>229</v>
      </c>
      <c r="O129" s="69" t="s">
        <v>229</v>
      </c>
      <c r="P129" s="69" t="s">
        <v>229</v>
      </c>
      <c r="Q129" s="69" t="s">
        <v>229</v>
      </c>
      <c r="R129" s="69" t="s">
        <v>229</v>
      </c>
      <c r="S129" s="69" t="s">
        <v>229</v>
      </c>
      <c r="T129" s="70" t="s">
        <v>229</v>
      </c>
      <c r="U129" s="71" t="s">
        <v>229</v>
      </c>
      <c r="V129" s="72" t="s">
        <v>229</v>
      </c>
      <c r="W129" s="73" t="s">
        <v>229</v>
      </c>
      <c r="X129" s="72" t="s">
        <v>229</v>
      </c>
      <c r="Y129" s="70" t="s">
        <v>229</v>
      </c>
      <c r="Z129" s="73" t="s">
        <v>229</v>
      </c>
    </row>
    <row r="130" ht="15.75" customHeight="1">
      <c r="A130" s="68"/>
      <c r="B130" s="74"/>
      <c r="C130" s="74"/>
      <c r="D130" s="68"/>
      <c r="E130" s="77"/>
      <c r="F130" s="68"/>
      <c r="G130" s="75"/>
      <c r="H130" s="75"/>
      <c r="I130" s="76"/>
      <c r="J130" s="76"/>
      <c r="K130" s="67"/>
      <c r="L130" s="68"/>
      <c r="M130" s="68"/>
      <c r="N130" s="69" t="s">
        <v>229</v>
      </c>
      <c r="O130" s="69" t="s">
        <v>229</v>
      </c>
      <c r="P130" s="69" t="s">
        <v>229</v>
      </c>
      <c r="Q130" s="69" t="s">
        <v>229</v>
      </c>
      <c r="R130" s="69" t="s">
        <v>229</v>
      </c>
      <c r="S130" s="69" t="s">
        <v>229</v>
      </c>
      <c r="T130" s="70" t="s">
        <v>229</v>
      </c>
      <c r="U130" s="71" t="s">
        <v>229</v>
      </c>
      <c r="V130" s="72" t="s">
        <v>229</v>
      </c>
      <c r="W130" s="73" t="s">
        <v>229</v>
      </c>
      <c r="X130" s="72" t="s">
        <v>229</v>
      </c>
      <c r="Y130" s="70" t="s">
        <v>229</v>
      </c>
      <c r="Z130" s="73" t="s">
        <v>229</v>
      </c>
    </row>
    <row r="131" ht="15.75" customHeight="1">
      <c r="A131" s="68"/>
      <c r="B131" s="74"/>
      <c r="C131" s="74"/>
      <c r="D131" s="68"/>
      <c r="E131" s="77"/>
      <c r="F131" s="68"/>
      <c r="G131" s="75"/>
      <c r="H131" s="75"/>
      <c r="I131" s="76"/>
      <c r="J131" s="76"/>
      <c r="K131" s="67"/>
      <c r="L131" s="68"/>
      <c r="M131" s="68"/>
      <c r="N131" s="69" t="s">
        <v>229</v>
      </c>
      <c r="O131" s="69" t="s">
        <v>229</v>
      </c>
      <c r="P131" s="69" t="s">
        <v>229</v>
      </c>
      <c r="Q131" s="69" t="s">
        <v>229</v>
      </c>
      <c r="R131" s="69" t="s">
        <v>229</v>
      </c>
      <c r="S131" s="69" t="s">
        <v>229</v>
      </c>
      <c r="T131" s="70" t="s">
        <v>229</v>
      </c>
      <c r="U131" s="71" t="s">
        <v>229</v>
      </c>
      <c r="V131" s="72" t="s">
        <v>229</v>
      </c>
      <c r="W131" s="73" t="s">
        <v>229</v>
      </c>
      <c r="X131" s="72" t="s">
        <v>229</v>
      </c>
      <c r="Y131" s="70" t="s">
        <v>229</v>
      </c>
      <c r="Z131" s="73" t="s">
        <v>229</v>
      </c>
    </row>
    <row r="132" ht="15.75" customHeight="1">
      <c r="A132" s="68"/>
      <c r="B132" s="74"/>
      <c r="C132" s="74"/>
      <c r="D132" s="68"/>
      <c r="E132" s="77"/>
      <c r="F132" s="68"/>
      <c r="G132" s="75"/>
      <c r="H132" s="75"/>
      <c r="I132" s="76"/>
      <c r="J132" s="76"/>
      <c r="K132" s="67"/>
      <c r="L132" s="68"/>
      <c r="M132" s="68"/>
      <c r="N132" s="69" t="s">
        <v>229</v>
      </c>
      <c r="O132" s="69" t="s">
        <v>229</v>
      </c>
      <c r="P132" s="69" t="s">
        <v>229</v>
      </c>
      <c r="Q132" s="69" t="s">
        <v>229</v>
      </c>
      <c r="R132" s="69" t="s">
        <v>229</v>
      </c>
      <c r="S132" s="69" t="s">
        <v>229</v>
      </c>
      <c r="T132" s="70" t="s">
        <v>229</v>
      </c>
      <c r="U132" s="71" t="s">
        <v>229</v>
      </c>
      <c r="V132" s="72" t="s">
        <v>229</v>
      </c>
      <c r="W132" s="73" t="s">
        <v>229</v>
      </c>
      <c r="X132" s="72" t="s">
        <v>229</v>
      </c>
      <c r="Y132" s="70" t="s">
        <v>229</v>
      </c>
      <c r="Z132" s="73" t="s">
        <v>229</v>
      </c>
    </row>
    <row r="133" ht="15.75" customHeight="1">
      <c r="A133" s="68"/>
      <c r="B133" s="74"/>
      <c r="C133" s="74"/>
      <c r="D133" s="68"/>
      <c r="E133" s="77"/>
      <c r="F133" s="68"/>
      <c r="G133" s="75"/>
      <c r="H133" s="75"/>
      <c r="I133" s="76"/>
      <c r="J133" s="76"/>
      <c r="K133" s="67"/>
      <c r="L133" s="68"/>
      <c r="M133" s="68"/>
      <c r="N133" s="69" t="s">
        <v>229</v>
      </c>
      <c r="O133" s="69" t="s">
        <v>229</v>
      </c>
      <c r="P133" s="69" t="s">
        <v>229</v>
      </c>
      <c r="Q133" s="69" t="s">
        <v>229</v>
      </c>
      <c r="R133" s="69" t="s">
        <v>229</v>
      </c>
      <c r="S133" s="69" t="s">
        <v>229</v>
      </c>
      <c r="T133" s="70" t="s">
        <v>229</v>
      </c>
      <c r="U133" s="71" t="s">
        <v>229</v>
      </c>
      <c r="V133" s="72" t="s">
        <v>229</v>
      </c>
      <c r="W133" s="73" t="s">
        <v>229</v>
      </c>
      <c r="X133" s="72" t="s">
        <v>229</v>
      </c>
      <c r="Y133" s="70" t="s">
        <v>229</v>
      </c>
      <c r="Z133" s="73" t="s">
        <v>229</v>
      </c>
    </row>
    <row r="134" ht="15.75" customHeight="1">
      <c r="A134" s="68"/>
      <c r="B134" s="74"/>
      <c r="C134" s="74"/>
      <c r="D134" s="68"/>
      <c r="E134" s="77"/>
      <c r="F134" s="68"/>
      <c r="G134" s="75"/>
      <c r="H134" s="75"/>
      <c r="I134" s="76"/>
      <c r="J134" s="76"/>
      <c r="K134" s="67"/>
      <c r="L134" s="68"/>
      <c r="M134" s="68"/>
      <c r="N134" s="69" t="s">
        <v>229</v>
      </c>
      <c r="O134" s="69" t="s">
        <v>229</v>
      </c>
      <c r="P134" s="69" t="s">
        <v>229</v>
      </c>
      <c r="Q134" s="69" t="s">
        <v>229</v>
      </c>
      <c r="R134" s="69" t="s">
        <v>229</v>
      </c>
      <c r="S134" s="69" t="s">
        <v>229</v>
      </c>
      <c r="T134" s="70" t="s">
        <v>229</v>
      </c>
      <c r="U134" s="71" t="s">
        <v>229</v>
      </c>
      <c r="V134" s="72" t="s">
        <v>229</v>
      </c>
      <c r="W134" s="73" t="s">
        <v>229</v>
      </c>
      <c r="X134" s="72" t="s">
        <v>229</v>
      </c>
      <c r="Y134" s="70" t="s">
        <v>229</v>
      </c>
      <c r="Z134" s="73" t="s">
        <v>229</v>
      </c>
    </row>
    <row r="135" ht="15.75" customHeight="1">
      <c r="A135" s="68"/>
      <c r="B135" s="74"/>
      <c r="C135" s="74"/>
      <c r="D135" s="68"/>
      <c r="E135" s="77"/>
      <c r="F135" s="68"/>
      <c r="G135" s="75"/>
      <c r="H135" s="75"/>
      <c r="I135" s="76"/>
      <c r="J135" s="76"/>
      <c r="K135" s="67"/>
      <c r="L135" s="68"/>
      <c r="M135" s="68"/>
      <c r="N135" s="69" t="s">
        <v>229</v>
      </c>
      <c r="O135" s="69" t="s">
        <v>229</v>
      </c>
      <c r="P135" s="69" t="s">
        <v>229</v>
      </c>
      <c r="Q135" s="69" t="s">
        <v>229</v>
      </c>
      <c r="R135" s="69" t="s">
        <v>229</v>
      </c>
      <c r="S135" s="69" t="s">
        <v>229</v>
      </c>
      <c r="T135" s="70" t="s">
        <v>229</v>
      </c>
      <c r="U135" s="71" t="s">
        <v>229</v>
      </c>
      <c r="V135" s="72" t="s">
        <v>229</v>
      </c>
      <c r="W135" s="73" t="s">
        <v>229</v>
      </c>
      <c r="X135" s="72" t="s">
        <v>229</v>
      </c>
      <c r="Y135" s="70" t="s">
        <v>229</v>
      </c>
      <c r="Z135" s="73" t="s">
        <v>229</v>
      </c>
    </row>
    <row r="136" ht="15.75" customHeight="1">
      <c r="A136" s="68"/>
      <c r="B136" s="74"/>
      <c r="C136" s="74"/>
      <c r="D136" s="68"/>
      <c r="E136" s="77"/>
      <c r="F136" s="68"/>
      <c r="G136" s="75"/>
      <c r="H136" s="75"/>
      <c r="I136" s="76"/>
      <c r="J136" s="76"/>
      <c r="K136" s="67"/>
      <c r="L136" s="68"/>
      <c r="M136" s="68"/>
      <c r="N136" s="69" t="s">
        <v>229</v>
      </c>
      <c r="O136" s="69" t="s">
        <v>229</v>
      </c>
      <c r="P136" s="69" t="s">
        <v>229</v>
      </c>
      <c r="Q136" s="69" t="s">
        <v>229</v>
      </c>
      <c r="R136" s="69" t="s">
        <v>229</v>
      </c>
      <c r="S136" s="69" t="s">
        <v>229</v>
      </c>
      <c r="T136" s="70" t="s">
        <v>229</v>
      </c>
      <c r="U136" s="71" t="s">
        <v>229</v>
      </c>
      <c r="V136" s="72" t="s">
        <v>229</v>
      </c>
      <c r="W136" s="73" t="s">
        <v>229</v>
      </c>
      <c r="X136" s="72" t="s">
        <v>229</v>
      </c>
      <c r="Y136" s="70" t="s">
        <v>229</v>
      </c>
      <c r="Z136" s="73" t="s">
        <v>229</v>
      </c>
    </row>
    <row r="137" ht="15.75" customHeight="1">
      <c r="A137" s="68"/>
      <c r="B137" s="74"/>
      <c r="C137" s="74"/>
      <c r="D137" s="68"/>
      <c r="E137" s="77"/>
      <c r="F137" s="68"/>
      <c r="G137" s="75"/>
      <c r="H137" s="75"/>
      <c r="I137" s="76"/>
      <c r="J137" s="76"/>
      <c r="K137" s="67"/>
      <c r="L137" s="68"/>
      <c r="M137" s="68"/>
      <c r="N137" s="69" t="s">
        <v>229</v>
      </c>
      <c r="O137" s="69" t="s">
        <v>229</v>
      </c>
      <c r="P137" s="69" t="s">
        <v>229</v>
      </c>
      <c r="Q137" s="69" t="s">
        <v>229</v>
      </c>
      <c r="R137" s="69" t="s">
        <v>229</v>
      </c>
      <c r="S137" s="69" t="s">
        <v>229</v>
      </c>
      <c r="T137" s="70" t="s">
        <v>229</v>
      </c>
      <c r="U137" s="71" t="s">
        <v>229</v>
      </c>
      <c r="V137" s="72" t="s">
        <v>229</v>
      </c>
      <c r="W137" s="73" t="s">
        <v>229</v>
      </c>
      <c r="X137" s="72" t="s">
        <v>229</v>
      </c>
      <c r="Y137" s="70" t="s">
        <v>229</v>
      </c>
      <c r="Z137" s="73" t="s">
        <v>229</v>
      </c>
    </row>
    <row r="138" ht="15.75" customHeight="1">
      <c r="A138" s="68"/>
      <c r="B138" s="74"/>
      <c r="C138" s="74"/>
      <c r="D138" s="68"/>
      <c r="E138" s="77"/>
      <c r="F138" s="68"/>
      <c r="G138" s="75"/>
      <c r="H138" s="75"/>
      <c r="I138" s="76"/>
      <c r="J138" s="76"/>
      <c r="K138" s="67"/>
      <c r="L138" s="68"/>
      <c r="M138" s="68"/>
      <c r="N138" s="69" t="s">
        <v>229</v>
      </c>
      <c r="O138" s="69" t="s">
        <v>229</v>
      </c>
      <c r="P138" s="69" t="s">
        <v>229</v>
      </c>
      <c r="Q138" s="69" t="s">
        <v>229</v>
      </c>
      <c r="R138" s="69" t="s">
        <v>229</v>
      </c>
      <c r="S138" s="69" t="s">
        <v>229</v>
      </c>
      <c r="T138" s="70" t="s">
        <v>229</v>
      </c>
      <c r="U138" s="71" t="s">
        <v>229</v>
      </c>
      <c r="V138" s="72" t="s">
        <v>229</v>
      </c>
      <c r="W138" s="73" t="s">
        <v>229</v>
      </c>
      <c r="X138" s="72" t="s">
        <v>229</v>
      </c>
      <c r="Y138" s="70" t="s">
        <v>229</v>
      </c>
      <c r="Z138" s="73" t="s">
        <v>229</v>
      </c>
    </row>
    <row r="139" ht="15.75" customHeight="1">
      <c r="A139" s="68"/>
      <c r="B139" s="74"/>
      <c r="C139" s="74"/>
      <c r="D139" s="68"/>
      <c r="E139" s="77"/>
      <c r="F139" s="68"/>
      <c r="G139" s="75"/>
      <c r="H139" s="75"/>
      <c r="I139" s="76"/>
      <c r="J139" s="76"/>
      <c r="K139" s="67"/>
      <c r="L139" s="68"/>
      <c r="M139" s="68"/>
      <c r="N139" s="69" t="s">
        <v>229</v>
      </c>
      <c r="O139" s="69" t="s">
        <v>229</v>
      </c>
      <c r="P139" s="69" t="s">
        <v>229</v>
      </c>
      <c r="Q139" s="69" t="s">
        <v>229</v>
      </c>
      <c r="R139" s="69" t="s">
        <v>229</v>
      </c>
      <c r="S139" s="69" t="s">
        <v>229</v>
      </c>
      <c r="T139" s="70" t="s">
        <v>229</v>
      </c>
      <c r="U139" s="71" t="s">
        <v>229</v>
      </c>
      <c r="V139" s="72" t="s">
        <v>229</v>
      </c>
      <c r="W139" s="73" t="s">
        <v>229</v>
      </c>
      <c r="X139" s="72" t="s">
        <v>229</v>
      </c>
      <c r="Y139" s="70" t="s">
        <v>229</v>
      </c>
      <c r="Z139" s="73" t="s">
        <v>229</v>
      </c>
    </row>
    <row r="140" ht="15.75" customHeight="1">
      <c r="A140" s="68"/>
      <c r="B140" s="74"/>
      <c r="C140" s="74"/>
      <c r="D140" s="68"/>
      <c r="E140" s="77"/>
      <c r="F140" s="68"/>
      <c r="G140" s="75"/>
      <c r="H140" s="75"/>
      <c r="I140" s="76"/>
      <c r="J140" s="76"/>
      <c r="K140" s="67"/>
      <c r="L140" s="68"/>
      <c r="M140" s="68"/>
      <c r="N140" s="69" t="s">
        <v>229</v>
      </c>
      <c r="O140" s="69" t="s">
        <v>229</v>
      </c>
      <c r="P140" s="69" t="s">
        <v>229</v>
      </c>
      <c r="Q140" s="69" t="s">
        <v>229</v>
      </c>
      <c r="R140" s="69" t="s">
        <v>229</v>
      </c>
      <c r="S140" s="69" t="s">
        <v>229</v>
      </c>
      <c r="T140" s="70" t="s">
        <v>229</v>
      </c>
      <c r="U140" s="71" t="s">
        <v>229</v>
      </c>
      <c r="V140" s="72" t="s">
        <v>229</v>
      </c>
      <c r="W140" s="73" t="s">
        <v>229</v>
      </c>
      <c r="X140" s="72" t="s">
        <v>229</v>
      </c>
      <c r="Y140" s="70" t="s">
        <v>229</v>
      </c>
      <c r="Z140" s="73" t="s">
        <v>229</v>
      </c>
    </row>
    <row r="141" ht="15.75" customHeight="1">
      <c r="A141" s="68"/>
      <c r="B141" s="74"/>
      <c r="C141" s="74"/>
      <c r="D141" s="68"/>
      <c r="E141" s="77"/>
      <c r="F141" s="68"/>
      <c r="G141" s="75"/>
      <c r="H141" s="75"/>
      <c r="I141" s="76"/>
      <c r="J141" s="76"/>
      <c r="K141" s="67"/>
      <c r="L141" s="68"/>
      <c r="M141" s="68"/>
      <c r="N141" s="69" t="s">
        <v>229</v>
      </c>
      <c r="O141" s="69" t="s">
        <v>229</v>
      </c>
      <c r="P141" s="69" t="s">
        <v>229</v>
      </c>
      <c r="Q141" s="69" t="s">
        <v>229</v>
      </c>
      <c r="R141" s="69" t="s">
        <v>229</v>
      </c>
      <c r="S141" s="69" t="s">
        <v>229</v>
      </c>
      <c r="T141" s="70" t="s">
        <v>229</v>
      </c>
      <c r="U141" s="71" t="s">
        <v>229</v>
      </c>
      <c r="V141" s="72" t="s">
        <v>229</v>
      </c>
      <c r="W141" s="73" t="s">
        <v>229</v>
      </c>
      <c r="X141" s="72" t="s">
        <v>229</v>
      </c>
      <c r="Y141" s="70" t="s">
        <v>229</v>
      </c>
      <c r="Z141" s="73" t="s">
        <v>229</v>
      </c>
    </row>
    <row r="142" ht="15.75" customHeight="1">
      <c r="A142" s="68"/>
      <c r="B142" s="74"/>
      <c r="C142" s="74"/>
      <c r="D142" s="68"/>
      <c r="E142" s="77"/>
      <c r="F142" s="68"/>
      <c r="G142" s="75"/>
      <c r="H142" s="75"/>
      <c r="I142" s="76"/>
      <c r="J142" s="76"/>
      <c r="K142" s="67"/>
      <c r="L142" s="68"/>
      <c r="M142" s="68"/>
      <c r="N142" s="69" t="s">
        <v>229</v>
      </c>
      <c r="O142" s="69" t="s">
        <v>229</v>
      </c>
      <c r="P142" s="69" t="s">
        <v>229</v>
      </c>
      <c r="Q142" s="69" t="s">
        <v>229</v>
      </c>
      <c r="R142" s="69" t="s">
        <v>229</v>
      </c>
      <c r="S142" s="69" t="s">
        <v>229</v>
      </c>
      <c r="T142" s="70" t="s">
        <v>229</v>
      </c>
      <c r="U142" s="71" t="s">
        <v>229</v>
      </c>
      <c r="V142" s="72" t="s">
        <v>229</v>
      </c>
      <c r="W142" s="73" t="s">
        <v>229</v>
      </c>
      <c r="X142" s="72" t="s">
        <v>229</v>
      </c>
      <c r="Y142" s="70" t="s">
        <v>229</v>
      </c>
      <c r="Z142" s="73" t="s">
        <v>229</v>
      </c>
    </row>
    <row r="143" ht="15.75" customHeight="1">
      <c r="A143" s="68"/>
      <c r="B143" s="74"/>
      <c r="C143" s="74"/>
      <c r="D143" s="68"/>
      <c r="E143" s="77"/>
      <c r="F143" s="68"/>
      <c r="G143" s="75"/>
      <c r="H143" s="75"/>
      <c r="I143" s="76"/>
      <c r="J143" s="76"/>
      <c r="K143" s="67"/>
      <c r="L143" s="68"/>
      <c r="M143" s="68"/>
      <c r="N143" s="69" t="s">
        <v>229</v>
      </c>
      <c r="O143" s="69" t="s">
        <v>229</v>
      </c>
      <c r="P143" s="69" t="s">
        <v>229</v>
      </c>
      <c r="Q143" s="69" t="s">
        <v>229</v>
      </c>
      <c r="R143" s="69" t="s">
        <v>229</v>
      </c>
      <c r="S143" s="69" t="s">
        <v>229</v>
      </c>
      <c r="T143" s="70" t="s">
        <v>229</v>
      </c>
      <c r="U143" s="71" t="s">
        <v>229</v>
      </c>
      <c r="V143" s="72" t="s">
        <v>229</v>
      </c>
      <c r="W143" s="73" t="s">
        <v>229</v>
      </c>
      <c r="X143" s="72" t="s">
        <v>229</v>
      </c>
      <c r="Y143" s="70" t="s">
        <v>229</v>
      </c>
      <c r="Z143" s="73" t="s">
        <v>229</v>
      </c>
    </row>
    <row r="144" ht="15.75" customHeight="1">
      <c r="A144" s="68"/>
      <c r="B144" s="74"/>
      <c r="C144" s="74"/>
      <c r="D144" s="68"/>
      <c r="E144" s="77"/>
      <c r="F144" s="68"/>
      <c r="G144" s="75"/>
      <c r="H144" s="75"/>
      <c r="I144" s="76"/>
      <c r="J144" s="76"/>
      <c r="K144" s="67"/>
      <c r="L144" s="68"/>
      <c r="M144" s="68"/>
      <c r="N144" s="69" t="s">
        <v>229</v>
      </c>
      <c r="O144" s="69" t="s">
        <v>229</v>
      </c>
      <c r="P144" s="69" t="s">
        <v>229</v>
      </c>
      <c r="Q144" s="69" t="s">
        <v>229</v>
      </c>
      <c r="R144" s="69" t="s">
        <v>229</v>
      </c>
      <c r="S144" s="69" t="s">
        <v>229</v>
      </c>
      <c r="T144" s="70" t="s">
        <v>229</v>
      </c>
      <c r="U144" s="71" t="s">
        <v>229</v>
      </c>
      <c r="V144" s="72" t="s">
        <v>229</v>
      </c>
      <c r="W144" s="73" t="s">
        <v>229</v>
      </c>
      <c r="X144" s="72" t="s">
        <v>229</v>
      </c>
      <c r="Y144" s="70" t="s">
        <v>229</v>
      </c>
      <c r="Z144" s="73" t="s">
        <v>229</v>
      </c>
    </row>
    <row r="145" ht="15.75" customHeight="1">
      <c r="A145" s="68"/>
      <c r="B145" s="74"/>
      <c r="C145" s="74"/>
      <c r="D145" s="68"/>
      <c r="E145" s="77"/>
      <c r="F145" s="68"/>
      <c r="G145" s="75"/>
      <c r="H145" s="75"/>
      <c r="I145" s="76"/>
      <c r="J145" s="76"/>
      <c r="K145" s="67"/>
      <c r="L145" s="68"/>
      <c r="M145" s="68"/>
      <c r="N145" s="69" t="s">
        <v>229</v>
      </c>
      <c r="O145" s="69" t="s">
        <v>229</v>
      </c>
      <c r="P145" s="69" t="s">
        <v>229</v>
      </c>
      <c r="Q145" s="69" t="s">
        <v>229</v>
      </c>
      <c r="R145" s="69" t="s">
        <v>229</v>
      </c>
      <c r="S145" s="69" t="s">
        <v>229</v>
      </c>
      <c r="T145" s="70" t="s">
        <v>229</v>
      </c>
      <c r="U145" s="71" t="s">
        <v>229</v>
      </c>
      <c r="V145" s="72" t="s">
        <v>229</v>
      </c>
      <c r="W145" s="73" t="s">
        <v>229</v>
      </c>
      <c r="X145" s="72" t="s">
        <v>229</v>
      </c>
      <c r="Y145" s="70" t="s">
        <v>229</v>
      </c>
      <c r="Z145" s="73" t="s">
        <v>229</v>
      </c>
    </row>
    <row r="146" ht="15.75" customHeight="1">
      <c r="A146" s="68"/>
      <c r="B146" s="74"/>
      <c r="C146" s="74"/>
      <c r="D146" s="68"/>
      <c r="E146" s="77"/>
      <c r="F146" s="68"/>
      <c r="G146" s="75"/>
      <c r="H146" s="75"/>
      <c r="I146" s="76"/>
      <c r="J146" s="76"/>
      <c r="K146" s="67"/>
      <c r="L146" s="68"/>
      <c r="M146" s="68"/>
      <c r="N146" s="69" t="s">
        <v>229</v>
      </c>
      <c r="O146" s="69" t="s">
        <v>229</v>
      </c>
      <c r="P146" s="69" t="s">
        <v>229</v>
      </c>
      <c r="Q146" s="69" t="s">
        <v>229</v>
      </c>
      <c r="R146" s="69" t="s">
        <v>229</v>
      </c>
      <c r="S146" s="69" t="s">
        <v>229</v>
      </c>
      <c r="T146" s="70" t="s">
        <v>229</v>
      </c>
      <c r="U146" s="71" t="s">
        <v>229</v>
      </c>
      <c r="V146" s="72" t="s">
        <v>229</v>
      </c>
      <c r="W146" s="73" t="s">
        <v>229</v>
      </c>
      <c r="X146" s="72" t="s">
        <v>229</v>
      </c>
      <c r="Y146" s="70" t="s">
        <v>229</v>
      </c>
      <c r="Z146" s="73" t="s">
        <v>229</v>
      </c>
    </row>
    <row r="147" ht="15.75" customHeight="1">
      <c r="A147" s="68"/>
      <c r="B147" s="74"/>
      <c r="C147" s="74"/>
      <c r="D147" s="68"/>
      <c r="E147" s="77"/>
      <c r="F147" s="68"/>
      <c r="G147" s="75"/>
      <c r="H147" s="75"/>
      <c r="I147" s="76"/>
      <c r="J147" s="76"/>
      <c r="K147" s="67"/>
      <c r="L147" s="68"/>
      <c r="M147" s="68"/>
      <c r="N147" s="69" t="s">
        <v>229</v>
      </c>
      <c r="O147" s="69" t="s">
        <v>229</v>
      </c>
      <c r="P147" s="69" t="s">
        <v>229</v>
      </c>
      <c r="Q147" s="69" t="s">
        <v>229</v>
      </c>
      <c r="R147" s="69" t="s">
        <v>229</v>
      </c>
      <c r="S147" s="69" t="s">
        <v>229</v>
      </c>
      <c r="T147" s="70" t="s">
        <v>229</v>
      </c>
      <c r="U147" s="71" t="s">
        <v>229</v>
      </c>
      <c r="V147" s="72" t="s">
        <v>229</v>
      </c>
      <c r="W147" s="73" t="s">
        <v>229</v>
      </c>
      <c r="X147" s="72" t="s">
        <v>229</v>
      </c>
      <c r="Y147" s="70" t="s">
        <v>229</v>
      </c>
      <c r="Z147" s="73" t="s">
        <v>229</v>
      </c>
    </row>
    <row r="148" ht="15.75" customHeight="1">
      <c r="A148" s="68"/>
      <c r="B148" s="74"/>
      <c r="C148" s="74"/>
      <c r="D148" s="68"/>
      <c r="E148" s="77"/>
      <c r="F148" s="68"/>
      <c r="G148" s="75"/>
      <c r="H148" s="75"/>
      <c r="I148" s="76"/>
      <c r="J148" s="76"/>
      <c r="K148" s="67"/>
      <c r="L148" s="68"/>
      <c r="M148" s="68"/>
      <c r="N148" s="69" t="s">
        <v>229</v>
      </c>
      <c r="O148" s="69" t="s">
        <v>229</v>
      </c>
      <c r="P148" s="69" t="s">
        <v>229</v>
      </c>
      <c r="Q148" s="69" t="s">
        <v>229</v>
      </c>
      <c r="R148" s="69" t="s">
        <v>229</v>
      </c>
      <c r="S148" s="69" t="s">
        <v>229</v>
      </c>
      <c r="T148" s="70" t="s">
        <v>229</v>
      </c>
      <c r="U148" s="71" t="s">
        <v>229</v>
      </c>
      <c r="V148" s="72" t="s">
        <v>229</v>
      </c>
      <c r="W148" s="73" t="s">
        <v>229</v>
      </c>
      <c r="X148" s="72" t="s">
        <v>229</v>
      </c>
      <c r="Y148" s="70" t="s">
        <v>229</v>
      </c>
      <c r="Z148" s="73" t="s">
        <v>229</v>
      </c>
    </row>
    <row r="149" ht="15.75" customHeight="1">
      <c r="A149" s="68"/>
      <c r="B149" s="74"/>
      <c r="C149" s="74"/>
      <c r="D149" s="68"/>
      <c r="E149" s="77"/>
      <c r="F149" s="68"/>
      <c r="G149" s="75"/>
      <c r="H149" s="75"/>
      <c r="I149" s="76"/>
      <c r="J149" s="76"/>
      <c r="K149" s="67"/>
      <c r="L149" s="68"/>
      <c r="M149" s="68"/>
      <c r="N149" s="69" t="s">
        <v>229</v>
      </c>
      <c r="O149" s="69" t="s">
        <v>229</v>
      </c>
      <c r="P149" s="69" t="s">
        <v>229</v>
      </c>
      <c r="Q149" s="69" t="s">
        <v>229</v>
      </c>
      <c r="R149" s="69" t="s">
        <v>229</v>
      </c>
      <c r="S149" s="69" t="s">
        <v>229</v>
      </c>
      <c r="T149" s="70" t="s">
        <v>229</v>
      </c>
      <c r="U149" s="71" t="s">
        <v>229</v>
      </c>
      <c r="V149" s="72" t="s">
        <v>229</v>
      </c>
      <c r="W149" s="73" t="s">
        <v>229</v>
      </c>
      <c r="X149" s="72" t="s">
        <v>229</v>
      </c>
      <c r="Y149" s="70" t="s">
        <v>229</v>
      </c>
      <c r="Z149" s="73" t="s">
        <v>229</v>
      </c>
    </row>
    <row r="150" ht="15.75" customHeight="1">
      <c r="A150" s="68"/>
      <c r="B150" s="74"/>
      <c r="C150" s="74"/>
      <c r="D150" s="68"/>
      <c r="E150" s="77"/>
      <c r="F150" s="68"/>
      <c r="G150" s="75"/>
      <c r="H150" s="75"/>
      <c r="I150" s="76"/>
      <c r="J150" s="76"/>
      <c r="K150" s="67"/>
      <c r="L150" s="68"/>
      <c r="M150" s="68"/>
      <c r="N150" s="69" t="s">
        <v>229</v>
      </c>
      <c r="O150" s="69" t="s">
        <v>229</v>
      </c>
      <c r="P150" s="69" t="s">
        <v>229</v>
      </c>
      <c r="Q150" s="69" t="s">
        <v>229</v>
      </c>
      <c r="R150" s="69" t="s">
        <v>229</v>
      </c>
      <c r="S150" s="69" t="s">
        <v>229</v>
      </c>
      <c r="T150" s="70" t="s">
        <v>229</v>
      </c>
      <c r="U150" s="71" t="s">
        <v>229</v>
      </c>
      <c r="V150" s="72" t="s">
        <v>229</v>
      </c>
      <c r="W150" s="73" t="s">
        <v>229</v>
      </c>
      <c r="X150" s="72" t="s">
        <v>229</v>
      </c>
      <c r="Y150" s="70" t="s">
        <v>229</v>
      </c>
      <c r="Z150" s="73" t="s">
        <v>229</v>
      </c>
    </row>
    <row r="151" ht="15.75" customHeight="1">
      <c r="A151" s="68"/>
      <c r="B151" s="74"/>
      <c r="C151" s="74"/>
      <c r="D151" s="68"/>
      <c r="E151" s="77"/>
      <c r="F151" s="68"/>
      <c r="G151" s="75"/>
      <c r="H151" s="75"/>
      <c r="I151" s="76"/>
      <c r="J151" s="76"/>
      <c r="K151" s="67"/>
      <c r="L151" s="68"/>
      <c r="M151" s="68"/>
      <c r="N151" s="69" t="s">
        <v>229</v>
      </c>
      <c r="O151" s="69" t="s">
        <v>229</v>
      </c>
      <c r="P151" s="69" t="s">
        <v>229</v>
      </c>
      <c r="Q151" s="69" t="s">
        <v>229</v>
      </c>
      <c r="R151" s="69" t="s">
        <v>229</v>
      </c>
      <c r="S151" s="69" t="s">
        <v>229</v>
      </c>
      <c r="T151" s="70" t="s">
        <v>229</v>
      </c>
      <c r="U151" s="71" t="s">
        <v>229</v>
      </c>
      <c r="V151" s="72" t="s">
        <v>229</v>
      </c>
      <c r="W151" s="73" t="s">
        <v>229</v>
      </c>
      <c r="X151" s="72" t="s">
        <v>229</v>
      </c>
      <c r="Y151" s="70" t="s">
        <v>229</v>
      </c>
      <c r="Z151" s="73" t="s">
        <v>229</v>
      </c>
    </row>
    <row r="152" ht="15.75" customHeight="1">
      <c r="A152" s="68"/>
      <c r="B152" s="74"/>
      <c r="C152" s="74"/>
      <c r="D152" s="68"/>
      <c r="E152" s="77"/>
      <c r="F152" s="68"/>
      <c r="G152" s="75"/>
      <c r="H152" s="75"/>
      <c r="I152" s="76"/>
      <c r="J152" s="76"/>
      <c r="K152" s="67"/>
      <c r="L152" s="68"/>
      <c r="M152" s="68"/>
      <c r="N152" s="69" t="s">
        <v>229</v>
      </c>
      <c r="O152" s="69" t="s">
        <v>229</v>
      </c>
      <c r="P152" s="69" t="s">
        <v>229</v>
      </c>
      <c r="Q152" s="69" t="s">
        <v>229</v>
      </c>
      <c r="R152" s="69" t="s">
        <v>229</v>
      </c>
      <c r="S152" s="69" t="s">
        <v>229</v>
      </c>
      <c r="T152" s="70" t="s">
        <v>229</v>
      </c>
      <c r="U152" s="71" t="s">
        <v>229</v>
      </c>
      <c r="V152" s="72" t="s">
        <v>229</v>
      </c>
      <c r="W152" s="73" t="s">
        <v>229</v>
      </c>
      <c r="X152" s="72" t="s">
        <v>229</v>
      </c>
      <c r="Y152" s="70" t="s">
        <v>229</v>
      </c>
      <c r="Z152" s="73" t="s">
        <v>229</v>
      </c>
    </row>
    <row r="153" ht="15.75" customHeight="1">
      <c r="A153" s="68"/>
      <c r="B153" s="74"/>
      <c r="C153" s="74"/>
      <c r="D153" s="68"/>
      <c r="E153" s="77"/>
      <c r="F153" s="68"/>
      <c r="G153" s="75"/>
      <c r="H153" s="75"/>
      <c r="I153" s="76"/>
      <c r="J153" s="76"/>
      <c r="K153" s="67"/>
      <c r="L153" s="68"/>
      <c r="M153" s="68"/>
      <c r="N153" s="69" t="s">
        <v>229</v>
      </c>
      <c r="O153" s="69" t="s">
        <v>229</v>
      </c>
      <c r="P153" s="69" t="s">
        <v>229</v>
      </c>
      <c r="Q153" s="69" t="s">
        <v>229</v>
      </c>
      <c r="R153" s="69" t="s">
        <v>229</v>
      </c>
      <c r="S153" s="69" t="s">
        <v>229</v>
      </c>
      <c r="T153" s="70" t="s">
        <v>229</v>
      </c>
      <c r="U153" s="71" t="s">
        <v>229</v>
      </c>
      <c r="V153" s="72" t="s">
        <v>229</v>
      </c>
      <c r="W153" s="73" t="s">
        <v>229</v>
      </c>
      <c r="X153" s="72" t="s">
        <v>229</v>
      </c>
      <c r="Y153" s="70" t="s">
        <v>229</v>
      </c>
      <c r="Z153" s="73" t="s">
        <v>229</v>
      </c>
    </row>
    <row r="154" ht="15.75" customHeight="1">
      <c r="A154" s="68"/>
      <c r="B154" s="74"/>
      <c r="C154" s="74"/>
      <c r="D154" s="68"/>
      <c r="E154" s="77"/>
      <c r="F154" s="68"/>
      <c r="G154" s="75"/>
      <c r="H154" s="75"/>
      <c r="I154" s="76"/>
      <c r="J154" s="76"/>
      <c r="K154" s="67"/>
      <c r="L154" s="68"/>
      <c r="M154" s="68"/>
      <c r="N154" s="69" t="s">
        <v>229</v>
      </c>
      <c r="O154" s="69" t="s">
        <v>229</v>
      </c>
      <c r="P154" s="69" t="s">
        <v>229</v>
      </c>
      <c r="Q154" s="69" t="s">
        <v>229</v>
      </c>
      <c r="R154" s="69" t="s">
        <v>229</v>
      </c>
      <c r="S154" s="69" t="s">
        <v>229</v>
      </c>
      <c r="T154" s="70" t="s">
        <v>229</v>
      </c>
      <c r="U154" s="71" t="s">
        <v>229</v>
      </c>
      <c r="V154" s="72" t="s">
        <v>229</v>
      </c>
      <c r="W154" s="73" t="s">
        <v>229</v>
      </c>
      <c r="X154" s="72" t="s">
        <v>229</v>
      </c>
      <c r="Y154" s="70" t="s">
        <v>229</v>
      </c>
      <c r="Z154" s="73" t="s">
        <v>229</v>
      </c>
    </row>
    <row r="155" ht="15.75" customHeight="1">
      <c r="A155" s="68"/>
      <c r="B155" s="74"/>
      <c r="C155" s="74"/>
      <c r="D155" s="68"/>
      <c r="E155" s="77"/>
      <c r="F155" s="68"/>
      <c r="G155" s="75"/>
      <c r="H155" s="75"/>
      <c r="I155" s="76"/>
      <c r="J155" s="76"/>
      <c r="K155" s="67"/>
      <c r="L155" s="68"/>
      <c r="M155" s="68"/>
      <c r="N155" s="69" t="s">
        <v>229</v>
      </c>
      <c r="O155" s="69" t="s">
        <v>229</v>
      </c>
      <c r="P155" s="69" t="s">
        <v>229</v>
      </c>
      <c r="Q155" s="69" t="s">
        <v>229</v>
      </c>
      <c r="R155" s="69" t="s">
        <v>229</v>
      </c>
      <c r="S155" s="69" t="s">
        <v>229</v>
      </c>
      <c r="T155" s="70" t="s">
        <v>229</v>
      </c>
      <c r="U155" s="71" t="s">
        <v>229</v>
      </c>
      <c r="V155" s="72" t="s">
        <v>229</v>
      </c>
      <c r="W155" s="73" t="s">
        <v>229</v>
      </c>
      <c r="X155" s="72" t="s">
        <v>229</v>
      </c>
      <c r="Y155" s="70" t="s">
        <v>229</v>
      </c>
      <c r="Z155" s="73" t="s">
        <v>229</v>
      </c>
    </row>
    <row r="156" ht="15.75" customHeight="1">
      <c r="A156" s="68"/>
      <c r="B156" s="74"/>
      <c r="C156" s="74"/>
      <c r="D156" s="68"/>
      <c r="E156" s="77"/>
      <c r="F156" s="68"/>
      <c r="G156" s="75"/>
      <c r="H156" s="75"/>
      <c r="I156" s="76"/>
      <c r="J156" s="76"/>
      <c r="K156" s="67"/>
      <c r="L156" s="68"/>
      <c r="M156" s="68"/>
      <c r="N156" s="69" t="s">
        <v>229</v>
      </c>
      <c r="O156" s="69" t="s">
        <v>229</v>
      </c>
      <c r="P156" s="69" t="s">
        <v>229</v>
      </c>
      <c r="Q156" s="69" t="s">
        <v>229</v>
      </c>
      <c r="R156" s="69" t="s">
        <v>229</v>
      </c>
      <c r="S156" s="69" t="s">
        <v>229</v>
      </c>
      <c r="T156" s="70" t="s">
        <v>229</v>
      </c>
      <c r="U156" s="71" t="s">
        <v>229</v>
      </c>
      <c r="V156" s="72" t="s">
        <v>229</v>
      </c>
      <c r="W156" s="73" t="s">
        <v>229</v>
      </c>
      <c r="X156" s="72" t="s">
        <v>229</v>
      </c>
      <c r="Y156" s="70" t="s">
        <v>229</v>
      </c>
      <c r="Z156" s="73" t="s">
        <v>229</v>
      </c>
    </row>
    <row r="157" ht="15.75" customHeight="1">
      <c r="A157" s="68"/>
      <c r="B157" s="74"/>
      <c r="C157" s="74"/>
      <c r="D157" s="68"/>
      <c r="E157" s="77"/>
      <c r="F157" s="68"/>
      <c r="G157" s="75"/>
      <c r="H157" s="75"/>
      <c r="I157" s="76"/>
      <c r="J157" s="76"/>
      <c r="K157" s="67"/>
      <c r="L157" s="68"/>
      <c r="M157" s="68"/>
      <c r="N157" s="69" t="s">
        <v>229</v>
      </c>
      <c r="O157" s="69" t="s">
        <v>229</v>
      </c>
      <c r="P157" s="69" t="s">
        <v>229</v>
      </c>
      <c r="Q157" s="69" t="s">
        <v>229</v>
      </c>
      <c r="R157" s="69" t="s">
        <v>229</v>
      </c>
      <c r="S157" s="69" t="s">
        <v>229</v>
      </c>
      <c r="T157" s="70" t="s">
        <v>229</v>
      </c>
      <c r="U157" s="71" t="s">
        <v>229</v>
      </c>
      <c r="V157" s="72" t="s">
        <v>229</v>
      </c>
      <c r="W157" s="73" t="s">
        <v>229</v>
      </c>
      <c r="X157" s="72" t="s">
        <v>229</v>
      </c>
      <c r="Y157" s="70" t="s">
        <v>229</v>
      </c>
      <c r="Z157" s="73" t="s">
        <v>229</v>
      </c>
    </row>
    <row r="158" ht="15.75" customHeight="1">
      <c r="A158" s="68"/>
      <c r="B158" s="74"/>
      <c r="C158" s="74"/>
      <c r="D158" s="68"/>
      <c r="E158" s="68"/>
      <c r="F158" s="68"/>
      <c r="G158" s="75"/>
      <c r="H158" s="75"/>
      <c r="I158" s="76"/>
      <c r="J158" s="76"/>
      <c r="K158" s="67"/>
      <c r="L158" s="68"/>
      <c r="M158" s="68"/>
      <c r="N158" s="69" t="s">
        <v>229</v>
      </c>
      <c r="O158" s="69" t="s">
        <v>229</v>
      </c>
      <c r="P158" s="69" t="s">
        <v>229</v>
      </c>
      <c r="Q158" s="69" t="s">
        <v>229</v>
      </c>
      <c r="R158" s="69" t="s">
        <v>229</v>
      </c>
      <c r="S158" s="69" t="s">
        <v>229</v>
      </c>
      <c r="T158" s="70" t="s">
        <v>229</v>
      </c>
      <c r="U158" s="71" t="s">
        <v>229</v>
      </c>
      <c r="V158" s="72" t="s">
        <v>229</v>
      </c>
      <c r="W158" s="73" t="s">
        <v>229</v>
      </c>
      <c r="X158" s="72" t="s">
        <v>229</v>
      </c>
      <c r="Y158" s="70" t="s">
        <v>229</v>
      </c>
      <c r="Z158" s="73" t="s">
        <v>229</v>
      </c>
    </row>
    <row r="159" ht="15.75" customHeight="1">
      <c r="A159" s="68"/>
      <c r="B159" s="74"/>
      <c r="C159" s="74"/>
      <c r="D159" s="68"/>
      <c r="E159" s="68"/>
      <c r="F159" s="68"/>
      <c r="G159" s="75"/>
      <c r="H159" s="75"/>
      <c r="I159" s="76"/>
      <c r="J159" s="76"/>
      <c r="K159" s="67"/>
      <c r="L159" s="68"/>
      <c r="M159" s="68"/>
      <c r="N159" s="69" t="s">
        <v>229</v>
      </c>
      <c r="O159" s="69" t="s">
        <v>229</v>
      </c>
      <c r="P159" s="69" t="s">
        <v>229</v>
      </c>
      <c r="Q159" s="69" t="s">
        <v>229</v>
      </c>
      <c r="R159" s="69" t="s">
        <v>229</v>
      </c>
      <c r="S159" s="69" t="s">
        <v>229</v>
      </c>
      <c r="T159" s="70" t="s">
        <v>229</v>
      </c>
      <c r="U159" s="71" t="s">
        <v>229</v>
      </c>
      <c r="V159" s="72" t="s">
        <v>229</v>
      </c>
      <c r="W159" s="73" t="s">
        <v>229</v>
      </c>
      <c r="X159" s="72" t="s">
        <v>229</v>
      </c>
      <c r="Y159" s="70" t="s">
        <v>229</v>
      </c>
      <c r="Z159" s="73" t="s">
        <v>229</v>
      </c>
    </row>
    <row r="160" ht="15.75" customHeight="1">
      <c r="A160" s="68"/>
      <c r="B160" s="74"/>
      <c r="C160" s="74"/>
      <c r="D160" s="68"/>
      <c r="E160" s="68"/>
      <c r="F160" s="68"/>
      <c r="G160" s="75"/>
      <c r="H160" s="75"/>
      <c r="I160" s="76"/>
      <c r="J160" s="76"/>
      <c r="K160" s="67"/>
      <c r="L160" s="68"/>
      <c r="M160" s="68"/>
      <c r="N160" s="69" t="s">
        <v>229</v>
      </c>
      <c r="O160" s="69" t="s">
        <v>229</v>
      </c>
      <c r="P160" s="69" t="s">
        <v>229</v>
      </c>
      <c r="Q160" s="69" t="s">
        <v>229</v>
      </c>
      <c r="R160" s="69" t="s">
        <v>229</v>
      </c>
      <c r="S160" s="69" t="s">
        <v>229</v>
      </c>
      <c r="T160" s="70" t="s">
        <v>229</v>
      </c>
      <c r="U160" s="71" t="s">
        <v>229</v>
      </c>
      <c r="V160" s="72" t="s">
        <v>229</v>
      </c>
      <c r="W160" s="73" t="s">
        <v>229</v>
      </c>
      <c r="X160" s="72" t="s">
        <v>229</v>
      </c>
      <c r="Y160" s="70" t="s">
        <v>229</v>
      </c>
      <c r="Z160" s="73" t="s">
        <v>229</v>
      </c>
    </row>
    <row r="161" ht="15.75" customHeight="1">
      <c r="A161" s="68"/>
      <c r="B161" s="74"/>
      <c r="C161" s="74"/>
      <c r="D161" s="68"/>
      <c r="E161" s="77"/>
      <c r="F161" s="68"/>
      <c r="G161" s="75"/>
      <c r="H161" s="75"/>
      <c r="I161" s="76"/>
      <c r="J161" s="76"/>
      <c r="K161" s="67"/>
      <c r="L161" s="68"/>
      <c r="M161" s="68"/>
      <c r="N161" s="69" t="s">
        <v>229</v>
      </c>
      <c r="O161" s="69" t="s">
        <v>229</v>
      </c>
      <c r="P161" s="69" t="s">
        <v>229</v>
      </c>
      <c r="Q161" s="69" t="s">
        <v>229</v>
      </c>
      <c r="R161" s="69" t="s">
        <v>229</v>
      </c>
      <c r="S161" s="69" t="s">
        <v>229</v>
      </c>
      <c r="T161" s="70" t="s">
        <v>229</v>
      </c>
      <c r="U161" s="71" t="s">
        <v>229</v>
      </c>
      <c r="V161" s="72" t="s">
        <v>229</v>
      </c>
      <c r="W161" s="73" t="s">
        <v>229</v>
      </c>
      <c r="X161" s="72" t="s">
        <v>229</v>
      </c>
      <c r="Y161" s="70" t="s">
        <v>229</v>
      </c>
      <c r="Z161" s="73" t="s">
        <v>229</v>
      </c>
    </row>
    <row r="162" ht="15.75" customHeight="1">
      <c r="A162" s="68"/>
      <c r="B162" s="74"/>
      <c r="C162" s="74"/>
      <c r="D162" s="68"/>
      <c r="E162" s="77"/>
      <c r="F162" s="68"/>
      <c r="G162" s="75"/>
      <c r="H162" s="75"/>
      <c r="I162" s="76"/>
      <c r="J162" s="76"/>
      <c r="K162" s="67"/>
      <c r="L162" s="68"/>
      <c r="M162" s="68"/>
      <c r="N162" s="69" t="s">
        <v>229</v>
      </c>
      <c r="O162" s="69" t="s">
        <v>229</v>
      </c>
      <c r="P162" s="69" t="s">
        <v>229</v>
      </c>
      <c r="Q162" s="69" t="s">
        <v>229</v>
      </c>
      <c r="R162" s="69" t="s">
        <v>229</v>
      </c>
      <c r="S162" s="69" t="s">
        <v>229</v>
      </c>
      <c r="T162" s="70" t="s">
        <v>229</v>
      </c>
      <c r="U162" s="71" t="s">
        <v>229</v>
      </c>
      <c r="V162" s="72" t="s">
        <v>229</v>
      </c>
      <c r="W162" s="73" t="s">
        <v>229</v>
      </c>
      <c r="X162" s="72" t="s">
        <v>229</v>
      </c>
      <c r="Y162" s="70" t="s">
        <v>229</v>
      </c>
      <c r="Z162" s="73" t="s">
        <v>229</v>
      </c>
    </row>
    <row r="163" ht="15.75" customHeight="1">
      <c r="A163" s="68"/>
      <c r="B163" s="74"/>
      <c r="C163" s="74"/>
      <c r="D163" s="68"/>
      <c r="E163" s="77"/>
      <c r="F163" s="68"/>
      <c r="G163" s="75"/>
      <c r="H163" s="75"/>
      <c r="I163" s="76"/>
      <c r="J163" s="76"/>
      <c r="K163" s="67"/>
      <c r="L163" s="68"/>
      <c r="M163" s="68"/>
      <c r="N163" s="69" t="s">
        <v>229</v>
      </c>
      <c r="O163" s="69" t="s">
        <v>229</v>
      </c>
      <c r="P163" s="69" t="s">
        <v>229</v>
      </c>
      <c r="Q163" s="69" t="s">
        <v>229</v>
      </c>
      <c r="R163" s="69" t="s">
        <v>229</v>
      </c>
      <c r="S163" s="69" t="s">
        <v>229</v>
      </c>
      <c r="T163" s="70" t="s">
        <v>229</v>
      </c>
      <c r="U163" s="71" t="s">
        <v>229</v>
      </c>
      <c r="V163" s="72" t="s">
        <v>229</v>
      </c>
      <c r="W163" s="73" t="s">
        <v>229</v>
      </c>
      <c r="X163" s="72" t="s">
        <v>229</v>
      </c>
      <c r="Y163" s="70" t="s">
        <v>229</v>
      </c>
      <c r="Z163" s="73" t="s">
        <v>229</v>
      </c>
    </row>
    <row r="164" ht="15.75" customHeight="1">
      <c r="A164" s="68"/>
      <c r="B164" s="74"/>
      <c r="C164" s="74"/>
      <c r="D164" s="68"/>
      <c r="E164" s="77"/>
      <c r="F164" s="68"/>
      <c r="G164" s="75"/>
      <c r="H164" s="75"/>
      <c r="I164" s="76"/>
      <c r="J164" s="76"/>
      <c r="K164" s="67"/>
      <c r="L164" s="68"/>
      <c r="M164" s="68"/>
      <c r="N164" s="69" t="s">
        <v>229</v>
      </c>
      <c r="O164" s="69" t="s">
        <v>229</v>
      </c>
      <c r="P164" s="69" t="s">
        <v>229</v>
      </c>
      <c r="Q164" s="69" t="s">
        <v>229</v>
      </c>
      <c r="R164" s="69" t="s">
        <v>229</v>
      </c>
      <c r="S164" s="69" t="s">
        <v>229</v>
      </c>
      <c r="T164" s="70" t="s">
        <v>229</v>
      </c>
      <c r="U164" s="71" t="s">
        <v>229</v>
      </c>
      <c r="V164" s="72" t="s">
        <v>229</v>
      </c>
      <c r="W164" s="73" t="s">
        <v>229</v>
      </c>
      <c r="X164" s="72" t="s">
        <v>229</v>
      </c>
      <c r="Y164" s="70" t="s">
        <v>229</v>
      </c>
      <c r="Z164" s="73" t="s">
        <v>229</v>
      </c>
    </row>
    <row r="165" ht="15.75" customHeight="1">
      <c r="A165" s="68"/>
      <c r="B165" s="74"/>
      <c r="C165" s="74"/>
      <c r="D165" s="68"/>
      <c r="E165" s="77"/>
      <c r="F165" s="68"/>
      <c r="G165" s="75"/>
      <c r="H165" s="75"/>
      <c r="I165" s="76"/>
      <c r="J165" s="76"/>
      <c r="K165" s="67"/>
      <c r="L165" s="68"/>
      <c r="M165" s="68"/>
      <c r="N165" s="69" t="s">
        <v>229</v>
      </c>
      <c r="O165" s="69" t="s">
        <v>229</v>
      </c>
      <c r="P165" s="69" t="s">
        <v>229</v>
      </c>
      <c r="Q165" s="69" t="s">
        <v>229</v>
      </c>
      <c r="R165" s="69" t="s">
        <v>229</v>
      </c>
      <c r="S165" s="69" t="s">
        <v>229</v>
      </c>
      <c r="T165" s="70" t="s">
        <v>229</v>
      </c>
      <c r="U165" s="71" t="s">
        <v>229</v>
      </c>
      <c r="V165" s="72" t="s">
        <v>229</v>
      </c>
      <c r="W165" s="73" t="s">
        <v>229</v>
      </c>
      <c r="X165" s="72" t="s">
        <v>229</v>
      </c>
      <c r="Y165" s="70" t="s">
        <v>229</v>
      </c>
      <c r="Z165" s="73" t="s">
        <v>229</v>
      </c>
    </row>
    <row r="166" ht="15.75" customHeight="1">
      <c r="A166" s="68"/>
      <c r="B166" s="74"/>
      <c r="C166" s="74"/>
      <c r="D166" s="68"/>
      <c r="E166" s="77"/>
      <c r="F166" s="68"/>
      <c r="G166" s="75"/>
      <c r="H166" s="75"/>
      <c r="I166" s="76"/>
      <c r="J166" s="76"/>
      <c r="K166" s="67"/>
      <c r="L166" s="68"/>
      <c r="M166" s="68"/>
      <c r="N166" s="69" t="s">
        <v>229</v>
      </c>
      <c r="O166" s="69" t="s">
        <v>229</v>
      </c>
      <c r="P166" s="69" t="s">
        <v>229</v>
      </c>
      <c r="Q166" s="69" t="s">
        <v>229</v>
      </c>
      <c r="R166" s="69" t="s">
        <v>229</v>
      </c>
      <c r="S166" s="69" t="s">
        <v>229</v>
      </c>
      <c r="T166" s="70" t="s">
        <v>229</v>
      </c>
      <c r="U166" s="71" t="s">
        <v>229</v>
      </c>
      <c r="V166" s="72" t="s">
        <v>229</v>
      </c>
      <c r="W166" s="73" t="s">
        <v>229</v>
      </c>
      <c r="X166" s="72" t="s">
        <v>229</v>
      </c>
      <c r="Y166" s="70" t="s">
        <v>229</v>
      </c>
      <c r="Z166" s="73" t="s">
        <v>229</v>
      </c>
    </row>
    <row r="167" ht="15.75" customHeight="1">
      <c r="A167" s="68"/>
      <c r="B167" s="74"/>
      <c r="C167" s="74"/>
      <c r="D167" s="68"/>
      <c r="E167" s="77"/>
      <c r="F167" s="68"/>
      <c r="G167" s="75"/>
      <c r="H167" s="75"/>
      <c r="I167" s="76"/>
      <c r="J167" s="76"/>
      <c r="K167" s="67"/>
      <c r="L167" s="68"/>
      <c r="M167" s="68"/>
      <c r="N167" s="69" t="s">
        <v>229</v>
      </c>
      <c r="O167" s="69" t="s">
        <v>229</v>
      </c>
      <c r="P167" s="69" t="s">
        <v>229</v>
      </c>
      <c r="Q167" s="69" t="s">
        <v>229</v>
      </c>
      <c r="R167" s="69" t="s">
        <v>229</v>
      </c>
      <c r="S167" s="69" t="s">
        <v>229</v>
      </c>
      <c r="T167" s="70" t="s">
        <v>229</v>
      </c>
      <c r="U167" s="71" t="s">
        <v>229</v>
      </c>
      <c r="V167" s="72" t="s">
        <v>229</v>
      </c>
      <c r="W167" s="73" t="s">
        <v>229</v>
      </c>
      <c r="X167" s="72" t="s">
        <v>229</v>
      </c>
      <c r="Y167" s="70" t="s">
        <v>229</v>
      </c>
      <c r="Z167" s="73" t="s">
        <v>229</v>
      </c>
    </row>
    <row r="168" ht="15.75" customHeight="1">
      <c r="A168" s="68"/>
      <c r="B168" s="74"/>
      <c r="C168" s="74"/>
      <c r="D168" s="68"/>
      <c r="E168" s="77"/>
      <c r="F168" s="68"/>
      <c r="G168" s="75"/>
      <c r="H168" s="75"/>
      <c r="I168" s="76"/>
      <c r="J168" s="76"/>
      <c r="K168" s="67"/>
      <c r="L168" s="68"/>
      <c r="M168" s="68"/>
      <c r="N168" s="69" t="s">
        <v>229</v>
      </c>
      <c r="O168" s="69" t="s">
        <v>229</v>
      </c>
      <c r="P168" s="69" t="s">
        <v>229</v>
      </c>
      <c r="Q168" s="69" t="s">
        <v>229</v>
      </c>
      <c r="R168" s="69" t="s">
        <v>229</v>
      </c>
      <c r="S168" s="69" t="s">
        <v>229</v>
      </c>
      <c r="T168" s="70" t="s">
        <v>229</v>
      </c>
      <c r="U168" s="71" t="s">
        <v>229</v>
      </c>
      <c r="V168" s="72" t="s">
        <v>229</v>
      </c>
      <c r="W168" s="73" t="s">
        <v>229</v>
      </c>
      <c r="X168" s="72" t="s">
        <v>229</v>
      </c>
      <c r="Y168" s="70" t="s">
        <v>229</v>
      </c>
      <c r="Z168" s="73" t="s">
        <v>229</v>
      </c>
    </row>
    <row r="169" ht="15.75" customHeight="1">
      <c r="A169" s="68"/>
      <c r="B169" s="74"/>
      <c r="C169" s="74"/>
      <c r="D169" s="68"/>
      <c r="E169" s="77"/>
      <c r="F169" s="68"/>
      <c r="G169" s="75"/>
      <c r="H169" s="75"/>
      <c r="I169" s="76"/>
      <c r="J169" s="76"/>
      <c r="K169" s="67"/>
      <c r="L169" s="68"/>
      <c r="M169" s="68"/>
      <c r="N169" s="69" t="s">
        <v>229</v>
      </c>
      <c r="O169" s="69" t="s">
        <v>229</v>
      </c>
      <c r="P169" s="69" t="s">
        <v>229</v>
      </c>
      <c r="Q169" s="69" t="s">
        <v>229</v>
      </c>
      <c r="R169" s="69" t="s">
        <v>229</v>
      </c>
      <c r="S169" s="69" t="s">
        <v>229</v>
      </c>
      <c r="T169" s="70" t="s">
        <v>229</v>
      </c>
      <c r="U169" s="71" t="s">
        <v>229</v>
      </c>
      <c r="V169" s="72" t="s">
        <v>229</v>
      </c>
      <c r="W169" s="73" t="s">
        <v>229</v>
      </c>
      <c r="X169" s="72" t="s">
        <v>229</v>
      </c>
      <c r="Y169" s="70" t="s">
        <v>229</v>
      </c>
      <c r="Z169" s="73" t="s">
        <v>229</v>
      </c>
    </row>
    <row r="170" ht="15.75" customHeight="1">
      <c r="A170" s="68"/>
      <c r="B170" s="74"/>
      <c r="C170" s="74"/>
      <c r="D170" s="68"/>
      <c r="E170" s="77"/>
      <c r="F170" s="68"/>
      <c r="G170" s="75"/>
      <c r="H170" s="75"/>
      <c r="I170" s="76"/>
      <c r="J170" s="76"/>
      <c r="K170" s="67"/>
      <c r="L170" s="68"/>
      <c r="M170" s="68"/>
      <c r="N170" s="69" t="s">
        <v>229</v>
      </c>
      <c r="O170" s="69" t="s">
        <v>229</v>
      </c>
      <c r="P170" s="69" t="s">
        <v>229</v>
      </c>
      <c r="Q170" s="69" t="s">
        <v>229</v>
      </c>
      <c r="R170" s="69" t="s">
        <v>229</v>
      </c>
      <c r="S170" s="69" t="s">
        <v>229</v>
      </c>
      <c r="T170" s="70" t="s">
        <v>229</v>
      </c>
      <c r="U170" s="71" t="s">
        <v>229</v>
      </c>
      <c r="V170" s="72" t="s">
        <v>229</v>
      </c>
      <c r="W170" s="73" t="s">
        <v>229</v>
      </c>
      <c r="X170" s="72" t="s">
        <v>229</v>
      </c>
      <c r="Y170" s="70" t="s">
        <v>229</v>
      </c>
      <c r="Z170" s="73" t="s">
        <v>229</v>
      </c>
    </row>
    <row r="171" ht="15.75" customHeight="1">
      <c r="A171" s="68"/>
      <c r="B171" s="74"/>
      <c r="C171" s="74"/>
      <c r="D171" s="68"/>
      <c r="E171" s="77"/>
      <c r="F171" s="68"/>
      <c r="G171" s="75"/>
      <c r="H171" s="75"/>
      <c r="I171" s="76"/>
      <c r="J171" s="76"/>
      <c r="K171" s="67"/>
      <c r="L171" s="68"/>
      <c r="M171" s="68"/>
      <c r="N171" s="69" t="s">
        <v>229</v>
      </c>
      <c r="O171" s="69" t="s">
        <v>229</v>
      </c>
      <c r="P171" s="69" t="s">
        <v>229</v>
      </c>
      <c r="Q171" s="69" t="s">
        <v>229</v>
      </c>
      <c r="R171" s="69" t="s">
        <v>229</v>
      </c>
      <c r="S171" s="69" t="s">
        <v>229</v>
      </c>
      <c r="T171" s="70" t="s">
        <v>229</v>
      </c>
      <c r="U171" s="71" t="s">
        <v>229</v>
      </c>
      <c r="V171" s="72" t="s">
        <v>229</v>
      </c>
      <c r="W171" s="73" t="s">
        <v>229</v>
      </c>
      <c r="X171" s="72" t="s">
        <v>229</v>
      </c>
      <c r="Y171" s="70" t="s">
        <v>229</v>
      </c>
      <c r="Z171" s="73" t="s">
        <v>229</v>
      </c>
    </row>
    <row r="172" ht="15.75" customHeight="1">
      <c r="A172" s="68"/>
      <c r="B172" s="74"/>
      <c r="C172" s="74"/>
      <c r="D172" s="68"/>
      <c r="E172" s="77"/>
      <c r="F172" s="68"/>
      <c r="G172" s="75"/>
      <c r="H172" s="75"/>
      <c r="I172" s="76"/>
      <c r="J172" s="76"/>
      <c r="K172" s="67"/>
      <c r="L172" s="68"/>
      <c r="M172" s="68"/>
      <c r="N172" s="69" t="s">
        <v>229</v>
      </c>
      <c r="O172" s="69" t="s">
        <v>229</v>
      </c>
      <c r="P172" s="69" t="s">
        <v>229</v>
      </c>
      <c r="Q172" s="69" t="s">
        <v>229</v>
      </c>
      <c r="R172" s="69" t="s">
        <v>229</v>
      </c>
      <c r="S172" s="69" t="s">
        <v>229</v>
      </c>
      <c r="T172" s="70" t="s">
        <v>229</v>
      </c>
      <c r="U172" s="71" t="s">
        <v>229</v>
      </c>
      <c r="V172" s="72" t="s">
        <v>229</v>
      </c>
      <c r="W172" s="73" t="s">
        <v>229</v>
      </c>
      <c r="X172" s="72" t="s">
        <v>229</v>
      </c>
      <c r="Y172" s="70" t="s">
        <v>229</v>
      </c>
      <c r="Z172" s="73" t="s">
        <v>229</v>
      </c>
    </row>
    <row r="173" ht="15.75" customHeight="1">
      <c r="A173" s="68"/>
      <c r="B173" s="74"/>
      <c r="C173" s="74"/>
      <c r="D173" s="68"/>
      <c r="E173" s="77"/>
      <c r="F173" s="68"/>
      <c r="G173" s="75"/>
      <c r="H173" s="75"/>
      <c r="I173" s="76"/>
      <c r="J173" s="76"/>
      <c r="K173" s="67"/>
      <c r="L173" s="68"/>
      <c r="M173" s="68"/>
      <c r="N173" s="69" t="s">
        <v>229</v>
      </c>
      <c r="O173" s="69" t="s">
        <v>229</v>
      </c>
      <c r="P173" s="69" t="s">
        <v>229</v>
      </c>
      <c r="Q173" s="69" t="s">
        <v>229</v>
      </c>
      <c r="R173" s="69" t="s">
        <v>229</v>
      </c>
      <c r="S173" s="69" t="s">
        <v>229</v>
      </c>
      <c r="T173" s="70" t="s">
        <v>229</v>
      </c>
      <c r="U173" s="71" t="s">
        <v>229</v>
      </c>
      <c r="V173" s="72" t="s">
        <v>229</v>
      </c>
      <c r="W173" s="73" t="s">
        <v>229</v>
      </c>
      <c r="X173" s="72" t="s">
        <v>229</v>
      </c>
      <c r="Y173" s="70" t="s">
        <v>229</v>
      </c>
      <c r="Z173" s="73" t="s">
        <v>229</v>
      </c>
    </row>
    <row r="174" ht="15.75" customHeight="1">
      <c r="A174" s="68"/>
      <c r="B174" s="74"/>
      <c r="C174" s="74"/>
      <c r="D174" s="68"/>
      <c r="E174" s="77"/>
      <c r="F174" s="68"/>
      <c r="G174" s="75"/>
      <c r="H174" s="75"/>
      <c r="I174" s="76"/>
      <c r="J174" s="76"/>
      <c r="K174" s="67"/>
      <c r="L174" s="68"/>
      <c r="M174" s="68"/>
      <c r="N174" s="69" t="s">
        <v>229</v>
      </c>
      <c r="O174" s="69" t="s">
        <v>229</v>
      </c>
      <c r="P174" s="69" t="s">
        <v>229</v>
      </c>
      <c r="Q174" s="69" t="s">
        <v>229</v>
      </c>
      <c r="R174" s="69" t="s">
        <v>229</v>
      </c>
      <c r="S174" s="69" t="s">
        <v>229</v>
      </c>
      <c r="T174" s="70" t="s">
        <v>229</v>
      </c>
      <c r="U174" s="71" t="s">
        <v>229</v>
      </c>
      <c r="V174" s="72" t="s">
        <v>229</v>
      </c>
      <c r="W174" s="73" t="s">
        <v>229</v>
      </c>
      <c r="X174" s="72" t="s">
        <v>229</v>
      </c>
      <c r="Y174" s="70" t="s">
        <v>229</v>
      </c>
      <c r="Z174" s="73" t="s">
        <v>229</v>
      </c>
    </row>
    <row r="175" ht="15.75" customHeight="1">
      <c r="A175" s="68"/>
      <c r="B175" s="74"/>
      <c r="C175" s="74"/>
      <c r="D175" s="68"/>
      <c r="E175" s="77"/>
      <c r="F175" s="68"/>
      <c r="G175" s="75"/>
      <c r="H175" s="75"/>
      <c r="I175" s="76"/>
      <c r="J175" s="76"/>
      <c r="K175" s="67"/>
      <c r="L175" s="68"/>
      <c r="M175" s="68"/>
      <c r="N175" s="69" t="s">
        <v>229</v>
      </c>
      <c r="O175" s="69" t="s">
        <v>229</v>
      </c>
      <c r="P175" s="69" t="s">
        <v>229</v>
      </c>
      <c r="Q175" s="69" t="s">
        <v>229</v>
      </c>
      <c r="R175" s="69" t="s">
        <v>229</v>
      </c>
      <c r="S175" s="69" t="s">
        <v>229</v>
      </c>
      <c r="T175" s="70" t="s">
        <v>229</v>
      </c>
      <c r="U175" s="71" t="s">
        <v>229</v>
      </c>
      <c r="V175" s="72" t="s">
        <v>229</v>
      </c>
      <c r="W175" s="73" t="s">
        <v>229</v>
      </c>
      <c r="X175" s="72" t="s">
        <v>229</v>
      </c>
      <c r="Y175" s="70" t="s">
        <v>229</v>
      </c>
      <c r="Z175" s="73" t="s">
        <v>229</v>
      </c>
    </row>
    <row r="176" ht="15.75" customHeight="1">
      <c r="A176" s="68"/>
      <c r="B176" s="74"/>
      <c r="C176" s="74"/>
      <c r="D176" s="68"/>
      <c r="E176" s="77"/>
      <c r="F176" s="68"/>
      <c r="G176" s="75"/>
      <c r="H176" s="75"/>
      <c r="I176" s="76"/>
      <c r="J176" s="76"/>
      <c r="K176" s="67"/>
      <c r="L176" s="68"/>
      <c r="M176" s="68"/>
      <c r="N176" s="69" t="s">
        <v>229</v>
      </c>
      <c r="O176" s="69" t="s">
        <v>229</v>
      </c>
      <c r="P176" s="69" t="s">
        <v>229</v>
      </c>
      <c r="Q176" s="69" t="s">
        <v>229</v>
      </c>
      <c r="R176" s="69" t="s">
        <v>229</v>
      </c>
      <c r="S176" s="69" t="s">
        <v>229</v>
      </c>
      <c r="T176" s="70" t="s">
        <v>229</v>
      </c>
      <c r="U176" s="71" t="s">
        <v>229</v>
      </c>
      <c r="V176" s="72" t="s">
        <v>229</v>
      </c>
      <c r="W176" s="73" t="s">
        <v>229</v>
      </c>
      <c r="X176" s="72" t="s">
        <v>229</v>
      </c>
      <c r="Y176" s="70" t="s">
        <v>229</v>
      </c>
      <c r="Z176" s="73" t="s">
        <v>229</v>
      </c>
    </row>
    <row r="177" ht="15.75" customHeight="1">
      <c r="A177" s="68"/>
      <c r="B177" s="74"/>
      <c r="C177" s="74"/>
      <c r="D177" s="68"/>
      <c r="E177" s="77"/>
      <c r="F177" s="68"/>
      <c r="G177" s="75"/>
      <c r="H177" s="75"/>
      <c r="I177" s="76"/>
      <c r="J177" s="76"/>
      <c r="K177" s="67"/>
      <c r="L177" s="68"/>
      <c r="M177" s="68"/>
      <c r="N177" s="69" t="s">
        <v>229</v>
      </c>
      <c r="O177" s="69" t="s">
        <v>229</v>
      </c>
      <c r="P177" s="69" t="s">
        <v>229</v>
      </c>
      <c r="Q177" s="69" t="s">
        <v>229</v>
      </c>
      <c r="R177" s="69" t="s">
        <v>229</v>
      </c>
      <c r="S177" s="69" t="s">
        <v>229</v>
      </c>
      <c r="T177" s="70" t="s">
        <v>229</v>
      </c>
      <c r="U177" s="71" t="s">
        <v>229</v>
      </c>
      <c r="V177" s="72" t="s">
        <v>229</v>
      </c>
      <c r="W177" s="73" t="s">
        <v>229</v>
      </c>
      <c r="X177" s="72" t="s">
        <v>229</v>
      </c>
      <c r="Y177" s="70" t="s">
        <v>229</v>
      </c>
      <c r="Z177" s="73" t="s">
        <v>229</v>
      </c>
    </row>
    <row r="178" ht="15.75" customHeight="1">
      <c r="A178" s="68"/>
      <c r="B178" s="74"/>
      <c r="C178" s="74"/>
      <c r="D178" s="68"/>
      <c r="E178" s="77"/>
      <c r="F178" s="68"/>
      <c r="G178" s="75"/>
      <c r="H178" s="75"/>
      <c r="I178" s="76"/>
      <c r="J178" s="76"/>
      <c r="K178" s="67"/>
      <c r="L178" s="68"/>
      <c r="M178" s="68"/>
      <c r="N178" s="69" t="s">
        <v>229</v>
      </c>
      <c r="O178" s="69" t="s">
        <v>229</v>
      </c>
      <c r="P178" s="69" t="s">
        <v>229</v>
      </c>
      <c r="Q178" s="69" t="s">
        <v>229</v>
      </c>
      <c r="R178" s="69" t="s">
        <v>229</v>
      </c>
      <c r="S178" s="69" t="s">
        <v>229</v>
      </c>
      <c r="T178" s="70" t="s">
        <v>229</v>
      </c>
      <c r="U178" s="71" t="s">
        <v>229</v>
      </c>
      <c r="V178" s="72" t="s">
        <v>229</v>
      </c>
      <c r="W178" s="73" t="s">
        <v>229</v>
      </c>
      <c r="X178" s="72" t="s">
        <v>229</v>
      </c>
      <c r="Y178" s="70" t="s">
        <v>229</v>
      </c>
      <c r="Z178" s="73" t="s">
        <v>229</v>
      </c>
    </row>
    <row r="179" ht="15.75" customHeight="1">
      <c r="A179" s="68"/>
      <c r="B179" s="74"/>
      <c r="C179" s="74"/>
      <c r="D179" s="68"/>
      <c r="E179" s="77"/>
      <c r="F179" s="68"/>
      <c r="G179" s="75"/>
      <c r="H179" s="75"/>
      <c r="I179" s="76"/>
      <c r="J179" s="76"/>
      <c r="K179" s="67"/>
      <c r="L179" s="68"/>
      <c r="M179" s="68"/>
      <c r="N179" s="69" t="s">
        <v>229</v>
      </c>
      <c r="O179" s="69" t="s">
        <v>229</v>
      </c>
      <c r="P179" s="69" t="s">
        <v>229</v>
      </c>
      <c r="Q179" s="69" t="s">
        <v>229</v>
      </c>
      <c r="R179" s="69" t="s">
        <v>229</v>
      </c>
      <c r="S179" s="69" t="s">
        <v>229</v>
      </c>
      <c r="T179" s="70" t="s">
        <v>229</v>
      </c>
      <c r="U179" s="71" t="s">
        <v>229</v>
      </c>
      <c r="V179" s="72" t="s">
        <v>229</v>
      </c>
      <c r="W179" s="73" t="s">
        <v>229</v>
      </c>
      <c r="X179" s="72" t="s">
        <v>229</v>
      </c>
      <c r="Y179" s="70" t="s">
        <v>229</v>
      </c>
      <c r="Z179" s="73" t="s">
        <v>229</v>
      </c>
    </row>
    <row r="180" ht="15.75" customHeight="1">
      <c r="A180" s="68"/>
      <c r="B180" s="74"/>
      <c r="C180" s="74"/>
      <c r="D180" s="68"/>
      <c r="E180" s="77"/>
      <c r="F180" s="68"/>
      <c r="G180" s="75"/>
      <c r="H180" s="75"/>
      <c r="I180" s="76"/>
      <c r="J180" s="76"/>
      <c r="K180" s="67"/>
      <c r="L180" s="68"/>
      <c r="M180" s="68"/>
      <c r="N180" s="69" t="s">
        <v>229</v>
      </c>
      <c r="O180" s="69" t="s">
        <v>229</v>
      </c>
      <c r="P180" s="69" t="s">
        <v>229</v>
      </c>
      <c r="Q180" s="69" t="s">
        <v>229</v>
      </c>
      <c r="R180" s="69" t="s">
        <v>229</v>
      </c>
      <c r="S180" s="69" t="s">
        <v>229</v>
      </c>
      <c r="T180" s="70" t="s">
        <v>229</v>
      </c>
      <c r="U180" s="71" t="s">
        <v>229</v>
      </c>
      <c r="V180" s="72" t="s">
        <v>229</v>
      </c>
      <c r="W180" s="73" t="s">
        <v>229</v>
      </c>
      <c r="X180" s="72" t="s">
        <v>229</v>
      </c>
      <c r="Y180" s="70" t="s">
        <v>229</v>
      </c>
      <c r="Z180" s="73" t="s">
        <v>229</v>
      </c>
    </row>
    <row r="181" ht="15.75" customHeight="1">
      <c r="A181" s="68"/>
      <c r="B181" s="74"/>
      <c r="C181" s="74"/>
      <c r="D181" s="68"/>
      <c r="E181" s="77"/>
      <c r="F181" s="68"/>
      <c r="G181" s="75"/>
      <c r="H181" s="75"/>
      <c r="I181" s="76"/>
      <c r="J181" s="76"/>
      <c r="K181" s="67"/>
      <c r="L181" s="68"/>
      <c r="M181" s="68"/>
      <c r="N181" s="69" t="s">
        <v>229</v>
      </c>
      <c r="O181" s="69" t="s">
        <v>229</v>
      </c>
      <c r="P181" s="69" t="s">
        <v>229</v>
      </c>
      <c r="Q181" s="69" t="s">
        <v>229</v>
      </c>
      <c r="R181" s="69" t="s">
        <v>229</v>
      </c>
      <c r="S181" s="69" t="s">
        <v>229</v>
      </c>
      <c r="T181" s="70" t="s">
        <v>229</v>
      </c>
      <c r="U181" s="71" t="s">
        <v>229</v>
      </c>
      <c r="V181" s="72" t="s">
        <v>229</v>
      </c>
      <c r="W181" s="73" t="s">
        <v>229</v>
      </c>
      <c r="X181" s="72" t="s">
        <v>229</v>
      </c>
      <c r="Y181" s="70" t="s">
        <v>229</v>
      </c>
      <c r="Z181" s="73" t="s">
        <v>229</v>
      </c>
    </row>
    <row r="182" ht="15.75" customHeight="1">
      <c r="A182" s="68"/>
      <c r="B182" s="74"/>
      <c r="C182" s="74"/>
      <c r="D182" s="68"/>
      <c r="E182" s="77"/>
      <c r="F182" s="68"/>
      <c r="G182" s="75"/>
      <c r="H182" s="75"/>
      <c r="I182" s="76"/>
      <c r="J182" s="76"/>
      <c r="K182" s="67"/>
      <c r="L182" s="68"/>
      <c r="M182" s="68"/>
      <c r="N182" s="69" t="s">
        <v>229</v>
      </c>
      <c r="O182" s="69" t="s">
        <v>229</v>
      </c>
      <c r="P182" s="69" t="s">
        <v>229</v>
      </c>
      <c r="Q182" s="69" t="s">
        <v>229</v>
      </c>
      <c r="R182" s="69" t="s">
        <v>229</v>
      </c>
      <c r="S182" s="69" t="s">
        <v>229</v>
      </c>
      <c r="T182" s="70" t="s">
        <v>229</v>
      </c>
      <c r="U182" s="71" t="s">
        <v>229</v>
      </c>
      <c r="V182" s="72" t="s">
        <v>229</v>
      </c>
      <c r="W182" s="73" t="s">
        <v>229</v>
      </c>
      <c r="X182" s="72" t="s">
        <v>229</v>
      </c>
      <c r="Y182" s="70" t="s">
        <v>229</v>
      </c>
      <c r="Z182" s="73" t="s">
        <v>229</v>
      </c>
    </row>
    <row r="183" ht="15.75" customHeight="1">
      <c r="A183" s="68"/>
      <c r="B183" s="74"/>
      <c r="C183" s="74"/>
      <c r="D183" s="68"/>
      <c r="E183" s="77"/>
      <c r="F183" s="68"/>
      <c r="G183" s="75"/>
      <c r="H183" s="75"/>
      <c r="I183" s="76"/>
      <c r="J183" s="76"/>
      <c r="K183" s="67"/>
      <c r="L183" s="68"/>
      <c r="M183" s="68"/>
      <c r="N183" s="69" t="s">
        <v>229</v>
      </c>
      <c r="O183" s="69" t="s">
        <v>229</v>
      </c>
      <c r="P183" s="69" t="s">
        <v>229</v>
      </c>
      <c r="Q183" s="69" t="s">
        <v>229</v>
      </c>
      <c r="R183" s="69" t="s">
        <v>229</v>
      </c>
      <c r="S183" s="69" t="s">
        <v>229</v>
      </c>
      <c r="T183" s="70" t="s">
        <v>229</v>
      </c>
      <c r="U183" s="71" t="s">
        <v>229</v>
      </c>
      <c r="V183" s="72" t="s">
        <v>229</v>
      </c>
      <c r="W183" s="73" t="s">
        <v>229</v>
      </c>
      <c r="X183" s="72" t="s">
        <v>229</v>
      </c>
      <c r="Y183" s="70" t="s">
        <v>229</v>
      </c>
      <c r="Z183" s="73" t="s">
        <v>229</v>
      </c>
    </row>
    <row r="184" ht="15.75" customHeight="1">
      <c r="A184" s="68"/>
      <c r="B184" s="74"/>
      <c r="C184" s="74"/>
      <c r="D184" s="68"/>
      <c r="E184" s="77"/>
      <c r="F184" s="68"/>
      <c r="G184" s="75"/>
      <c r="H184" s="75"/>
      <c r="I184" s="76"/>
      <c r="J184" s="76"/>
      <c r="K184" s="78"/>
      <c r="L184" s="68"/>
      <c r="M184" s="68"/>
      <c r="N184" s="69" t="s">
        <v>229</v>
      </c>
      <c r="O184" s="69" t="s">
        <v>229</v>
      </c>
      <c r="P184" s="69" t="s">
        <v>229</v>
      </c>
      <c r="Q184" s="69" t="s">
        <v>229</v>
      </c>
      <c r="R184" s="69" t="s">
        <v>229</v>
      </c>
      <c r="S184" s="69" t="s">
        <v>229</v>
      </c>
      <c r="T184" s="70" t="s">
        <v>229</v>
      </c>
      <c r="U184" s="71" t="s">
        <v>229</v>
      </c>
      <c r="V184" s="72" t="s">
        <v>229</v>
      </c>
      <c r="W184" s="73" t="s">
        <v>229</v>
      </c>
      <c r="X184" s="72" t="s">
        <v>229</v>
      </c>
      <c r="Y184" s="70" t="s">
        <v>229</v>
      </c>
      <c r="Z184" s="73" t="s">
        <v>229</v>
      </c>
    </row>
    <row r="185" ht="15.75" customHeight="1">
      <c r="A185" s="68"/>
      <c r="B185" s="74"/>
      <c r="C185" s="74"/>
      <c r="D185" s="68"/>
      <c r="E185" s="77"/>
      <c r="F185" s="68"/>
      <c r="G185" s="75"/>
      <c r="H185" s="75"/>
      <c r="I185" s="76"/>
      <c r="J185" s="76"/>
      <c r="K185" s="78"/>
      <c r="L185" s="68"/>
      <c r="M185" s="68"/>
      <c r="N185" s="69" t="s">
        <v>229</v>
      </c>
      <c r="O185" s="69" t="s">
        <v>229</v>
      </c>
      <c r="P185" s="69" t="s">
        <v>229</v>
      </c>
      <c r="Q185" s="69" t="s">
        <v>229</v>
      </c>
      <c r="R185" s="69" t="s">
        <v>229</v>
      </c>
      <c r="S185" s="69" t="s">
        <v>229</v>
      </c>
      <c r="T185" s="70" t="s">
        <v>229</v>
      </c>
      <c r="U185" s="71" t="s">
        <v>229</v>
      </c>
      <c r="V185" s="72" t="s">
        <v>229</v>
      </c>
      <c r="W185" s="73" t="s">
        <v>229</v>
      </c>
      <c r="X185" s="72" t="s">
        <v>229</v>
      </c>
      <c r="Y185" s="70" t="s">
        <v>229</v>
      </c>
      <c r="Z185" s="73" t="s">
        <v>229</v>
      </c>
    </row>
    <row r="186" ht="15.75" customHeight="1">
      <c r="A186" s="68"/>
      <c r="B186" s="74"/>
      <c r="C186" s="74"/>
      <c r="D186" s="68"/>
      <c r="E186" s="77"/>
      <c r="F186" s="68"/>
      <c r="G186" s="75"/>
      <c r="H186" s="75"/>
      <c r="I186" s="76"/>
      <c r="J186" s="76"/>
      <c r="K186" s="78"/>
      <c r="L186" s="68"/>
      <c r="M186" s="68"/>
      <c r="N186" s="69" t="s">
        <v>229</v>
      </c>
      <c r="O186" s="69" t="s">
        <v>229</v>
      </c>
      <c r="P186" s="69" t="s">
        <v>229</v>
      </c>
      <c r="Q186" s="69" t="s">
        <v>229</v>
      </c>
      <c r="R186" s="69" t="s">
        <v>229</v>
      </c>
      <c r="S186" s="69" t="s">
        <v>229</v>
      </c>
      <c r="T186" s="70" t="s">
        <v>229</v>
      </c>
      <c r="U186" s="71" t="s">
        <v>229</v>
      </c>
      <c r="V186" s="72" t="s">
        <v>229</v>
      </c>
      <c r="W186" s="73" t="s">
        <v>229</v>
      </c>
      <c r="X186" s="72" t="s">
        <v>229</v>
      </c>
      <c r="Y186" s="70" t="s">
        <v>229</v>
      </c>
      <c r="Z186" s="73" t="s">
        <v>229</v>
      </c>
    </row>
    <row r="187" ht="15.75" customHeight="1">
      <c r="A187" s="68"/>
      <c r="B187" s="74"/>
      <c r="C187" s="74"/>
      <c r="D187" s="68"/>
      <c r="E187" s="77"/>
      <c r="F187" s="68"/>
      <c r="G187" s="75"/>
      <c r="H187" s="75"/>
      <c r="I187" s="76"/>
      <c r="J187" s="76"/>
      <c r="K187" s="67"/>
      <c r="L187" s="68"/>
      <c r="M187" s="68"/>
      <c r="N187" s="69" t="s">
        <v>229</v>
      </c>
      <c r="O187" s="69" t="s">
        <v>229</v>
      </c>
      <c r="P187" s="69" t="s">
        <v>229</v>
      </c>
      <c r="Q187" s="69" t="s">
        <v>229</v>
      </c>
      <c r="R187" s="69" t="s">
        <v>229</v>
      </c>
      <c r="S187" s="69" t="s">
        <v>229</v>
      </c>
      <c r="T187" s="70" t="s">
        <v>229</v>
      </c>
      <c r="U187" s="71" t="s">
        <v>229</v>
      </c>
      <c r="V187" s="72" t="s">
        <v>229</v>
      </c>
      <c r="W187" s="73" t="s">
        <v>229</v>
      </c>
      <c r="X187" s="72" t="s">
        <v>229</v>
      </c>
      <c r="Y187" s="70" t="s">
        <v>229</v>
      </c>
      <c r="Z187" s="73" t="s">
        <v>229</v>
      </c>
    </row>
    <row r="188" ht="15.75" customHeight="1">
      <c r="A188" s="68"/>
      <c r="B188" s="74"/>
      <c r="C188" s="74"/>
      <c r="D188" s="68"/>
      <c r="E188" s="77"/>
      <c r="F188" s="68"/>
      <c r="G188" s="75"/>
      <c r="H188" s="75"/>
      <c r="I188" s="76"/>
      <c r="J188" s="76"/>
      <c r="K188" s="67"/>
      <c r="L188" s="68"/>
      <c r="M188" s="68"/>
      <c r="N188" s="69" t="s">
        <v>229</v>
      </c>
      <c r="O188" s="69" t="s">
        <v>229</v>
      </c>
      <c r="P188" s="69" t="s">
        <v>229</v>
      </c>
      <c r="Q188" s="69" t="s">
        <v>229</v>
      </c>
      <c r="R188" s="69" t="s">
        <v>229</v>
      </c>
      <c r="S188" s="69" t="s">
        <v>229</v>
      </c>
      <c r="T188" s="70" t="s">
        <v>229</v>
      </c>
      <c r="U188" s="71" t="s">
        <v>229</v>
      </c>
      <c r="V188" s="72" t="s">
        <v>229</v>
      </c>
      <c r="W188" s="73" t="s">
        <v>229</v>
      </c>
      <c r="X188" s="72" t="s">
        <v>229</v>
      </c>
      <c r="Y188" s="70" t="s">
        <v>229</v>
      </c>
      <c r="Z188" s="73" t="s">
        <v>229</v>
      </c>
    </row>
    <row r="189" ht="15.75" customHeight="1">
      <c r="A189" s="68"/>
      <c r="B189" s="74"/>
      <c r="C189" s="74"/>
      <c r="D189" s="68"/>
      <c r="E189" s="77"/>
      <c r="F189" s="68"/>
      <c r="G189" s="75"/>
      <c r="H189" s="75"/>
      <c r="I189" s="76"/>
      <c r="J189" s="76"/>
      <c r="K189" s="67"/>
      <c r="L189" s="68"/>
      <c r="M189" s="68"/>
      <c r="N189" s="69" t="s">
        <v>229</v>
      </c>
      <c r="O189" s="69" t="s">
        <v>229</v>
      </c>
      <c r="P189" s="69" t="s">
        <v>229</v>
      </c>
      <c r="Q189" s="69" t="s">
        <v>229</v>
      </c>
      <c r="R189" s="69" t="s">
        <v>229</v>
      </c>
      <c r="S189" s="69" t="s">
        <v>229</v>
      </c>
      <c r="T189" s="70" t="s">
        <v>229</v>
      </c>
      <c r="U189" s="71" t="s">
        <v>229</v>
      </c>
      <c r="V189" s="72" t="s">
        <v>229</v>
      </c>
      <c r="W189" s="73" t="s">
        <v>229</v>
      </c>
      <c r="X189" s="72" t="s">
        <v>229</v>
      </c>
      <c r="Y189" s="70" t="s">
        <v>229</v>
      </c>
      <c r="Z189" s="73" t="s">
        <v>229</v>
      </c>
    </row>
    <row r="190" ht="15.75" customHeight="1">
      <c r="A190" s="68"/>
      <c r="B190" s="74"/>
      <c r="C190" s="74"/>
      <c r="D190" s="68"/>
      <c r="E190" s="77"/>
      <c r="F190" s="68"/>
      <c r="G190" s="75"/>
      <c r="H190" s="75"/>
      <c r="I190" s="76"/>
      <c r="J190" s="76"/>
      <c r="K190" s="67"/>
      <c r="L190" s="68"/>
      <c r="M190" s="68"/>
      <c r="N190" s="69" t="s">
        <v>229</v>
      </c>
      <c r="O190" s="69" t="s">
        <v>229</v>
      </c>
      <c r="P190" s="69" t="s">
        <v>229</v>
      </c>
      <c r="Q190" s="69" t="s">
        <v>229</v>
      </c>
      <c r="R190" s="69" t="s">
        <v>229</v>
      </c>
      <c r="S190" s="69" t="s">
        <v>229</v>
      </c>
      <c r="T190" s="70" t="s">
        <v>229</v>
      </c>
      <c r="U190" s="71" t="s">
        <v>229</v>
      </c>
      <c r="V190" s="72" t="s">
        <v>229</v>
      </c>
      <c r="W190" s="73" t="s">
        <v>229</v>
      </c>
      <c r="X190" s="72" t="s">
        <v>229</v>
      </c>
      <c r="Y190" s="70" t="s">
        <v>229</v>
      </c>
      <c r="Z190" s="73" t="s">
        <v>229</v>
      </c>
    </row>
    <row r="191" ht="15.75" customHeight="1">
      <c r="A191" s="68"/>
      <c r="B191" s="74"/>
      <c r="C191" s="74"/>
      <c r="D191" s="68"/>
      <c r="E191" s="77"/>
      <c r="F191" s="68"/>
      <c r="G191" s="75"/>
      <c r="H191" s="75"/>
      <c r="I191" s="76"/>
      <c r="J191" s="76"/>
      <c r="K191" s="67"/>
      <c r="L191" s="68"/>
      <c r="M191" s="68"/>
      <c r="N191" s="69" t="s">
        <v>229</v>
      </c>
      <c r="O191" s="69" t="s">
        <v>229</v>
      </c>
      <c r="P191" s="69" t="s">
        <v>229</v>
      </c>
      <c r="Q191" s="69" t="s">
        <v>229</v>
      </c>
      <c r="R191" s="69" t="s">
        <v>229</v>
      </c>
      <c r="S191" s="69" t="s">
        <v>229</v>
      </c>
      <c r="T191" s="70" t="s">
        <v>229</v>
      </c>
      <c r="U191" s="71" t="s">
        <v>229</v>
      </c>
      <c r="V191" s="72" t="s">
        <v>229</v>
      </c>
      <c r="W191" s="73" t="s">
        <v>229</v>
      </c>
      <c r="X191" s="72" t="s">
        <v>229</v>
      </c>
      <c r="Y191" s="70" t="s">
        <v>229</v>
      </c>
      <c r="Z191" s="73" t="s">
        <v>229</v>
      </c>
    </row>
    <row r="192" ht="15.75" customHeight="1">
      <c r="A192" s="68"/>
      <c r="B192" s="74"/>
      <c r="C192" s="74"/>
      <c r="D192" s="68"/>
      <c r="E192" s="68"/>
      <c r="F192" s="68"/>
      <c r="G192" s="75"/>
      <c r="H192" s="75"/>
      <c r="I192" s="76"/>
      <c r="J192" s="76"/>
      <c r="K192" s="67"/>
      <c r="L192" s="68"/>
      <c r="M192" s="68"/>
      <c r="N192" s="69" t="s">
        <v>229</v>
      </c>
      <c r="O192" s="69" t="s">
        <v>229</v>
      </c>
      <c r="P192" s="69" t="s">
        <v>229</v>
      </c>
      <c r="Q192" s="69" t="s">
        <v>229</v>
      </c>
      <c r="R192" s="69" t="s">
        <v>229</v>
      </c>
      <c r="S192" s="69" t="s">
        <v>229</v>
      </c>
      <c r="T192" s="70" t="s">
        <v>229</v>
      </c>
      <c r="U192" s="71" t="s">
        <v>229</v>
      </c>
      <c r="V192" s="72" t="s">
        <v>229</v>
      </c>
      <c r="W192" s="73" t="s">
        <v>229</v>
      </c>
      <c r="X192" s="72" t="s">
        <v>229</v>
      </c>
      <c r="Y192" s="70" t="s">
        <v>229</v>
      </c>
      <c r="Z192" s="73" t="s">
        <v>229</v>
      </c>
    </row>
    <row r="193" ht="15.75" customHeight="1">
      <c r="A193" s="68"/>
      <c r="B193" s="74"/>
      <c r="C193" s="74"/>
      <c r="D193" s="68"/>
      <c r="E193" s="68"/>
      <c r="F193" s="68"/>
      <c r="G193" s="75"/>
      <c r="H193" s="75"/>
      <c r="I193" s="76"/>
      <c r="J193" s="76"/>
      <c r="K193" s="67"/>
      <c r="L193" s="68"/>
      <c r="M193" s="68"/>
      <c r="N193" s="69" t="s">
        <v>229</v>
      </c>
      <c r="O193" s="69" t="s">
        <v>229</v>
      </c>
      <c r="P193" s="69" t="s">
        <v>229</v>
      </c>
      <c r="Q193" s="69" t="s">
        <v>229</v>
      </c>
      <c r="R193" s="69" t="s">
        <v>229</v>
      </c>
      <c r="S193" s="69" t="s">
        <v>229</v>
      </c>
      <c r="T193" s="70" t="s">
        <v>229</v>
      </c>
      <c r="U193" s="71" t="s">
        <v>229</v>
      </c>
      <c r="V193" s="72" t="s">
        <v>229</v>
      </c>
      <c r="W193" s="73" t="s">
        <v>229</v>
      </c>
      <c r="X193" s="72" t="s">
        <v>229</v>
      </c>
      <c r="Y193" s="70" t="s">
        <v>229</v>
      </c>
      <c r="Z193" s="73" t="s">
        <v>229</v>
      </c>
    </row>
    <row r="194" ht="15.75" customHeight="1">
      <c r="A194" s="68"/>
      <c r="B194" s="74"/>
      <c r="C194" s="74"/>
      <c r="D194" s="68"/>
      <c r="E194" s="68"/>
      <c r="F194" s="68"/>
      <c r="G194" s="75"/>
      <c r="H194" s="75"/>
      <c r="I194" s="76"/>
      <c r="J194" s="76"/>
      <c r="K194" s="67"/>
      <c r="L194" s="68"/>
      <c r="M194" s="68"/>
      <c r="N194" s="69" t="s">
        <v>229</v>
      </c>
      <c r="O194" s="69" t="s">
        <v>229</v>
      </c>
      <c r="P194" s="69" t="s">
        <v>229</v>
      </c>
      <c r="Q194" s="69" t="s">
        <v>229</v>
      </c>
      <c r="R194" s="69" t="s">
        <v>229</v>
      </c>
      <c r="S194" s="69" t="s">
        <v>229</v>
      </c>
      <c r="T194" s="70" t="s">
        <v>229</v>
      </c>
      <c r="U194" s="71" t="s">
        <v>229</v>
      </c>
      <c r="V194" s="72" t="s">
        <v>229</v>
      </c>
      <c r="W194" s="73" t="s">
        <v>229</v>
      </c>
      <c r="X194" s="72" t="s">
        <v>229</v>
      </c>
      <c r="Y194" s="70" t="s">
        <v>229</v>
      </c>
      <c r="Z194" s="73" t="s">
        <v>229</v>
      </c>
    </row>
    <row r="195" ht="15.75" customHeight="1">
      <c r="A195" s="68"/>
      <c r="B195" s="74"/>
      <c r="C195" s="74"/>
      <c r="D195" s="68"/>
      <c r="E195" s="68"/>
      <c r="F195" s="68"/>
      <c r="G195" s="75"/>
      <c r="H195" s="75"/>
      <c r="I195" s="76"/>
      <c r="J195" s="76"/>
      <c r="K195" s="67"/>
      <c r="L195" s="68"/>
      <c r="M195" s="68"/>
      <c r="N195" s="69" t="s">
        <v>229</v>
      </c>
      <c r="O195" s="69" t="s">
        <v>229</v>
      </c>
      <c r="P195" s="69" t="s">
        <v>229</v>
      </c>
      <c r="Q195" s="69" t="s">
        <v>229</v>
      </c>
      <c r="R195" s="69" t="s">
        <v>229</v>
      </c>
      <c r="S195" s="69" t="s">
        <v>229</v>
      </c>
      <c r="T195" s="70" t="s">
        <v>229</v>
      </c>
      <c r="U195" s="71" t="s">
        <v>229</v>
      </c>
      <c r="V195" s="72" t="s">
        <v>229</v>
      </c>
      <c r="W195" s="73" t="s">
        <v>229</v>
      </c>
      <c r="X195" s="72" t="s">
        <v>229</v>
      </c>
      <c r="Y195" s="70" t="s">
        <v>229</v>
      </c>
      <c r="Z195" s="73" t="s">
        <v>229</v>
      </c>
    </row>
    <row r="196" ht="15.75" customHeight="1">
      <c r="A196" s="68"/>
      <c r="B196" s="74"/>
      <c r="C196" s="74"/>
      <c r="D196" s="68"/>
      <c r="E196" s="68"/>
      <c r="F196" s="68"/>
      <c r="G196" s="75"/>
      <c r="H196" s="75"/>
      <c r="I196" s="76"/>
      <c r="J196" s="76"/>
      <c r="K196" s="67"/>
      <c r="L196" s="68"/>
      <c r="M196" s="68"/>
      <c r="N196" s="69" t="s">
        <v>229</v>
      </c>
      <c r="O196" s="69" t="s">
        <v>229</v>
      </c>
      <c r="P196" s="69" t="s">
        <v>229</v>
      </c>
      <c r="Q196" s="69" t="s">
        <v>229</v>
      </c>
      <c r="R196" s="69" t="s">
        <v>229</v>
      </c>
      <c r="S196" s="69" t="s">
        <v>229</v>
      </c>
      <c r="T196" s="70" t="s">
        <v>229</v>
      </c>
      <c r="U196" s="71" t="s">
        <v>229</v>
      </c>
      <c r="V196" s="72" t="s">
        <v>229</v>
      </c>
      <c r="W196" s="73" t="s">
        <v>229</v>
      </c>
      <c r="X196" s="72" t="s">
        <v>229</v>
      </c>
      <c r="Y196" s="70" t="s">
        <v>229</v>
      </c>
      <c r="Z196" s="73" t="s">
        <v>229</v>
      </c>
    </row>
    <row r="197" ht="15.75" customHeight="1">
      <c r="A197" s="68"/>
      <c r="B197" s="74"/>
      <c r="C197" s="74"/>
      <c r="D197" s="68"/>
      <c r="E197" s="68"/>
      <c r="F197" s="68"/>
      <c r="G197" s="75"/>
      <c r="H197" s="75"/>
      <c r="I197" s="76"/>
      <c r="J197" s="76"/>
      <c r="K197" s="67"/>
      <c r="L197" s="68"/>
      <c r="M197" s="68"/>
      <c r="N197" s="69" t="s">
        <v>229</v>
      </c>
      <c r="O197" s="69" t="s">
        <v>229</v>
      </c>
      <c r="P197" s="69" t="s">
        <v>229</v>
      </c>
      <c r="Q197" s="69" t="s">
        <v>229</v>
      </c>
      <c r="R197" s="69" t="s">
        <v>229</v>
      </c>
      <c r="S197" s="69" t="s">
        <v>229</v>
      </c>
      <c r="T197" s="70" t="s">
        <v>229</v>
      </c>
      <c r="U197" s="71" t="s">
        <v>229</v>
      </c>
      <c r="V197" s="72" t="s">
        <v>229</v>
      </c>
      <c r="W197" s="73" t="s">
        <v>229</v>
      </c>
      <c r="X197" s="72" t="s">
        <v>229</v>
      </c>
      <c r="Y197" s="70" t="s">
        <v>229</v>
      </c>
      <c r="Z197" s="73" t="s">
        <v>229</v>
      </c>
    </row>
    <row r="198" ht="15.75" customHeight="1">
      <c r="A198" s="68"/>
      <c r="B198" s="74"/>
      <c r="C198" s="74"/>
      <c r="D198" s="68"/>
      <c r="E198" s="68"/>
      <c r="F198" s="68"/>
      <c r="G198" s="75"/>
      <c r="H198" s="75"/>
      <c r="I198" s="76"/>
      <c r="J198" s="76"/>
      <c r="K198" s="78"/>
      <c r="L198" s="68"/>
      <c r="M198" s="68"/>
      <c r="N198" s="69" t="s">
        <v>229</v>
      </c>
      <c r="O198" s="69" t="s">
        <v>229</v>
      </c>
      <c r="P198" s="69" t="s">
        <v>229</v>
      </c>
      <c r="Q198" s="69" t="s">
        <v>229</v>
      </c>
      <c r="R198" s="69" t="s">
        <v>229</v>
      </c>
      <c r="S198" s="69" t="s">
        <v>229</v>
      </c>
      <c r="T198" s="70" t="s">
        <v>229</v>
      </c>
      <c r="U198" s="71" t="s">
        <v>229</v>
      </c>
      <c r="V198" s="72" t="s">
        <v>229</v>
      </c>
      <c r="W198" s="73" t="s">
        <v>229</v>
      </c>
      <c r="X198" s="72" t="s">
        <v>229</v>
      </c>
      <c r="Y198" s="70" t="s">
        <v>229</v>
      </c>
      <c r="Z198" s="73" t="s">
        <v>229</v>
      </c>
    </row>
    <row r="199" ht="15.75" customHeight="1">
      <c r="A199" s="68"/>
      <c r="B199" s="74"/>
      <c r="C199" s="74"/>
      <c r="D199" s="68"/>
      <c r="E199" s="68"/>
      <c r="F199" s="68"/>
      <c r="G199" s="75"/>
      <c r="H199" s="75"/>
      <c r="I199" s="76"/>
      <c r="J199" s="76"/>
      <c r="K199" s="78"/>
      <c r="L199" s="68"/>
      <c r="M199" s="68"/>
      <c r="N199" s="69" t="s">
        <v>229</v>
      </c>
      <c r="O199" s="69" t="s">
        <v>229</v>
      </c>
      <c r="P199" s="69" t="s">
        <v>229</v>
      </c>
      <c r="Q199" s="69" t="s">
        <v>229</v>
      </c>
      <c r="R199" s="69" t="s">
        <v>229</v>
      </c>
      <c r="S199" s="69" t="s">
        <v>229</v>
      </c>
      <c r="T199" s="70" t="s">
        <v>229</v>
      </c>
      <c r="U199" s="71" t="s">
        <v>229</v>
      </c>
      <c r="V199" s="72" t="s">
        <v>229</v>
      </c>
      <c r="W199" s="73" t="s">
        <v>229</v>
      </c>
      <c r="X199" s="72" t="s">
        <v>229</v>
      </c>
      <c r="Y199" s="70" t="s">
        <v>229</v>
      </c>
      <c r="Z199" s="73" t="s">
        <v>229</v>
      </c>
    </row>
    <row r="200" ht="15.75" customHeight="1">
      <c r="A200" s="68"/>
      <c r="B200" s="74"/>
      <c r="C200" s="74"/>
      <c r="D200" s="68"/>
      <c r="E200" s="68"/>
      <c r="F200" s="68"/>
      <c r="G200" s="75"/>
      <c r="H200" s="75"/>
      <c r="I200" s="76"/>
      <c r="J200" s="76"/>
      <c r="K200" s="67"/>
      <c r="L200" s="68"/>
      <c r="M200" s="68"/>
      <c r="N200" s="69" t="s">
        <v>229</v>
      </c>
      <c r="O200" s="69" t="s">
        <v>229</v>
      </c>
      <c r="P200" s="69" t="s">
        <v>229</v>
      </c>
      <c r="Q200" s="69" t="s">
        <v>229</v>
      </c>
      <c r="R200" s="69" t="s">
        <v>229</v>
      </c>
      <c r="S200" s="69" t="s">
        <v>229</v>
      </c>
      <c r="T200" s="70" t="s">
        <v>229</v>
      </c>
      <c r="U200" s="71" t="s">
        <v>229</v>
      </c>
      <c r="V200" s="72" t="s">
        <v>229</v>
      </c>
      <c r="W200" s="73" t="s">
        <v>229</v>
      </c>
      <c r="X200" s="72" t="s">
        <v>229</v>
      </c>
      <c r="Y200" s="70" t="s">
        <v>229</v>
      </c>
      <c r="Z200" s="73" t="s">
        <v>229</v>
      </c>
    </row>
    <row r="201" ht="15.75" customHeight="1">
      <c r="A201" s="79"/>
      <c r="B201" s="80"/>
      <c r="C201" s="80"/>
      <c r="D201" s="79"/>
      <c r="E201" s="79"/>
      <c r="F201" s="79"/>
      <c r="G201" s="81"/>
      <c r="H201" s="81"/>
      <c r="I201" s="82"/>
      <c r="J201" s="82"/>
      <c r="K201" s="83"/>
      <c r="L201" s="79"/>
      <c r="M201" s="79"/>
      <c r="N201" s="69" t="s">
        <v>229</v>
      </c>
      <c r="O201" s="69" t="s">
        <v>229</v>
      </c>
      <c r="P201" s="69" t="s">
        <v>229</v>
      </c>
      <c r="Q201" s="69" t="s">
        <v>229</v>
      </c>
      <c r="R201" s="69" t="s">
        <v>229</v>
      </c>
      <c r="S201" s="69" t="s">
        <v>229</v>
      </c>
      <c r="T201" s="70" t="s">
        <v>229</v>
      </c>
      <c r="U201" s="71" t="s">
        <v>229</v>
      </c>
      <c r="V201" s="72" t="s">
        <v>229</v>
      </c>
      <c r="W201" s="73" t="s">
        <v>229</v>
      </c>
      <c r="X201" s="72" t="s">
        <v>229</v>
      </c>
      <c r="Y201" s="70" t="s">
        <v>229</v>
      </c>
      <c r="Z201" s="73" t="s">
        <v>229</v>
      </c>
    </row>
    <row r="202" ht="15.75" customHeight="1">
      <c r="A202" s="79"/>
      <c r="B202" s="80"/>
      <c r="C202" s="80"/>
      <c r="D202" s="79"/>
      <c r="E202" s="79"/>
      <c r="F202" s="79"/>
      <c r="G202" s="81"/>
      <c r="H202" s="81"/>
      <c r="I202" s="82"/>
      <c r="J202" s="82"/>
      <c r="K202" s="83"/>
      <c r="L202" s="79"/>
      <c r="M202" s="79"/>
      <c r="N202" s="69" t="s">
        <v>229</v>
      </c>
      <c r="O202" s="69" t="s">
        <v>229</v>
      </c>
      <c r="P202" s="69" t="s">
        <v>229</v>
      </c>
      <c r="Q202" s="69" t="s">
        <v>229</v>
      </c>
      <c r="R202" s="69" t="s">
        <v>229</v>
      </c>
      <c r="S202" s="69" t="s">
        <v>229</v>
      </c>
      <c r="T202" s="70" t="s">
        <v>229</v>
      </c>
      <c r="U202" s="71" t="s">
        <v>229</v>
      </c>
      <c r="V202" s="72" t="s">
        <v>229</v>
      </c>
      <c r="W202" s="73" t="s">
        <v>229</v>
      </c>
      <c r="X202" s="72" t="s">
        <v>229</v>
      </c>
      <c r="Y202" s="70" t="s">
        <v>229</v>
      </c>
      <c r="Z202" s="73" t="s">
        <v>229</v>
      </c>
    </row>
    <row r="203" ht="15.75" customHeight="1">
      <c r="A203" s="79"/>
      <c r="B203" s="80"/>
      <c r="C203" s="80"/>
      <c r="D203" s="79"/>
      <c r="E203" s="79"/>
      <c r="F203" s="79"/>
      <c r="G203" s="81"/>
      <c r="H203" s="81"/>
      <c r="I203" s="82"/>
      <c r="J203" s="82"/>
      <c r="K203" s="83"/>
      <c r="L203" s="79"/>
      <c r="M203" s="79"/>
      <c r="N203" s="69" t="s">
        <v>229</v>
      </c>
      <c r="O203" s="69" t="s">
        <v>229</v>
      </c>
      <c r="P203" s="69" t="s">
        <v>229</v>
      </c>
      <c r="Q203" s="69" t="s">
        <v>229</v>
      </c>
      <c r="R203" s="69" t="s">
        <v>229</v>
      </c>
      <c r="S203" s="69" t="s">
        <v>229</v>
      </c>
      <c r="T203" s="70" t="s">
        <v>229</v>
      </c>
      <c r="U203" s="71" t="s">
        <v>229</v>
      </c>
      <c r="V203" s="72" t="s">
        <v>229</v>
      </c>
      <c r="W203" s="73" t="s">
        <v>229</v>
      </c>
      <c r="X203" s="72" t="s">
        <v>229</v>
      </c>
      <c r="Y203" s="70" t="s">
        <v>229</v>
      </c>
      <c r="Z203" s="73" t="s">
        <v>229</v>
      </c>
    </row>
    <row r="204" ht="15.75" customHeight="1">
      <c r="A204" s="79"/>
      <c r="B204" s="80"/>
      <c r="C204" s="80"/>
      <c r="D204" s="79"/>
      <c r="E204" s="79"/>
      <c r="F204" s="79"/>
      <c r="G204" s="81"/>
      <c r="H204" s="81"/>
      <c r="I204" s="82"/>
      <c r="J204" s="82"/>
      <c r="K204" s="84"/>
      <c r="L204" s="79"/>
      <c r="M204" s="79"/>
      <c r="N204" s="69" t="s">
        <v>229</v>
      </c>
      <c r="O204" s="69" t="s">
        <v>229</v>
      </c>
      <c r="P204" s="69" t="s">
        <v>229</v>
      </c>
      <c r="Q204" s="69" t="s">
        <v>229</v>
      </c>
      <c r="R204" s="69" t="s">
        <v>229</v>
      </c>
      <c r="S204" s="69" t="s">
        <v>229</v>
      </c>
      <c r="T204" s="70" t="s">
        <v>229</v>
      </c>
      <c r="U204" s="71" t="s">
        <v>229</v>
      </c>
      <c r="V204" s="72" t="s">
        <v>229</v>
      </c>
      <c r="W204" s="73" t="s">
        <v>229</v>
      </c>
      <c r="X204" s="72" t="s">
        <v>229</v>
      </c>
      <c r="Y204" s="70" t="s">
        <v>229</v>
      </c>
      <c r="Z204" s="73" t="s">
        <v>229</v>
      </c>
    </row>
    <row r="205" ht="15.75" customHeight="1">
      <c r="A205" s="79"/>
      <c r="B205" s="80"/>
      <c r="C205" s="80"/>
      <c r="D205" s="79"/>
      <c r="E205" s="79"/>
      <c r="F205" s="79"/>
      <c r="G205" s="81"/>
      <c r="H205" s="81"/>
      <c r="I205" s="82"/>
      <c r="J205" s="82"/>
      <c r="K205" s="83"/>
      <c r="L205" s="79"/>
      <c r="M205" s="79"/>
      <c r="N205" s="69" t="s">
        <v>229</v>
      </c>
      <c r="O205" s="69" t="s">
        <v>229</v>
      </c>
      <c r="P205" s="69" t="s">
        <v>229</v>
      </c>
      <c r="Q205" s="69" t="s">
        <v>229</v>
      </c>
      <c r="R205" s="69" t="s">
        <v>229</v>
      </c>
      <c r="S205" s="69" t="s">
        <v>229</v>
      </c>
      <c r="T205" s="70" t="s">
        <v>229</v>
      </c>
      <c r="U205" s="71" t="s">
        <v>229</v>
      </c>
      <c r="V205" s="72" t="s">
        <v>229</v>
      </c>
      <c r="W205" s="73" t="s">
        <v>229</v>
      </c>
      <c r="X205" s="72" t="s">
        <v>229</v>
      </c>
      <c r="Y205" s="70" t="s">
        <v>229</v>
      </c>
      <c r="Z205" s="73" t="s">
        <v>229</v>
      </c>
    </row>
    <row r="206" ht="15.75" customHeight="1">
      <c r="A206" s="79"/>
      <c r="B206" s="80"/>
      <c r="C206" s="80"/>
      <c r="D206" s="79"/>
      <c r="E206" s="79"/>
      <c r="F206" s="79"/>
      <c r="G206" s="85"/>
      <c r="H206" s="81"/>
      <c r="I206" s="86"/>
      <c r="J206" s="86"/>
      <c r="K206" s="83"/>
      <c r="L206" s="87"/>
      <c r="M206" s="79"/>
      <c r="N206" s="69" t="s">
        <v>229</v>
      </c>
      <c r="O206" s="69" t="s">
        <v>229</v>
      </c>
      <c r="P206" s="69" t="s">
        <v>229</v>
      </c>
      <c r="Q206" s="69" t="s">
        <v>229</v>
      </c>
      <c r="R206" s="69" t="s">
        <v>229</v>
      </c>
      <c r="S206" s="69" t="s">
        <v>229</v>
      </c>
      <c r="T206" s="70" t="s">
        <v>229</v>
      </c>
      <c r="U206" s="71" t="s">
        <v>229</v>
      </c>
      <c r="V206" s="72" t="s">
        <v>229</v>
      </c>
      <c r="W206" s="73" t="s">
        <v>229</v>
      </c>
      <c r="X206" s="72" t="s">
        <v>229</v>
      </c>
      <c r="Y206" s="70" t="s">
        <v>229</v>
      </c>
      <c r="Z206" s="73" t="s">
        <v>229</v>
      </c>
    </row>
    <row r="207" ht="15.75" customHeight="1">
      <c r="A207" s="79"/>
      <c r="B207" s="80"/>
      <c r="C207" s="80"/>
      <c r="D207" s="79"/>
      <c r="E207" s="79"/>
      <c r="F207" s="79"/>
      <c r="G207" s="85"/>
      <c r="H207" s="81"/>
      <c r="I207" s="86"/>
      <c r="J207" s="86"/>
      <c r="K207" s="83"/>
      <c r="L207" s="87"/>
      <c r="M207" s="79"/>
      <c r="N207" s="69" t="s">
        <v>229</v>
      </c>
      <c r="O207" s="69" t="s">
        <v>229</v>
      </c>
      <c r="P207" s="69" t="s">
        <v>229</v>
      </c>
      <c r="Q207" s="69" t="s">
        <v>229</v>
      </c>
      <c r="R207" s="69" t="s">
        <v>229</v>
      </c>
      <c r="S207" s="69" t="s">
        <v>229</v>
      </c>
      <c r="T207" s="70" t="s">
        <v>229</v>
      </c>
      <c r="U207" s="71" t="s">
        <v>229</v>
      </c>
      <c r="V207" s="72" t="s">
        <v>229</v>
      </c>
      <c r="W207" s="73" t="s">
        <v>229</v>
      </c>
      <c r="X207" s="72" t="s">
        <v>229</v>
      </c>
      <c r="Y207" s="70" t="s">
        <v>229</v>
      </c>
      <c r="Z207" s="73" t="s">
        <v>229</v>
      </c>
    </row>
    <row r="208" ht="15.75" customHeight="1">
      <c r="A208" s="79"/>
      <c r="B208" s="80"/>
      <c r="C208" s="80"/>
      <c r="D208" s="79"/>
      <c r="E208" s="79"/>
      <c r="F208" s="79"/>
      <c r="G208" s="85"/>
      <c r="H208" s="85"/>
      <c r="I208" s="86"/>
      <c r="J208" s="86"/>
      <c r="K208" s="83"/>
      <c r="L208" s="87"/>
      <c r="M208" s="79"/>
      <c r="N208" s="69" t="s">
        <v>229</v>
      </c>
      <c r="O208" s="69" t="s">
        <v>229</v>
      </c>
      <c r="P208" s="69" t="s">
        <v>229</v>
      </c>
      <c r="Q208" s="69" t="s">
        <v>229</v>
      </c>
      <c r="R208" s="69" t="s">
        <v>229</v>
      </c>
      <c r="S208" s="69" t="s">
        <v>229</v>
      </c>
      <c r="T208" s="70" t="s">
        <v>229</v>
      </c>
      <c r="U208" s="71" t="s">
        <v>229</v>
      </c>
      <c r="V208" s="72" t="s">
        <v>229</v>
      </c>
      <c r="W208" s="73" t="s">
        <v>229</v>
      </c>
      <c r="X208" s="72" t="s">
        <v>229</v>
      </c>
      <c r="Y208" s="70" t="s">
        <v>229</v>
      </c>
      <c r="Z208" s="73" t="s">
        <v>229</v>
      </c>
    </row>
    <row r="209" ht="15.75" customHeight="1">
      <c r="A209" s="87"/>
      <c r="B209" s="88"/>
      <c r="C209" s="88"/>
      <c r="D209" s="87"/>
      <c r="E209" s="87"/>
      <c r="F209" s="87"/>
      <c r="G209" s="85"/>
      <c r="H209" s="85"/>
      <c r="I209" s="86"/>
      <c r="J209" s="86"/>
      <c r="K209" s="83"/>
      <c r="L209" s="87"/>
      <c r="M209" s="79"/>
      <c r="N209" s="69" t="s">
        <v>229</v>
      </c>
      <c r="O209" s="69" t="s">
        <v>229</v>
      </c>
      <c r="P209" s="69" t="s">
        <v>229</v>
      </c>
      <c r="Q209" s="69" t="s">
        <v>229</v>
      </c>
      <c r="R209" s="69" t="s">
        <v>229</v>
      </c>
      <c r="S209" s="69" t="s">
        <v>229</v>
      </c>
      <c r="T209" s="70" t="s">
        <v>229</v>
      </c>
      <c r="U209" s="71" t="s">
        <v>229</v>
      </c>
      <c r="V209" s="72" t="s">
        <v>229</v>
      </c>
      <c r="W209" s="73" t="s">
        <v>229</v>
      </c>
      <c r="X209" s="72" t="s">
        <v>229</v>
      </c>
      <c r="Y209" s="70" t="s">
        <v>229</v>
      </c>
      <c r="Z209" s="73" t="s">
        <v>229</v>
      </c>
    </row>
    <row r="210" ht="15.75" customHeight="1">
      <c r="A210" s="87"/>
      <c r="B210" s="88"/>
      <c r="C210" s="88"/>
      <c r="D210" s="87"/>
      <c r="E210" s="87"/>
      <c r="F210" s="87"/>
      <c r="G210" s="85"/>
      <c r="H210" s="85"/>
      <c r="I210" s="86"/>
      <c r="J210" s="86"/>
      <c r="K210" s="83"/>
      <c r="L210" s="87"/>
      <c r="M210" s="79"/>
      <c r="N210" s="69" t="s">
        <v>229</v>
      </c>
      <c r="O210" s="69" t="s">
        <v>229</v>
      </c>
      <c r="P210" s="69" t="s">
        <v>229</v>
      </c>
      <c r="Q210" s="69" t="s">
        <v>229</v>
      </c>
      <c r="R210" s="69" t="s">
        <v>229</v>
      </c>
      <c r="S210" s="69" t="s">
        <v>229</v>
      </c>
      <c r="T210" s="70" t="s">
        <v>229</v>
      </c>
      <c r="U210" s="71" t="s">
        <v>229</v>
      </c>
      <c r="V210" s="72" t="s">
        <v>229</v>
      </c>
      <c r="W210" s="73" t="s">
        <v>229</v>
      </c>
      <c r="X210" s="72" t="s">
        <v>229</v>
      </c>
      <c r="Y210" s="70" t="s">
        <v>229</v>
      </c>
      <c r="Z210" s="73" t="s">
        <v>229</v>
      </c>
    </row>
    <row r="211" ht="15.75" customHeight="1">
      <c r="A211" s="87"/>
      <c r="B211" s="88"/>
      <c r="C211" s="88"/>
      <c r="D211" s="87"/>
      <c r="E211" s="87"/>
      <c r="F211" s="87"/>
      <c r="G211" s="85"/>
      <c r="H211" s="85"/>
      <c r="I211" s="86"/>
      <c r="J211" s="86"/>
      <c r="K211" s="83"/>
      <c r="L211" s="87"/>
      <c r="M211" s="79"/>
      <c r="N211" s="69" t="s">
        <v>229</v>
      </c>
      <c r="O211" s="69" t="s">
        <v>229</v>
      </c>
      <c r="P211" s="69" t="s">
        <v>229</v>
      </c>
      <c r="Q211" s="69" t="s">
        <v>229</v>
      </c>
      <c r="R211" s="69" t="s">
        <v>229</v>
      </c>
      <c r="S211" s="69" t="s">
        <v>229</v>
      </c>
      <c r="T211" s="70" t="s">
        <v>229</v>
      </c>
      <c r="U211" s="71" t="s">
        <v>229</v>
      </c>
      <c r="V211" s="72" t="s">
        <v>229</v>
      </c>
      <c r="W211" s="73" t="s">
        <v>229</v>
      </c>
      <c r="X211" s="72" t="s">
        <v>229</v>
      </c>
      <c r="Y211" s="70" t="s">
        <v>229</v>
      </c>
      <c r="Z211" s="73" t="s">
        <v>229</v>
      </c>
    </row>
    <row r="212" ht="15.75" customHeight="1">
      <c r="A212" s="87"/>
      <c r="B212" s="88"/>
      <c r="C212" s="88"/>
      <c r="D212" s="87"/>
      <c r="E212" s="87"/>
      <c r="F212" s="87"/>
      <c r="G212" s="85"/>
      <c r="H212" s="85"/>
      <c r="I212" s="86"/>
      <c r="J212" s="86"/>
      <c r="K212" s="83"/>
      <c r="L212" s="87"/>
      <c r="M212" s="79"/>
      <c r="N212" s="69" t="s">
        <v>229</v>
      </c>
      <c r="O212" s="69" t="s">
        <v>229</v>
      </c>
      <c r="P212" s="69" t="s">
        <v>229</v>
      </c>
      <c r="Q212" s="69" t="s">
        <v>229</v>
      </c>
      <c r="R212" s="69" t="s">
        <v>229</v>
      </c>
      <c r="S212" s="69" t="s">
        <v>229</v>
      </c>
      <c r="T212" s="70" t="s">
        <v>229</v>
      </c>
      <c r="U212" s="71" t="s">
        <v>229</v>
      </c>
      <c r="V212" s="72" t="s">
        <v>229</v>
      </c>
      <c r="W212" s="73" t="s">
        <v>229</v>
      </c>
      <c r="X212" s="72" t="s">
        <v>229</v>
      </c>
      <c r="Y212" s="70" t="s">
        <v>229</v>
      </c>
      <c r="Z212" s="73" t="s">
        <v>229</v>
      </c>
    </row>
    <row r="213" ht="15.75" customHeight="1">
      <c r="A213" s="87"/>
      <c r="B213" s="88"/>
      <c r="C213" s="88"/>
      <c r="D213" s="87"/>
      <c r="E213" s="87"/>
      <c r="F213" s="87"/>
      <c r="G213" s="85"/>
      <c r="H213" s="85"/>
      <c r="I213" s="86"/>
      <c r="J213" s="86"/>
      <c r="K213" s="83"/>
      <c r="L213" s="87"/>
      <c r="M213" s="79"/>
      <c r="N213" s="69" t="s">
        <v>229</v>
      </c>
      <c r="O213" s="69" t="s">
        <v>229</v>
      </c>
      <c r="P213" s="69" t="s">
        <v>229</v>
      </c>
      <c r="Q213" s="69" t="s">
        <v>229</v>
      </c>
      <c r="R213" s="69" t="s">
        <v>229</v>
      </c>
      <c r="S213" s="69" t="s">
        <v>229</v>
      </c>
      <c r="T213" s="70" t="s">
        <v>229</v>
      </c>
      <c r="U213" s="71" t="s">
        <v>229</v>
      </c>
      <c r="V213" s="72" t="s">
        <v>229</v>
      </c>
      <c r="W213" s="73" t="s">
        <v>229</v>
      </c>
      <c r="X213" s="72" t="s">
        <v>229</v>
      </c>
      <c r="Y213" s="70" t="s">
        <v>229</v>
      </c>
      <c r="Z213" s="73" t="s">
        <v>229</v>
      </c>
    </row>
    <row r="214" ht="15.75" customHeight="1">
      <c r="A214" s="87"/>
      <c r="B214" s="88"/>
      <c r="C214" s="88"/>
      <c r="D214" s="87"/>
      <c r="E214" s="87"/>
      <c r="F214" s="87"/>
      <c r="G214" s="85"/>
      <c r="H214" s="85"/>
      <c r="I214" s="86"/>
      <c r="J214" s="86"/>
      <c r="K214" s="83"/>
      <c r="L214" s="87"/>
      <c r="M214" s="79"/>
      <c r="N214" s="69" t="s">
        <v>229</v>
      </c>
      <c r="O214" s="69" t="s">
        <v>229</v>
      </c>
      <c r="P214" s="69" t="s">
        <v>229</v>
      </c>
      <c r="Q214" s="69" t="s">
        <v>229</v>
      </c>
      <c r="R214" s="69" t="s">
        <v>229</v>
      </c>
      <c r="S214" s="69" t="s">
        <v>229</v>
      </c>
      <c r="T214" s="70" t="s">
        <v>229</v>
      </c>
      <c r="U214" s="71" t="s">
        <v>229</v>
      </c>
      <c r="V214" s="72" t="s">
        <v>229</v>
      </c>
      <c r="W214" s="73" t="s">
        <v>229</v>
      </c>
      <c r="X214" s="72" t="s">
        <v>229</v>
      </c>
      <c r="Y214" s="70" t="s">
        <v>229</v>
      </c>
      <c r="Z214" s="73" t="s">
        <v>229</v>
      </c>
    </row>
    <row r="215" ht="15.75" customHeight="1">
      <c r="A215" s="87"/>
      <c r="B215" s="88"/>
      <c r="C215" s="88"/>
      <c r="D215" s="87"/>
      <c r="E215" s="87"/>
      <c r="F215" s="87"/>
      <c r="G215" s="85"/>
      <c r="H215" s="85"/>
      <c r="I215" s="86"/>
      <c r="J215" s="86"/>
      <c r="K215" s="83"/>
      <c r="L215" s="87"/>
      <c r="M215" s="79"/>
      <c r="N215" s="69" t="s">
        <v>229</v>
      </c>
      <c r="O215" s="69" t="s">
        <v>229</v>
      </c>
      <c r="P215" s="69" t="s">
        <v>229</v>
      </c>
      <c r="Q215" s="69" t="s">
        <v>229</v>
      </c>
      <c r="R215" s="69" t="s">
        <v>229</v>
      </c>
      <c r="S215" s="69" t="s">
        <v>229</v>
      </c>
      <c r="T215" s="70" t="s">
        <v>229</v>
      </c>
      <c r="U215" s="71" t="s">
        <v>229</v>
      </c>
      <c r="V215" s="72" t="s">
        <v>229</v>
      </c>
      <c r="W215" s="73" t="s">
        <v>229</v>
      </c>
      <c r="X215" s="72" t="s">
        <v>229</v>
      </c>
      <c r="Y215" s="70" t="s">
        <v>229</v>
      </c>
      <c r="Z215" s="73" t="s">
        <v>229</v>
      </c>
    </row>
    <row r="216" ht="15.75" customHeight="1">
      <c r="A216" s="87"/>
      <c r="B216" s="88"/>
      <c r="C216" s="88"/>
      <c r="D216" s="87"/>
      <c r="E216" s="87"/>
      <c r="F216" s="87"/>
      <c r="G216" s="85"/>
      <c r="H216" s="85"/>
      <c r="I216" s="86"/>
      <c r="J216" s="86"/>
      <c r="K216" s="83"/>
      <c r="L216" s="87"/>
      <c r="M216" s="79"/>
      <c r="N216" s="69" t="s">
        <v>229</v>
      </c>
      <c r="O216" s="69" t="s">
        <v>229</v>
      </c>
      <c r="P216" s="69" t="s">
        <v>229</v>
      </c>
      <c r="Q216" s="69" t="s">
        <v>229</v>
      </c>
      <c r="R216" s="69" t="s">
        <v>229</v>
      </c>
      <c r="S216" s="69" t="s">
        <v>229</v>
      </c>
      <c r="T216" s="70" t="s">
        <v>229</v>
      </c>
      <c r="U216" s="71" t="s">
        <v>229</v>
      </c>
      <c r="V216" s="72" t="s">
        <v>229</v>
      </c>
      <c r="W216" s="73" t="s">
        <v>229</v>
      </c>
      <c r="X216" s="72" t="s">
        <v>229</v>
      </c>
      <c r="Y216" s="70" t="s">
        <v>229</v>
      </c>
      <c r="Z216" s="73" t="s">
        <v>229</v>
      </c>
    </row>
    <row r="217" ht="15.75" customHeight="1">
      <c r="A217" s="87"/>
      <c r="B217" s="88"/>
      <c r="C217" s="88"/>
      <c r="D217" s="87"/>
      <c r="E217" s="87"/>
      <c r="F217" s="87"/>
      <c r="G217" s="85"/>
      <c r="H217" s="85"/>
      <c r="I217" s="86"/>
      <c r="J217" s="86"/>
      <c r="K217" s="83"/>
      <c r="L217" s="87"/>
      <c r="M217" s="79"/>
      <c r="N217" s="69" t="s">
        <v>229</v>
      </c>
      <c r="O217" s="69" t="s">
        <v>229</v>
      </c>
      <c r="P217" s="69" t="s">
        <v>229</v>
      </c>
      <c r="Q217" s="69" t="s">
        <v>229</v>
      </c>
      <c r="R217" s="69" t="s">
        <v>229</v>
      </c>
      <c r="S217" s="69" t="s">
        <v>229</v>
      </c>
      <c r="T217" s="70" t="s">
        <v>229</v>
      </c>
      <c r="U217" s="71" t="s">
        <v>229</v>
      </c>
      <c r="V217" s="72" t="s">
        <v>229</v>
      </c>
      <c r="W217" s="73" t="s">
        <v>229</v>
      </c>
      <c r="X217" s="72" t="s">
        <v>229</v>
      </c>
      <c r="Y217" s="70" t="s">
        <v>229</v>
      </c>
      <c r="Z217" s="73" t="s">
        <v>229</v>
      </c>
    </row>
    <row r="218" ht="15.75" customHeight="1">
      <c r="A218" s="87"/>
      <c r="B218" s="88"/>
      <c r="C218" s="88"/>
      <c r="D218" s="87"/>
      <c r="E218" s="87"/>
      <c r="F218" s="87"/>
      <c r="G218" s="85"/>
      <c r="H218" s="85"/>
      <c r="I218" s="86"/>
      <c r="J218" s="86"/>
      <c r="K218" s="83"/>
      <c r="L218" s="87"/>
      <c r="M218" s="79"/>
      <c r="N218" s="69" t="s">
        <v>229</v>
      </c>
      <c r="O218" s="69" t="s">
        <v>229</v>
      </c>
      <c r="P218" s="69" t="s">
        <v>229</v>
      </c>
      <c r="Q218" s="69" t="s">
        <v>229</v>
      </c>
      <c r="R218" s="69" t="s">
        <v>229</v>
      </c>
      <c r="S218" s="69" t="s">
        <v>229</v>
      </c>
      <c r="T218" s="70" t="s">
        <v>229</v>
      </c>
      <c r="U218" s="71" t="s">
        <v>229</v>
      </c>
      <c r="V218" s="72" t="s">
        <v>229</v>
      </c>
      <c r="W218" s="73" t="s">
        <v>229</v>
      </c>
      <c r="X218" s="72" t="s">
        <v>229</v>
      </c>
      <c r="Y218" s="70" t="s">
        <v>229</v>
      </c>
      <c r="Z218" s="73" t="s">
        <v>229</v>
      </c>
    </row>
    <row r="219" ht="15.75" customHeight="1">
      <c r="A219" s="87"/>
      <c r="B219" s="88"/>
      <c r="C219" s="88"/>
      <c r="D219" s="87"/>
      <c r="E219" s="87"/>
      <c r="F219" s="87"/>
      <c r="G219" s="85"/>
      <c r="H219" s="85"/>
      <c r="I219" s="86"/>
      <c r="J219" s="86"/>
      <c r="K219" s="83"/>
      <c r="L219" s="87"/>
      <c r="M219" s="79"/>
      <c r="N219" s="69" t="s">
        <v>229</v>
      </c>
      <c r="O219" s="69" t="s">
        <v>229</v>
      </c>
      <c r="P219" s="69" t="s">
        <v>229</v>
      </c>
      <c r="Q219" s="69" t="s">
        <v>229</v>
      </c>
      <c r="R219" s="69" t="s">
        <v>229</v>
      </c>
      <c r="S219" s="69" t="s">
        <v>229</v>
      </c>
      <c r="T219" s="70" t="s">
        <v>229</v>
      </c>
      <c r="U219" s="71" t="s">
        <v>229</v>
      </c>
      <c r="V219" s="72" t="s">
        <v>229</v>
      </c>
      <c r="W219" s="73" t="s">
        <v>229</v>
      </c>
      <c r="X219" s="72" t="s">
        <v>229</v>
      </c>
      <c r="Y219" s="70" t="s">
        <v>229</v>
      </c>
      <c r="Z219" s="73" t="s">
        <v>229</v>
      </c>
    </row>
    <row r="220" ht="15.75" customHeight="1">
      <c r="A220" s="87"/>
      <c r="B220" s="88"/>
      <c r="C220" s="88"/>
      <c r="D220" s="87"/>
      <c r="E220" s="87"/>
      <c r="F220" s="87"/>
      <c r="G220" s="85"/>
      <c r="H220" s="85"/>
      <c r="I220" s="86"/>
      <c r="J220" s="86"/>
      <c r="K220" s="83"/>
      <c r="L220" s="87"/>
      <c r="M220" s="79"/>
      <c r="N220" s="69" t="s">
        <v>229</v>
      </c>
      <c r="O220" s="69" t="s">
        <v>229</v>
      </c>
      <c r="P220" s="69" t="s">
        <v>229</v>
      </c>
      <c r="Q220" s="69" t="s">
        <v>229</v>
      </c>
      <c r="R220" s="69" t="s">
        <v>229</v>
      </c>
      <c r="S220" s="69" t="s">
        <v>229</v>
      </c>
      <c r="T220" s="70" t="s">
        <v>229</v>
      </c>
      <c r="U220" s="71" t="s">
        <v>229</v>
      </c>
      <c r="V220" s="72" t="s">
        <v>229</v>
      </c>
      <c r="W220" s="73" t="s">
        <v>229</v>
      </c>
      <c r="X220" s="72" t="s">
        <v>229</v>
      </c>
      <c r="Y220" s="70" t="s">
        <v>229</v>
      </c>
      <c r="Z220" s="73" t="s">
        <v>229</v>
      </c>
    </row>
    <row r="221" ht="15.75" customHeight="1">
      <c r="A221" s="87"/>
      <c r="B221" s="88"/>
      <c r="C221" s="88"/>
      <c r="D221" s="87"/>
      <c r="E221" s="87"/>
      <c r="F221" s="87"/>
      <c r="G221" s="85"/>
      <c r="H221" s="85"/>
      <c r="I221" s="86"/>
      <c r="J221" s="86"/>
      <c r="K221" s="83"/>
      <c r="L221" s="87"/>
      <c r="M221" s="79"/>
      <c r="N221" s="69" t="s">
        <v>229</v>
      </c>
      <c r="O221" s="69" t="s">
        <v>229</v>
      </c>
      <c r="P221" s="69" t="s">
        <v>229</v>
      </c>
      <c r="Q221" s="69" t="s">
        <v>229</v>
      </c>
      <c r="R221" s="69" t="s">
        <v>229</v>
      </c>
      <c r="S221" s="69" t="s">
        <v>229</v>
      </c>
      <c r="T221" s="70" t="s">
        <v>229</v>
      </c>
      <c r="U221" s="71" t="s">
        <v>229</v>
      </c>
      <c r="V221" s="72" t="s">
        <v>229</v>
      </c>
      <c r="W221" s="73" t="s">
        <v>229</v>
      </c>
      <c r="X221" s="72" t="s">
        <v>229</v>
      </c>
      <c r="Y221" s="70" t="s">
        <v>229</v>
      </c>
      <c r="Z221" s="73" t="s">
        <v>229</v>
      </c>
    </row>
    <row r="222" ht="15.75" customHeight="1">
      <c r="A222" s="87"/>
      <c r="B222" s="88"/>
      <c r="C222" s="88"/>
      <c r="D222" s="87"/>
      <c r="E222" s="87"/>
      <c r="F222" s="87"/>
      <c r="G222" s="85"/>
      <c r="H222" s="85"/>
      <c r="I222" s="86"/>
      <c r="J222" s="86"/>
      <c r="K222" s="83"/>
      <c r="L222" s="87"/>
      <c r="M222" s="79"/>
      <c r="N222" s="69" t="s">
        <v>229</v>
      </c>
      <c r="O222" s="69" t="s">
        <v>229</v>
      </c>
      <c r="P222" s="69" t="s">
        <v>229</v>
      </c>
      <c r="Q222" s="69" t="s">
        <v>229</v>
      </c>
      <c r="R222" s="69" t="s">
        <v>229</v>
      </c>
      <c r="S222" s="69" t="s">
        <v>229</v>
      </c>
      <c r="T222" s="70" t="s">
        <v>229</v>
      </c>
      <c r="U222" s="71" t="s">
        <v>229</v>
      </c>
      <c r="V222" s="72" t="s">
        <v>229</v>
      </c>
      <c r="W222" s="73" t="s">
        <v>229</v>
      </c>
      <c r="X222" s="72" t="s">
        <v>229</v>
      </c>
      <c r="Y222" s="70" t="s">
        <v>229</v>
      </c>
      <c r="Z222" s="73" t="s">
        <v>229</v>
      </c>
    </row>
    <row r="223" ht="15.75" customHeight="1">
      <c r="A223" s="87"/>
      <c r="B223" s="88"/>
      <c r="C223" s="88"/>
      <c r="D223" s="87"/>
      <c r="E223" s="87"/>
      <c r="F223" s="87"/>
      <c r="G223" s="85"/>
      <c r="H223" s="85"/>
      <c r="I223" s="86"/>
      <c r="J223" s="86"/>
      <c r="K223" s="83"/>
      <c r="L223" s="87"/>
      <c r="M223" s="79"/>
      <c r="N223" s="69" t="s">
        <v>229</v>
      </c>
      <c r="O223" s="69" t="s">
        <v>229</v>
      </c>
      <c r="P223" s="69" t="s">
        <v>229</v>
      </c>
      <c r="Q223" s="69" t="s">
        <v>229</v>
      </c>
      <c r="R223" s="69" t="s">
        <v>229</v>
      </c>
      <c r="S223" s="69" t="s">
        <v>229</v>
      </c>
      <c r="T223" s="70" t="s">
        <v>229</v>
      </c>
      <c r="U223" s="71" t="s">
        <v>229</v>
      </c>
      <c r="V223" s="72" t="s">
        <v>229</v>
      </c>
      <c r="W223" s="73" t="s">
        <v>229</v>
      </c>
      <c r="X223" s="72" t="s">
        <v>229</v>
      </c>
      <c r="Y223" s="70" t="s">
        <v>229</v>
      </c>
      <c r="Z223" s="73" t="s">
        <v>229</v>
      </c>
    </row>
    <row r="224" ht="15.75" customHeight="1">
      <c r="A224" s="87"/>
      <c r="B224" s="88"/>
      <c r="C224" s="88"/>
      <c r="D224" s="87"/>
      <c r="E224" s="87"/>
      <c r="F224" s="87"/>
      <c r="G224" s="85"/>
      <c r="H224" s="85"/>
      <c r="I224" s="86"/>
      <c r="J224" s="86"/>
      <c r="K224" s="83"/>
      <c r="L224" s="87"/>
      <c r="M224" s="79"/>
      <c r="N224" s="69" t="s">
        <v>229</v>
      </c>
      <c r="O224" s="69" t="s">
        <v>229</v>
      </c>
      <c r="P224" s="69" t="s">
        <v>229</v>
      </c>
      <c r="Q224" s="69" t="s">
        <v>229</v>
      </c>
      <c r="R224" s="69" t="s">
        <v>229</v>
      </c>
      <c r="S224" s="69" t="s">
        <v>229</v>
      </c>
      <c r="T224" s="70" t="s">
        <v>229</v>
      </c>
      <c r="U224" s="71" t="s">
        <v>229</v>
      </c>
      <c r="V224" s="72" t="s">
        <v>229</v>
      </c>
      <c r="W224" s="73" t="s">
        <v>229</v>
      </c>
      <c r="X224" s="72" t="s">
        <v>229</v>
      </c>
      <c r="Y224" s="70" t="s">
        <v>229</v>
      </c>
      <c r="Z224" s="73" t="s">
        <v>229</v>
      </c>
    </row>
    <row r="225" ht="15.75" customHeight="1">
      <c r="A225" s="87"/>
      <c r="B225" s="88"/>
      <c r="C225" s="88"/>
      <c r="D225" s="87"/>
      <c r="E225" s="87"/>
      <c r="F225" s="87"/>
      <c r="G225" s="85"/>
      <c r="H225" s="85"/>
      <c r="I225" s="86"/>
      <c r="J225" s="86"/>
      <c r="K225" s="83"/>
      <c r="L225" s="87"/>
      <c r="M225" s="79"/>
      <c r="N225" s="69" t="s">
        <v>229</v>
      </c>
      <c r="O225" s="69" t="s">
        <v>229</v>
      </c>
      <c r="P225" s="69" t="s">
        <v>229</v>
      </c>
      <c r="Q225" s="69" t="s">
        <v>229</v>
      </c>
      <c r="R225" s="69" t="s">
        <v>229</v>
      </c>
      <c r="S225" s="69" t="s">
        <v>229</v>
      </c>
      <c r="T225" s="70" t="s">
        <v>229</v>
      </c>
      <c r="U225" s="71" t="s">
        <v>229</v>
      </c>
      <c r="V225" s="72" t="s">
        <v>229</v>
      </c>
      <c r="W225" s="73" t="s">
        <v>229</v>
      </c>
      <c r="X225" s="72" t="s">
        <v>229</v>
      </c>
      <c r="Y225" s="70" t="s">
        <v>229</v>
      </c>
      <c r="Z225" s="73" t="s">
        <v>229</v>
      </c>
    </row>
    <row r="226" ht="15.75" customHeight="1">
      <c r="A226" s="87"/>
      <c r="B226" s="88"/>
      <c r="C226" s="88"/>
      <c r="D226" s="87"/>
      <c r="E226" s="87"/>
      <c r="F226" s="87"/>
      <c r="G226" s="85"/>
      <c r="H226" s="85"/>
      <c r="I226" s="86"/>
      <c r="J226" s="86"/>
      <c r="K226" s="83"/>
      <c r="L226" s="87"/>
      <c r="M226" s="79"/>
      <c r="N226" s="69" t="s">
        <v>229</v>
      </c>
      <c r="O226" s="69" t="s">
        <v>229</v>
      </c>
      <c r="P226" s="69" t="s">
        <v>229</v>
      </c>
      <c r="Q226" s="69" t="s">
        <v>229</v>
      </c>
      <c r="R226" s="69" t="s">
        <v>229</v>
      </c>
      <c r="S226" s="69" t="s">
        <v>229</v>
      </c>
      <c r="T226" s="70" t="s">
        <v>229</v>
      </c>
      <c r="U226" s="71" t="s">
        <v>229</v>
      </c>
      <c r="V226" s="72" t="s">
        <v>229</v>
      </c>
      <c r="W226" s="73" t="s">
        <v>229</v>
      </c>
      <c r="X226" s="72" t="s">
        <v>229</v>
      </c>
      <c r="Y226" s="70" t="s">
        <v>229</v>
      </c>
      <c r="Z226" s="73" t="s">
        <v>229</v>
      </c>
    </row>
    <row r="227" ht="15.75" customHeight="1">
      <c r="A227" s="87"/>
      <c r="B227" s="88"/>
      <c r="C227" s="88"/>
      <c r="D227" s="87"/>
      <c r="E227" s="87"/>
      <c r="F227" s="87"/>
      <c r="G227" s="85"/>
      <c r="H227" s="85"/>
      <c r="I227" s="86"/>
      <c r="J227" s="86"/>
      <c r="K227" s="83"/>
      <c r="L227" s="87"/>
      <c r="M227" s="79"/>
      <c r="N227" s="69" t="s">
        <v>229</v>
      </c>
      <c r="O227" s="69" t="s">
        <v>229</v>
      </c>
      <c r="P227" s="69" t="s">
        <v>229</v>
      </c>
      <c r="Q227" s="69" t="s">
        <v>229</v>
      </c>
      <c r="R227" s="69" t="s">
        <v>229</v>
      </c>
      <c r="S227" s="69" t="s">
        <v>229</v>
      </c>
      <c r="T227" s="70" t="s">
        <v>229</v>
      </c>
      <c r="U227" s="71" t="s">
        <v>229</v>
      </c>
      <c r="V227" s="72" t="s">
        <v>229</v>
      </c>
      <c r="W227" s="73" t="s">
        <v>229</v>
      </c>
      <c r="X227" s="72" t="s">
        <v>229</v>
      </c>
      <c r="Y227" s="70" t="s">
        <v>229</v>
      </c>
      <c r="Z227" s="73" t="s">
        <v>229</v>
      </c>
    </row>
    <row r="228" ht="15.75" customHeight="1">
      <c r="A228" s="87"/>
      <c r="B228" s="88"/>
      <c r="C228" s="88"/>
      <c r="D228" s="87"/>
      <c r="E228" s="87"/>
      <c r="F228" s="87"/>
      <c r="G228" s="85"/>
      <c r="H228" s="85"/>
      <c r="I228" s="86"/>
      <c r="J228" s="86"/>
      <c r="K228" s="83"/>
      <c r="L228" s="87"/>
      <c r="M228" s="79"/>
      <c r="N228" s="69" t="s">
        <v>229</v>
      </c>
      <c r="O228" s="69" t="s">
        <v>229</v>
      </c>
      <c r="P228" s="69" t="s">
        <v>229</v>
      </c>
      <c r="Q228" s="69" t="s">
        <v>229</v>
      </c>
      <c r="R228" s="69" t="s">
        <v>229</v>
      </c>
      <c r="S228" s="69" t="s">
        <v>229</v>
      </c>
      <c r="T228" s="70" t="s">
        <v>229</v>
      </c>
      <c r="U228" s="71" t="s">
        <v>229</v>
      </c>
      <c r="V228" s="72" t="s">
        <v>229</v>
      </c>
      <c r="W228" s="73" t="s">
        <v>229</v>
      </c>
      <c r="X228" s="72" t="s">
        <v>229</v>
      </c>
      <c r="Y228" s="70" t="s">
        <v>229</v>
      </c>
      <c r="Z228" s="73" t="s">
        <v>229</v>
      </c>
    </row>
    <row r="229" ht="15.75" customHeight="1">
      <c r="A229" s="87"/>
      <c r="B229" s="88"/>
      <c r="C229" s="88"/>
      <c r="D229" s="87"/>
      <c r="E229" s="87"/>
      <c r="F229" s="87"/>
      <c r="G229" s="85"/>
      <c r="H229" s="85"/>
      <c r="I229" s="86"/>
      <c r="J229" s="86"/>
      <c r="K229" s="83"/>
      <c r="L229" s="87"/>
      <c r="M229" s="79"/>
      <c r="N229" s="69" t="s">
        <v>229</v>
      </c>
      <c r="O229" s="69" t="s">
        <v>229</v>
      </c>
      <c r="P229" s="69" t="s">
        <v>229</v>
      </c>
      <c r="Q229" s="69" t="s">
        <v>229</v>
      </c>
      <c r="R229" s="69" t="s">
        <v>229</v>
      </c>
      <c r="S229" s="69" t="s">
        <v>229</v>
      </c>
      <c r="T229" s="70" t="s">
        <v>229</v>
      </c>
      <c r="U229" s="71" t="s">
        <v>229</v>
      </c>
      <c r="V229" s="72" t="s">
        <v>229</v>
      </c>
      <c r="W229" s="73" t="s">
        <v>229</v>
      </c>
      <c r="X229" s="72" t="s">
        <v>229</v>
      </c>
      <c r="Y229" s="70" t="s">
        <v>229</v>
      </c>
      <c r="Z229" s="73" t="s">
        <v>229</v>
      </c>
    </row>
    <row r="230" ht="15.75" customHeight="1">
      <c r="A230" s="87"/>
      <c r="B230" s="88"/>
      <c r="C230" s="88"/>
      <c r="D230" s="87"/>
      <c r="E230" s="87"/>
      <c r="F230" s="87"/>
      <c r="G230" s="85"/>
      <c r="H230" s="85"/>
      <c r="I230" s="86"/>
      <c r="J230" s="86"/>
      <c r="K230" s="83"/>
      <c r="L230" s="87"/>
      <c r="M230" s="79"/>
      <c r="N230" s="69" t="s">
        <v>229</v>
      </c>
      <c r="O230" s="69" t="s">
        <v>229</v>
      </c>
      <c r="P230" s="69" t="s">
        <v>229</v>
      </c>
      <c r="Q230" s="69" t="s">
        <v>229</v>
      </c>
      <c r="R230" s="69" t="s">
        <v>229</v>
      </c>
      <c r="S230" s="69" t="s">
        <v>229</v>
      </c>
      <c r="T230" s="70" t="s">
        <v>229</v>
      </c>
      <c r="U230" s="71" t="s">
        <v>229</v>
      </c>
      <c r="V230" s="72" t="s">
        <v>229</v>
      </c>
      <c r="W230" s="73" t="s">
        <v>229</v>
      </c>
      <c r="X230" s="72" t="s">
        <v>229</v>
      </c>
      <c r="Y230" s="70" t="s">
        <v>229</v>
      </c>
      <c r="Z230" s="73" t="s">
        <v>229</v>
      </c>
    </row>
    <row r="231" ht="15.75" customHeight="1">
      <c r="A231" s="87"/>
      <c r="B231" s="88"/>
      <c r="C231" s="88"/>
      <c r="D231" s="87"/>
      <c r="E231" s="87"/>
      <c r="F231" s="87"/>
      <c r="G231" s="85"/>
      <c r="H231" s="85"/>
      <c r="I231" s="86"/>
      <c r="J231" s="86"/>
      <c r="K231" s="83"/>
      <c r="L231" s="87"/>
      <c r="M231" s="79"/>
      <c r="N231" s="69" t="s">
        <v>229</v>
      </c>
      <c r="O231" s="69" t="s">
        <v>229</v>
      </c>
      <c r="P231" s="69" t="s">
        <v>229</v>
      </c>
      <c r="Q231" s="69" t="s">
        <v>229</v>
      </c>
      <c r="R231" s="69" t="s">
        <v>229</v>
      </c>
      <c r="S231" s="69" t="s">
        <v>229</v>
      </c>
      <c r="T231" s="70" t="s">
        <v>229</v>
      </c>
      <c r="U231" s="71" t="s">
        <v>229</v>
      </c>
      <c r="V231" s="72" t="s">
        <v>229</v>
      </c>
      <c r="W231" s="73" t="s">
        <v>229</v>
      </c>
      <c r="X231" s="72" t="s">
        <v>229</v>
      </c>
      <c r="Y231" s="70" t="s">
        <v>229</v>
      </c>
      <c r="Z231" s="73" t="s">
        <v>229</v>
      </c>
    </row>
    <row r="232" ht="15.75" customHeight="1">
      <c r="A232" s="87"/>
      <c r="B232" s="88"/>
      <c r="C232" s="88"/>
      <c r="D232" s="87"/>
      <c r="E232" s="87"/>
      <c r="F232" s="87"/>
      <c r="G232" s="85"/>
      <c r="H232" s="85"/>
      <c r="I232" s="86"/>
      <c r="J232" s="86"/>
      <c r="K232" s="83"/>
      <c r="L232" s="87"/>
      <c r="M232" s="79"/>
      <c r="N232" s="69" t="s">
        <v>229</v>
      </c>
      <c r="O232" s="69" t="s">
        <v>229</v>
      </c>
      <c r="P232" s="69" t="s">
        <v>229</v>
      </c>
      <c r="Q232" s="69" t="s">
        <v>229</v>
      </c>
      <c r="R232" s="69" t="s">
        <v>229</v>
      </c>
      <c r="S232" s="69" t="s">
        <v>229</v>
      </c>
      <c r="T232" s="70" t="s">
        <v>229</v>
      </c>
      <c r="U232" s="71" t="s">
        <v>229</v>
      </c>
      <c r="V232" s="72" t="s">
        <v>229</v>
      </c>
      <c r="W232" s="73" t="s">
        <v>229</v>
      </c>
      <c r="X232" s="72" t="s">
        <v>229</v>
      </c>
      <c r="Y232" s="70" t="s">
        <v>229</v>
      </c>
      <c r="Z232" s="73" t="s">
        <v>229</v>
      </c>
    </row>
    <row r="233" ht="15.75" customHeight="1">
      <c r="A233" s="87"/>
      <c r="B233" s="88"/>
      <c r="C233" s="88"/>
      <c r="D233" s="87"/>
      <c r="E233" s="87"/>
      <c r="F233" s="87"/>
      <c r="G233" s="85"/>
      <c r="H233" s="85"/>
      <c r="I233" s="86"/>
      <c r="J233" s="86"/>
      <c r="K233" s="83"/>
      <c r="L233" s="87"/>
      <c r="M233" s="79"/>
      <c r="N233" s="69" t="s">
        <v>229</v>
      </c>
      <c r="O233" s="69" t="s">
        <v>229</v>
      </c>
      <c r="P233" s="69" t="s">
        <v>229</v>
      </c>
      <c r="Q233" s="69" t="s">
        <v>229</v>
      </c>
      <c r="R233" s="69" t="s">
        <v>229</v>
      </c>
      <c r="S233" s="69" t="s">
        <v>229</v>
      </c>
      <c r="T233" s="70" t="s">
        <v>229</v>
      </c>
      <c r="U233" s="71" t="s">
        <v>229</v>
      </c>
      <c r="V233" s="72" t="s">
        <v>229</v>
      </c>
      <c r="W233" s="73" t="s">
        <v>229</v>
      </c>
      <c r="X233" s="72" t="s">
        <v>229</v>
      </c>
      <c r="Y233" s="70" t="s">
        <v>229</v>
      </c>
      <c r="Z233" s="73" t="s">
        <v>229</v>
      </c>
    </row>
    <row r="234" ht="15.75" customHeight="1">
      <c r="A234" s="87"/>
      <c r="B234" s="88"/>
      <c r="C234" s="88"/>
      <c r="D234" s="87"/>
      <c r="E234" s="87"/>
      <c r="F234" s="87"/>
      <c r="G234" s="85"/>
      <c r="H234" s="85"/>
      <c r="I234" s="86"/>
      <c r="J234" s="86"/>
      <c r="K234" s="83"/>
      <c r="L234" s="87"/>
      <c r="M234" s="79"/>
      <c r="N234" s="69" t="s">
        <v>229</v>
      </c>
      <c r="O234" s="69" t="s">
        <v>229</v>
      </c>
      <c r="P234" s="69" t="s">
        <v>229</v>
      </c>
      <c r="Q234" s="69" t="s">
        <v>229</v>
      </c>
      <c r="R234" s="69" t="s">
        <v>229</v>
      </c>
      <c r="S234" s="69" t="s">
        <v>229</v>
      </c>
      <c r="T234" s="70" t="s">
        <v>229</v>
      </c>
      <c r="U234" s="71" t="s">
        <v>229</v>
      </c>
      <c r="V234" s="72" t="s">
        <v>229</v>
      </c>
      <c r="W234" s="73" t="s">
        <v>229</v>
      </c>
      <c r="X234" s="72" t="s">
        <v>229</v>
      </c>
      <c r="Y234" s="70" t="s">
        <v>229</v>
      </c>
      <c r="Z234" s="73" t="s">
        <v>229</v>
      </c>
    </row>
    <row r="235" ht="15.75" customHeight="1">
      <c r="A235" s="87"/>
      <c r="B235" s="88"/>
      <c r="C235" s="88"/>
      <c r="D235" s="87"/>
      <c r="E235" s="87"/>
      <c r="F235" s="87"/>
      <c r="G235" s="85"/>
      <c r="H235" s="85"/>
      <c r="I235" s="86"/>
      <c r="J235" s="86"/>
      <c r="K235" s="83"/>
      <c r="L235" s="87"/>
      <c r="M235" s="79"/>
      <c r="N235" s="69" t="s">
        <v>229</v>
      </c>
      <c r="O235" s="69" t="s">
        <v>229</v>
      </c>
      <c r="P235" s="69" t="s">
        <v>229</v>
      </c>
      <c r="Q235" s="69" t="s">
        <v>229</v>
      </c>
      <c r="R235" s="69" t="s">
        <v>229</v>
      </c>
      <c r="S235" s="69" t="s">
        <v>229</v>
      </c>
      <c r="T235" s="70" t="s">
        <v>229</v>
      </c>
      <c r="U235" s="71" t="s">
        <v>229</v>
      </c>
      <c r="V235" s="72" t="s">
        <v>229</v>
      </c>
      <c r="W235" s="73" t="s">
        <v>229</v>
      </c>
      <c r="X235" s="72" t="s">
        <v>229</v>
      </c>
      <c r="Y235" s="70" t="s">
        <v>229</v>
      </c>
      <c r="Z235" s="73" t="s">
        <v>229</v>
      </c>
    </row>
    <row r="236" ht="15.75" customHeight="1">
      <c r="A236" s="87"/>
      <c r="B236" s="88"/>
      <c r="C236" s="88"/>
      <c r="D236" s="87"/>
      <c r="E236" s="87"/>
      <c r="F236" s="87"/>
      <c r="G236" s="85"/>
      <c r="H236" s="85"/>
      <c r="I236" s="86"/>
      <c r="J236" s="86"/>
      <c r="K236" s="83"/>
      <c r="L236" s="87"/>
      <c r="M236" s="79"/>
      <c r="N236" s="69" t="s">
        <v>229</v>
      </c>
      <c r="O236" s="69" t="s">
        <v>229</v>
      </c>
      <c r="P236" s="69" t="s">
        <v>229</v>
      </c>
      <c r="Q236" s="69" t="s">
        <v>229</v>
      </c>
      <c r="R236" s="69" t="s">
        <v>229</v>
      </c>
      <c r="S236" s="69" t="s">
        <v>229</v>
      </c>
      <c r="T236" s="70" t="s">
        <v>229</v>
      </c>
      <c r="U236" s="71" t="s">
        <v>229</v>
      </c>
      <c r="V236" s="72" t="s">
        <v>229</v>
      </c>
      <c r="W236" s="73" t="s">
        <v>229</v>
      </c>
      <c r="X236" s="72" t="s">
        <v>229</v>
      </c>
      <c r="Y236" s="70" t="s">
        <v>229</v>
      </c>
      <c r="Z236" s="73" t="s">
        <v>229</v>
      </c>
    </row>
    <row r="237" ht="15.75" customHeight="1">
      <c r="A237" s="87"/>
      <c r="B237" s="88"/>
      <c r="C237" s="88"/>
      <c r="D237" s="87"/>
      <c r="E237" s="87"/>
      <c r="F237" s="87"/>
      <c r="G237" s="85"/>
      <c r="H237" s="85"/>
      <c r="I237" s="86"/>
      <c r="J237" s="86"/>
      <c r="K237" s="83"/>
      <c r="L237" s="87"/>
      <c r="M237" s="79"/>
      <c r="N237" s="69" t="s">
        <v>229</v>
      </c>
      <c r="O237" s="69" t="s">
        <v>229</v>
      </c>
      <c r="P237" s="69" t="s">
        <v>229</v>
      </c>
      <c r="Q237" s="69" t="s">
        <v>229</v>
      </c>
      <c r="R237" s="69" t="s">
        <v>229</v>
      </c>
      <c r="S237" s="69" t="s">
        <v>229</v>
      </c>
      <c r="T237" s="70" t="s">
        <v>229</v>
      </c>
      <c r="U237" s="71" t="s">
        <v>229</v>
      </c>
      <c r="V237" s="72" t="s">
        <v>229</v>
      </c>
      <c r="W237" s="73" t="s">
        <v>229</v>
      </c>
      <c r="X237" s="72" t="s">
        <v>229</v>
      </c>
      <c r="Y237" s="70" t="s">
        <v>229</v>
      </c>
      <c r="Z237" s="73" t="s">
        <v>229</v>
      </c>
    </row>
    <row r="238" ht="15.75" customHeight="1">
      <c r="A238" s="87"/>
      <c r="B238" s="88"/>
      <c r="C238" s="88"/>
      <c r="D238" s="87"/>
      <c r="E238" s="87"/>
      <c r="F238" s="87"/>
      <c r="G238" s="85"/>
      <c r="H238" s="85"/>
      <c r="I238" s="86"/>
      <c r="J238" s="86"/>
      <c r="K238" s="83"/>
      <c r="L238" s="87"/>
      <c r="M238" s="79"/>
      <c r="N238" s="69" t="s">
        <v>229</v>
      </c>
      <c r="O238" s="69" t="s">
        <v>229</v>
      </c>
      <c r="P238" s="69" t="s">
        <v>229</v>
      </c>
      <c r="Q238" s="69" t="s">
        <v>229</v>
      </c>
      <c r="R238" s="69" t="s">
        <v>229</v>
      </c>
      <c r="S238" s="69" t="s">
        <v>229</v>
      </c>
      <c r="T238" s="70" t="s">
        <v>229</v>
      </c>
      <c r="U238" s="71" t="s">
        <v>229</v>
      </c>
      <c r="V238" s="72" t="s">
        <v>229</v>
      </c>
      <c r="W238" s="73" t="s">
        <v>229</v>
      </c>
      <c r="X238" s="72" t="s">
        <v>229</v>
      </c>
      <c r="Y238" s="70" t="s">
        <v>229</v>
      </c>
      <c r="Z238" s="73" t="s">
        <v>229</v>
      </c>
    </row>
    <row r="239" ht="15.75" customHeight="1">
      <c r="A239" s="87"/>
      <c r="B239" s="88"/>
      <c r="C239" s="88"/>
      <c r="D239" s="87"/>
      <c r="E239" s="87"/>
      <c r="F239" s="87"/>
      <c r="G239" s="85"/>
      <c r="H239" s="85"/>
      <c r="I239" s="86"/>
      <c r="J239" s="86"/>
      <c r="K239" s="83"/>
      <c r="L239" s="87"/>
      <c r="M239" s="79"/>
      <c r="N239" s="69" t="s">
        <v>229</v>
      </c>
      <c r="O239" s="69" t="s">
        <v>229</v>
      </c>
      <c r="P239" s="69" t="s">
        <v>229</v>
      </c>
      <c r="Q239" s="69" t="s">
        <v>229</v>
      </c>
      <c r="R239" s="69" t="s">
        <v>229</v>
      </c>
      <c r="S239" s="69" t="s">
        <v>229</v>
      </c>
      <c r="T239" s="70" t="s">
        <v>229</v>
      </c>
      <c r="U239" s="71" t="s">
        <v>229</v>
      </c>
      <c r="V239" s="72" t="s">
        <v>229</v>
      </c>
      <c r="W239" s="73" t="s">
        <v>229</v>
      </c>
      <c r="X239" s="72" t="s">
        <v>229</v>
      </c>
      <c r="Y239" s="70" t="s">
        <v>229</v>
      </c>
      <c r="Z239" s="73" t="s">
        <v>229</v>
      </c>
    </row>
    <row r="240" ht="15.75" customHeight="1">
      <c r="A240" s="87"/>
      <c r="B240" s="88"/>
      <c r="C240" s="88"/>
      <c r="D240" s="87"/>
      <c r="E240" s="87"/>
      <c r="F240" s="87"/>
      <c r="G240" s="85"/>
      <c r="H240" s="85"/>
      <c r="I240" s="86"/>
      <c r="J240" s="86"/>
      <c r="K240" s="83"/>
      <c r="L240" s="87"/>
      <c r="M240" s="79"/>
      <c r="N240" s="69" t="s">
        <v>229</v>
      </c>
      <c r="O240" s="69" t="s">
        <v>229</v>
      </c>
      <c r="P240" s="69" t="s">
        <v>229</v>
      </c>
      <c r="Q240" s="69" t="s">
        <v>229</v>
      </c>
      <c r="R240" s="69" t="s">
        <v>229</v>
      </c>
      <c r="S240" s="69" t="s">
        <v>229</v>
      </c>
      <c r="T240" s="70" t="s">
        <v>229</v>
      </c>
      <c r="U240" s="71" t="s">
        <v>229</v>
      </c>
      <c r="V240" s="72" t="s">
        <v>229</v>
      </c>
      <c r="W240" s="73" t="s">
        <v>229</v>
      </c>
      <c r="X240" s="72" t="s">
        <v>229</v>
      </c>
      <c r="Y240" s="70" t="s">
        <v>229</v>
      </c>
      <c r="Z240" s="73" t="s">
        <v>229</v>
      </c>
    </row>
    <row r="241" ht="15.75" customHeight="1">
      <c r="A241" s="87"/>
      <c r="B241" s="88"/>
      <c r="C241" s="88"/>
      <c r="D241" s="87"/>
      <c r="E241" s="87"/>
      <c r="F241" s="87"/>
      <c r="G241" s="85"/>
      <c r="H241" s="85"/>
      <c r="I241" s="86"/>
      <c r="J241" s="86"/>
      <c r="K241" s="83"/>
      <c r="L241" s="87"/>
      <c r="M241" s="79"/>
      <c r="N241" s="69" t="s">
        <v>229</v>
      </c>
      <c r="O241" s="69" t="s">
        <v>229</v>
      </c>
      <c r="P241" s="69" t="s">
        <v>229</v>
      </c>
      <c r="Q241" s="69" t="s">
        <v>229</v>
      </c>
      <c r="R241" s="69" t="s">
        <v>229</v>
      </c>
      <c r="S241" s="69" t="s">
        <v>229</v>
      </c>
      <c r="T241" s="70" t="s">
        <v>229</v>
      </c>
      <c r="U241" s="71" t="s">
        <v>229</v>
      </c>
      <c r="V241" s="72" t="s">
        <v>229</v>
      </c>
      <c r="W241" s="73" t="s">
        <v>229</v>
      </c>
      <c r="X241" s="72" t="s">
        <v>229</v>
      </c>
      <c r="Y241" s="70" t="s">
        <v>229</v>
      </c>
      <c r="Z241" s="73" t="s">
        <v>229</v>
      </c>
    </row>
    <row r="242" ht="15.75" customHeight="1">
      <c r="A242" s="87"/>
      <c r="B242" s="88"/>
      <c r="C242" s="88"/>
      <c r="D242" s="87"/>
      <c r="E242" s="87"/>
      <c r="F242" s="87"/>
      <c r="G242" s="85"/>
      <c r="H242" s="85"/>
      <c r="I242" s="86"/>
      <c r="J242" s="86"/>
      <c r="K242" s="83"/>
      <c r="L242" s="87"/>
      <c r="M242" s="79"/>
      <c r="N242" s="69" t="s">
        <v>229</v>
      </c>
      <c r="O242" s="69" t="s">
        <v>229</v>
      </c>
      <c r="P242" s="69" t="s">
        <v>229</v>
      </c>
      <c r="Q242" s="69" t="s">
        <v>229</v>
      </c>
      <c r="R242" s="69" t="s">
        <v>229</v>
      </c>
      <c r="S242" s="69" t="s">
        <v>229</v>
      </c>
      <c r="T242" s="70" t="s">
        <v>229</v>
      </c>
      <c r="U242" s="71" t="s">
        <v>229</v>
      </c>
      <c r="V242" s="72" t="s">
        <v>229</v>
      </c>
      <c r="W242" s="73" t="s">
        <v>229</v>
      </c>
      <c r="X242" s="72" t="s">
        <v>229</v>
      </c>
      <c r="Y242" s="70" t="s">
        <v>229</v>
      </c>
      <c r="Z242" s="73" t="s">
        <v>229</v>
      </c>
    </row>
    <row r="243" ht="15.75" customHeight="1">
      <c r="A243" s="87"/>
      <c r="B243" s="88"/>
      <c r="C243" s="88"/>
      <c r="D243" s="87"/>
      <c r="E243" s="87"/>
      <c r="F243" s="87"/>
      <c r="G243" s="85"/>
      <c r="H243" s="85"/>
      <c r="I243" s="86"/>
      <c r="J243" s="86"/>
      <c r="K243" s="83"/>
      <c r="L243" s="87"/>
      <c r="M243" s="79"/>
      <c r="N243" s="69" t="s">
        <v>229</v>
      </c>
      <c r="O243" s="69" t="s">
        <v>229</v>
      </c>
      <c r="P243" s="69" t="s">
        <v>229</v>
      </c>
      <c r="Q243" s="69" t="s">
        <v>229</v>
      </c>
      <c r="R243" s="69" t="s">
        <v>229</v>
      </c>
      <c r="S243" s="69" t="s">
        <v>229</v>
      </c>
      <c r="T243" s="70" t="s">
        <v>229</v>
      </c>
      <c r="U243" s="71" t="s">
        <v>229</v>
      </c>
      <c r="V243" s="72" t="s">
        <v>229</v>
      </c>
      <c r="W243" s="73" t="s">
        <v>229</v>
      </c>
      <c r="X243" s="72" t="s">
        <v>229</v>
      </c>
      <c r="Y243" s="70" t="s">
        <v>229</v>
      </c>
      <c r="Z243" s="73" t="s">
        <v>229</v>
      </c>
    </row>
    <row r="244" ht="15.75" customHeight="1">
      <c r="A244" s="87"/>
      <c r="B244" s="88"/>
      <c r="C244" s="88"/>
      <c r="D244" s="87"/>
      <c r="E244" s="87"/>
      <c r="F244" s="87"/>
      <c r="G244" s="85"/>
      <c r="H244" s="85"/>
      <c r="I244" s="86"/>
      <c r="J244" s="86"/>
      <c r="K244" s="83"/>
      <c r="L244" s="87"/>
      <c r="M244" s="79"/>
      <c r="N244" s="69" t="s">
        <v>229</v>
      </c>
      <c r="O244" s="69" t="s">
        <v>229</v>
      </c>
      <c r="P244" s="69" t="s">
        <v>229</v>
      </c>
      <c r="Q244" s="69" t="s">
        <v>229</v>
      </c>
      <c r="R244" s="69" t="s">
        <v>229</v>
      </c>
      <c r="S244" s="69" t="s">
        <v>229</v>
      </c>
      <c r="T244" s="70" t="s">
        <v>229</v>
      </c>
      <c r="U244" s="71" t="s">
        <v>229</v>
      </c>
      <c r="V244" s="72" t="s">
        <v>229</v>
      </c>
      <c r="W244" s="73" t="s">
        <v>229</v>
      </c>
      <c r="X244" s="72" t="s">
        <v>229</v>
      </c>
      <c r="Y244" s="70" t="s">
        <v>229</v>
      </c>
      <c r="Z244" s="73" t="s">
        <v>229</v>
      </c>
    </row>
    <row r="245" ht="15.75" customHeight="1">
      <c r="A245" s="87"/>
      <c r="B245" s="88"/>
      <c r="C245" s="88"/>
      <c r="D245" s="87"/>
      <c r="E245" s="87"/>
      <c r="F245" s="87"/>
      <c r="G245" s="85"/>
      <c r="H245" s="85"/>
      <c r="I245" s="86"/>
      <c r="J245" s="86"/>
      <c r="K245" s="83"/>
      <c r="L245" s="87"/>
      <c r="M245" s="79"/>
      <c r="N245" s="69" t="s">
        <v>229</v>
      </c>
      <c r="O245" s="69" t="s">
        <v>229</v>
      </c>
      <c r="P245" s="69" t="s">
        <v>229</v>
      </c>
      <c r="Q245" s="69" t="s">
        <v>229</v>
      </c>
      <c r="R245" s="69" t="s">
        <v>229</v>
      </c>
      <c r="S245" s="69" t="s">
        <v>229</v>
      </c>
      <c r="T245" s="70" t="s">
        <v>229</v>
      </c>
      <c r="U245" s="71" t="s">
        <v>229</v>
      </c>
      <c r="V245" s="72" t="s">
        <v>229</v>
      </c>
      <c r="W245" s="73" t="s">
        <v>229</v>
      </c>
      <c r="X245" s="72" t="s">
        <v>229</v>
      </c>
      <c r="Y245" s="70" t="s">
        <v>229</v>
      </c>
      <c r="Z245" s="73" t="s">
        <v>229</v>
      </c>
    </row>
    <row r="246" ht="15.75" customHeight="1">
      <c r="A246" s="87"/>
      <c r="B246" s="88"/>
      <c r="C246" s="88"/>
      <c r="D246" s="87"/>
      <c r="E246" s="87"/>
      <c r="F246" s="87"/>
      <c r="G246" s="85"/>
      <c r="H246" s="85"/>
      <c r="I246" s="86"/>
      <c r="J246" s="86"/>
      <c r="K246" s="83"/>
      <c r="L246" s="87"/>
      <c r="M246" s="79"/>
      <c r="N246" s="69" t="s">
        <v>229</v>
      </c>
      <c r="O246" s="69" t="s">
        <v>229</v>
      </c>
      <c r="P246" s="69" t="s">
        <v>229</v>
      </c>
      <c r="Q246" s="69" t="s">
        <v>229</v>
      </c>
      <c r="R246" s="69" t="s">
        <v>229</v>
      </c>
      <c r="S246" s="69" t="s">
        <v>229</v>
      </c>
      <c r="T246" s="70" t="s">
        <v>229</v>
      </c>
      <c r="U246" s="71" t="s">
        <v>229</v>
      </c>
      <c r="V246" s="72" t="s">
        <v>229</v>
      </c>
      <c r="W246" s="73" t="s">
        <v>229</v>
      </c>
      <c r="X246" s="72" t="s">
        <v>229</v>
      </c>
      <c r="Y246" s="70" t="s">
        <v>229</v>
      </c>
      <c r="Z246" s="73" t="s">
        <v>229</v>
      </c>
    </row>
    <row r="247" ht="15.75" customHeight="1">
      <c r="A247" s="87"/>
      <c r="B247" s="88"/>
      <c r="C247" s="88"/>
      <c r="D247" s="87"/>
      <c r="E247" s="87"/>
      <c r="F247" s="87"/>
      <c r="G247" s="85"/>
      <c r="H247" s="85"/>
      <c r="I247" s="86"/>
      <c r="J247" s="86"/>
      <c r="K247" s="83"/>
      <c r="L247" s="87"/>
      <c r="M247" s="79"/>
      <c r="N247" s="69" t="s">
        <v>229</v>
      </c>
      <c r="O247" s="69" t="s">
        <v>229</v>
      </c>
      <c r="P247" s="69" t="s">
        <v>229</v>
      </c>
      <c r="Q247" s="69" t="s">
        <v>229</v>
      </c>
      <c r="R247" s="69" t="s">
        <v>229</v>
      </c>
      <c r="S247" s="69" t="s">
        <v>229</v>
      </c>
      <c r="T247" s="70" t="s">
        <v>229</v>
      </c>
      <c r="U247" s="71" t="s">
        <v>229</v>
      </c>
      <c r="V247" s="72" t="s">
        <v>229</v>
      </c>
      <c r="W247" s="73" t="s">
        <v>229</v>
      </c>
      <c r="X247" s="72" t="s">
        <v>229</v>
      </c>
      <c r="Y247" s="70" t="s">
        <v>229</v>
      </c>
      <c r="Z247" s="73" t="s">
        <v>229</v>
      </c>
    </row>
    <row r="248" ht="15.75" customHeight="1">
      <c r="A248" s="87"/>
      <c r="B248" s="88"/>
      <c r="C248" s="88"/>
      <c r="D248" s="87"/>
      <c r="E248" s="87"/>
      <c r="F248" s="87"/>
      <c r="G248" s="85"/>
      <c r="H248" s="85"/>
      <c r="I248" s="86"/>
      <c r="J248" s="86"/>
      <c r="K248" s="83"/>
      <c r="L248" s="87"/>
      <c r="M248" s="79"/>
      <c r="N248" s="69" t="s">
        <v>229</v>
      </c>
      <c r="O248" s="69" t="s">
        <v>229</v>
      </c>
      <c r="P248" s="69" t="s">
        <v>229</v>
      </c>
      <c r="Q248" s="69" t="s">
        <v>229</v>
      </c>
      <c r="R248" s="69" t="s">
        <v>229</v>
      </c>
      <c r="S248" s="69" t="s">
        <v>229</v>
      </c>
      <c r="T248" s="70" t="s">
        <v>229</v>
      </c>
      <c r="U248" s="71" t="s">
        <v>229</v>
      </c>
      <c r="V248" s="72" t="s">
        <v>229</v>
      </c>
      <c r="W248" s="73" t="s">
        <v>229</v>
      </c>
      <c r="X248" s="72" t="s">
        <v>229</v>
      </c>
      <c r="Y248" s="70" t="s">
        <v>229</v>
      </c>
      <c r="Z248" s="73" t="s">
        <v>229</v>
      </c>
    </row>
    <row r="249" ht="15.75" customHeight="1">
      <c r="A249" s="87"/>
      <c r="B249" s="88"/>
      <c r="C249" s="88"/>
      <c r="D249" s="87"/>
      <c r="E249" s="87"/>
      <c r="F249" s="87"/>
      <c r="G249" s="85"/>
      <c r="H249" s="85"/>
      <c r="I249" s="86"/>
      <c r="J249" s="86"/>
      <c r="K249" s="83"/>
      <c r="L249" s="87"/>
      <c r="M249" s="79"/>
      <c r="N249" s="69" t="s">
        <v>229</v>
      </c>
      <c r="O249" s="69" t="s">
        <v>229</v>
      </c>
      <c r="P249" s="69" t="s">
        <v>229</v>
      </c>
      <c r="Q249" s="69" t="s">
        <v>229</v>
      </c>
      <c r="R249" s="69" t="s">
        <v>229</v>
      </c>
      <c r="S249" s="69" t="s">
        <v>229</v>
      </c>
      <c r="T249" s="70" t="s">
        <v>229</v>
      </c>
      <c r="U249" s="71" t="s">
        <v>229</v>
      </c>
      <c r="V249" s="72" t="s">
        <v>229</v>
      </c>
      <c r="W249" s="73" t="s">
        <v>229</v>
      </c>
      <c r="X249" s="72" t="s">
        <v>229</v>
      </c>
      <c r="Y249" s="70" t="s">
        <v>229</v>
      </c>
      <c r="Z249" s="73" t="s">
        <v>229</v>
      </c>
    </row>
    <row r="250" ht="15.75" customHeight="1">
      <c r="A250" s="87"/>
      <c r="B250" s="88"/>
      <c r="C250" s="88"/>
      <c r="D250" s="87"/>
      <c r="E250" s="87"/>
      <c r="F250" s="87"/>
      <c r="G250" s="85"/>
      <c r="H250" s="85"/>
      <c r="I250" s="86"/>
      <c r="J250" s="86"/>
      <c r="K250" s="83"/>
      <c r="L250" s="87"/>
      <c r="M250" s="79"/>
      <c r="N250" s="69" t="s">
        <v>229</v>
      </c>
      <c r="O250" s="69" t="s">
        <v>229</v>
      </c>
      <c r="P250" s="69" t="s">
        <v>229</v>
      </c>
      <c r="Q250" s="69" t="s">
        <v>229</v>
      </c>
      <c r="R250" s="69" t="s">
        <v>229</v>
      </c>
      <c r="S250" s="69" t="s">
        <v>229</v>
      </c>
      <c r="T250" s="70" t="s">
        <v>229</v>
      </c>
      <c r="U250" s="71" t="s">
        <v>229</v>
      </c>
      <c r="V250" s="72" t="s">
        <v>229</v>
      </c>
      <c r="W250" s="73" t="s">
        <v>229</v>
      </c>
      <c r="X250" s="72" t="s">
        <v>229</v>
      </c>
      <c r="Y250" s="70" t="s">
        <v>229</v>
      </c>
      <c r="Z250" s="73" t="s">
        <v>229</v>
      </c>
    </row>
    <row r="251" ht="15.75" customHeight="1">
      <c r="A251" s="87"/>
      <c r="B251" s="88"/>
      <c r="C251" s="88"/>
      <c r="D251" s="87"/>
      <c r="E251" s="87"/>
      <c r="F251" s="87"/>
      <c r="G251" s="85"/>
      <c r="H251" s="85"/>
      <c r="I251" s="86"/>
      <c r="J251" s="86"/>
      <c r="K251" s="83"/>
      <c r="L251" s="87"/>
      <c r="M251" s="79"/>
      <c r="N251" s="69" t="s">
        <v>229</v>
      </c>
      <c r="O251" s="69" t="s">
        <v>229</v>
      </c>
      <c r="P251" s="69" t="s">
        <v>229</v>
      </c>
      <c r="Q251" s="69" t="s">
        <v>229</v>
      </c>
      <c r="R251" s="69" t="s">
        <v>229</v>
      </c>
      <c r="S251" s="69" t="s">
        <v>229</v>
      </c>
      <c r="T251" s="70" t="s">
        <v>229</v>
      </c>
      <c r="U251" s="71" t="s">
        <v>229</v>
      </c>
      <c r="V251" s="72" t="s">
        <v>229</v>
      </c>
      <c r="W251" s="73" t="s">
        <v>229</v>
      </c>
      <c r="X251" s="72" t="s">
        <v>229</v>
      </c>
      <c r="Y251" s="70" t="s">
        <v>229</v>
      </c>
      <c r="Z251" s="73" t="s">
        <v>229</v>
      </c>
    </row>
    <row r="252" ht="15.75" customHeight="1">
      <c r="A252" s="87"/>
      <c r="B252" s="88"/>
      <c r="C252" s="88"/>
      <c r="D252" s="87"/>
      <c r="E252" s="87"/>
      <c r="F252" s="87"/>
      <c r="G252" s="85"/>
      <c r="H252" s="85"/>
      <c r="I252" s="86"/>
      <c r="J252" s="86"/>
      <c r="K252" s="83"/>
      <c r="L252" s="87"/>
      <c r="M252" s="79"/>
      <c r="N252" s="69" t="s">
        <v>229</v>
      </c>
      <c r="O252" s="69" t="s">
        <v>229</v>
      </c>
      <c r="P252" s="69" t="s">
        <v>229</v>
      </c>
      <c r="Q252" s="69" t="s">
        <v>229</v>
      </c>
      <c r="R252" s="69" t="s">
        <v>229</v>
      </c>
      <c r="S252" s="69" t="s">
        <v>229</v>
      </c>
      <c r="T252" s="70" t="s">
        <v>229</v>
      </c>
      <c r="U252" s="71" t="s">
        <v>229</v>
      </c>
      <c r="V252" s="72" t="s">
        <v>229</v>
      </c>
      <c r="W252" s="73" t="s">
        <v>229</v>
      </c>
      <c r="X252" s="72" t="s">
        <v>229</v>
      </c>
      <c r="Y252" s="70" t="s">
        <v>229</v>
      </c>
      <c r="Z252" s="73" t="s">
        <v>229</v>
      </c>
    </row>
    <row r="253" ht="15.75" customHeight="1">
      <c r="A253" s="87"/>
      <c r="B253" s="88"/>
      <c r="C253" s="88"/>
      <c r="D253" s="87"/>
      <c r="E253" s="87"/>
      <c r="F253" s="87"/>
      <c r="G253" s="85"/>
      <c r="H253" s="85"/>
      <c r="I253" s="86"/>
      <c r="J253" s="86"/>
      <c r="K253" s="83"/>
      <c r="L253" s="87"/>
      <c r="M253" s="79"/>
      <c r="N253" s="69" t="s">
        <v>229</v>
      </c>
      <c r="O253" s="69" t="s">
        <v>229</v>
      </c>
      <c r="P253" s="69" t="s">
        <v>229</v>
      </c>
      <c r="Q253" s="69" t="s">
        <v>229</v>
      </c>
      <c r="R253" s="69" t="s">
        <v>229</v>
      </c>
      <c r="S253" s="69" t="s">
        <v>229</v>
      </c>
      <c r="T253" s="70" t="s">
        <v>229</v>
      </c>
      <c r="U253" s="71" t="s">
        <v>229</v>
      </c>
      <c r="V253" s="72" t="s">
        <v>229</v>
      </c>
      <c r="W253" s="73" t="s">
        <v>229</v>
      </c>
      <c r="X253" s="72" t="s">
        <v>229</v>
      </c>
      <c r="Y253" s="70" t="s">
        <v>229</v>
      </c>
      <c r="Z253" s="73" t="s">
        <v>229</v>
      </c>
    </row>
    <row r="254" ht="15.75" customHeight="1">
      <c r="A254" s="87"/>
      <c r="B254" s="88"/>
      <c r="C254" s="88"/>
      <c r="D254" s="87"/>
      <c r="E254" s="87"/>
      <c r="F254" s="87"/>
      <c r="G254" s="85"/>
      <c r="H254" s="85"/>
      <c r="I254" s="86"/>
      <c r="J254" s="86"/>
      <c r="K254" s="83"/>
      <c r="L254" s="87"/>
      <c r="M254" s="79"/>
      <c r="N254" s="69" t="s">
        <v>229</v>
      </c>
      <c r="O254" s="69" t="s">
        <v>229</v>
      </c>
      <c r="P254" s="69" t="s">
        <v>229</v>
      </c>
      <c r="Q254" s="69" t="s">
        <v>229</v>
      </c>
      <c r="R254" s="69" t="s">
        <v>229</v>
      </c>
      <c r="S254" s="69" t="s">
        <v>229</v>
      </c>
      <c r="T254" s="70" t="s">
        <v>229</v>
      </c>
      <c r="U254" s="71" t="s">
        <v>229</v>
      </c>
      <c r="V254" s="72" t="s">
        <v>229</v>
      </c>
      <c r="W254" s="73" t="s">
        <v>229</v>
      </c>
      <c r="X254" s="72" t="s">
        <v>229</v>
      </c>
      <c r="Y254" s="70" t="s">
        <v>229</v>
      </c>
      <c r="Z254" s="73" t="s">
        <v>229</v>
      </c>
    </row>
    <row r="255" ht="15.75" customHeight="1">
      <c r="A255" s="87"/>
      <c r="B255" s="88"/>
      <c r="C255" s="88"/>
      <c r="D255" s="87"/>
      <c r="E255" s="87"/>
      <c r="F255" s="87"/>
      <c r="G255" s="85"/>
      <c r="H255" s="85"/>
      <c r="I255" s="86"/>
      <c r="J255" s="86"/>
      <c r="K255" s="83"/>
      <c r="L255" s="87"/>
      <c r="M255" s="79"/>
      <c r="N255" s="69" t="s">
        <v>229</v>
      </c>
      <c r="O255" s="69" t="s">
        <v>229</v>
      </c>
      <c r="P255" s="69" t="s">
        <v>229</v>
      </c>
      <c r="Q255" s="69" t="s">
        <v>229</v>
      </c>
      <c r="R255" s="69" t="s">
        <v>229</v>
      </c>
      <c r="S255" s="69" t="s">
        <v>229</v>
      </c>
      <c r="T255" s="70" t="s">
        <v>229</v>
      </c>
      <c r="U255" s="71" t="s">
        <v>229</v>
      </c>
      <c r="V255" s="72" t="s">
        <v>229</v>
      </c>
      <c r="W255" s="73" t="s">
        <v>229</v>
      </c>
      <c r="X255" s="72" t="s">
        <v>229</v>
      </c>
      <c r="Y255" s="70" t="s">
        <v>229</v>
      </c>
      <c r="Z255" s="73" t="s">
        <v>229</v>
      </c>
    </row>
    <row r="256" ht="15.75" customHeight="1">
      <c r="A256" s="87"/>
      <c r="B256" s="88"/>
      <c r="C256" s="88"/>
      <c r="D256" s="87"/>
      <c r="E256" s="87"/>
      <c r="F256" s="87"/>
      <c r="G256" s="85"/>
      <c r="H256" s="85"/>
      <c r="I256" s="86"/>
      <c r="J256" s="86"/>
      <c r="K256" s="83"/>
      <c r="L256" s="87"/>
      <c r="M256" s="79"/>
      <c r="N256" s="69" t="s">
        <v>229</v>
      </c>
      <c r="O256" s="69" t="s">
        <v>229</v>
      </c>
      <c r="P256" s="69" t="s">
        <v>229</v>
      </c>
      <c r="Q256" s="69" t="s">
        <v>229</v>
      </c>
      <c r="R256" s="69" t="s">
        <v>229</v>
      </c>
      <c r="S256" s="69" t="s">
        <v>229</v>
      </c>
      <c r="T256" s="70" t="s">
        <v>229</v>
      </c>
      <c r="U256" s="71" t="s">
        <v>229</v>
      </c>
      <c r="V256" s="72" t="s">
        <v>229</v>
      </c>
      <c r="W256" s="73" t="s">
        <v>229</v>
      </c>
      <c r="X256" s="72" t="s">
        <v>229</v>
      </c>
      <c r="Y256" s="70" t="s">
        <v>229</v>
      </c>
      <c r="Z256" s="73" t="s">
        <v>229</v>
      </c>
    </row>
    <row r="257" ht="15.75" customHeight="1">
      <c r="A257" s="87"/>
      <c r="B257" s="88"/>
      <c r="C257" s="88"/>
      <c r="D257" s="87"/>
      <c r="E257" s="87"/>
      <c r="F257" s="87"/>
      <c r="G257" s="85"/>
      <c r="H257" s="85"/>
      <c r="I257" s="86"/>
      <c r="J257" s="86"/>
      <c r="K257" s="83"/>
      <c r="L257" s="87"/>
      <c r="M257" s="79"/>
      <c r="N257" s="69" t="s">
        <v>229</v>
      </c>
      <c r="O257" s="69" t="s">
        <v>229</v>
      </c>
      <c r="P257" s="69" t="s">
        <v>229</v>
      </c>
      <c r="Q257" s="69" t="s">
        <v>229</v>
      </c>
      <c r="R257" s="69" t="s">
        <v>229</v>
      </c>
      <c r="S257" s="69" t="s">
        <v>229</v>
      </c>
      <c r="T257" s="70" t="s">
        <v>229</v>
      </c>
      <c r="U257" s="71" t="s">
        <v>229</v>
      </c>
      <c r="V257" s="72" t="s">
        <v>229</v>
      </c>
      <c r="W257" s="73" t="s">
        <v>229</v>
      </c>
      <c r="X257" s="72" t="s">
        <v>229</v>
      </c>
      <c r="Y257" s="70" t="s">
        <v>229</v>
      </c>
      <c r="Z257" s="73" t="s">
        <v>229</v>
      </c>
    </row>
    <row r="258" ht="15.75" customHeight="1">
      <c r="A258" s="87"/>
      <c r="B258" s="88"/>
      <c r="C258" s="88"/>
      <c r="D258" s="87"/>
      <c r="E258" s="87"/>
      <c r="F258" s="87"/>
      <c r="G258" s="85"/>
      <c r="H258" s="85"/>
      <c r="I258" s="86"/>
      <c r="J258" s="86"/>
      <c r="K258" s="83"/>
      <c r="L258" s="87"/>
      <c r="M258" s="79"/>
      <c r="N258" s="69" t="s">
        <v>229</v>
      </c>
      <c r="O258" s="69" t="s">
        <v>229</v>
      </c>
      <c r="P258" s="69" t="s">
        <v>229</v>
      </c>
      <c r="Q258" s="69" t="s">
        <v>229</v>
      </c>
      <c r="R258" s="69" t="s">
        <v>229</v>
      </c>
      <c r="S258" s="69" t="s">
        <v>229</v>
      </c>
      <c r="T258" s="70" t="s">
        <v>229</v>
      </c>
      <c r="U258" s="71" t="s">
        <v>229</v>
      </c>
      <c r="V258" s="72" t="s">
        <v>229</v>
      </c>
      <c r="W258" s="73" t="s">
        <v>229</v>
      </c>
      <c r="X258" s="72" t="s">
        <v>229</v>
      </c>
      <c r="Y258" s="70" t="s">
        <v>229</v>
      </c>
      <c r="Z258" s="73" t="s">
        <v>229</v>
      </c>
    </row>
    <row r="259" ht="15.75" customHeight="1">
      <c r="A259" s="87"/>
      <c r="B259" s="88"/>
      <c r="C259" s="88"/>
      <c r="D259" s="87"/>
      <c r="E259" s="87"/>
      <c r="F259" s="87"/>
      <c r="G259" s="85"/>
      <c r="H259" s="85"/>
      <c r="I259" s="86"/>
      <c r="J259" s="86"/>
      <c r="K259" s="83"/>
      <c r="L259" s="87"/>
      <c r="M259" s="79"/>
      <c r="N259" s="69" t="s">
        <v>229</v>
      </c>
      <c r="O259" s="69" t="s">
        <v>229</v>
      </c>
      <c r="P259" s="69" t="s">
        <v>229</v>
      </c>
      <c r="Q259" s="69" t="s">
        <v>229</v>
      </c>
      <c r="R259" s="69" t="s">
        <v>229</v>
      </c>
      <c r="S259" s="69" t="s">
        <v>229</v>
      </c>
      <c r="T259" s="70" t="s">
        <v>229</v>
      </c>
      <c r="U259" s="71" t="s">
        <v>229</v>
      </c>
      <c r="V259" s="72" t="s">
        <v>229</v>
      </c>
      <c r="W259" s="73" t="s">
        <v>229</v>
      </c>
      <c r="X259" s="72" t="s">
        <v>229</v>
      </c>
      <c r="Y259" s="70" t="s">
        <v>229</v>
      </c>
      <c r="Z259" s="73" t="s">
        <v>229</v>
      </c>
    </row>
    <row r="260" ht="15.75" customHeight="1">
      <c r="A260" s="87"/>
      <c r="B260" s="88"/>
      <c r="C260" s="88"/>
      <c r="D260" s="87"/>
      <c r="E260" s="87"/>
      <c r="F260" s="87"/>
      <c r="G260" s="85"/>
      <c r="H260" s="85"/>
      <c r="I260" s="86"/>
      <c r="J260" s="86"/>
      <c r="K260" s="83"/>
      <c r="L260" s="87"/>
      <c r="M260" s="79"/>
      <c r="N260" s="69" t="s">
        <v>229</v>
      </c>
      <c r="O260" s="69" t="s">
        <v>229</v>
      </c>
      <c r="P260" s="69" t="s">
        <v>229</v>
      </c>
      <c r="Q260" s="69" t="s">
        <v>229</v>
      </c>
      <c r="R260" s="69" t="s">
        <v>229</v>
      </c>
      <c r="S260" s="69" t="s">
        <v>229</v>
      </c>
      <c r="T260" s="70" t="s">
        <v>229</v>
      </c>
      <c r="U260" s="71" t="s">
        <v>229</v>
      </c>
      <c r="V260" s="72" t="s">
        <v>229</v>
      </c>
      <c r="W260" s="73" t="s">
        <v>229</v>
      </c>
      <c r="X260" s="72" t="s">
        <v>229</v>
      </c>
      <c r="Y260" s="70" t="s">
        <v>229</v>
      </c>
      <c r="Z260" s="73" t="s">
        <v>229</v>
      </c>
    </row>
    <row r="261" ht="15.75" customHeight="1">
      <c r="A261" s="87"/>
      <c r="B261" s="88"/>
      <c r="C261" s="88"/>
      <c r="D261" s="87"/>
      <c r="E261" s="87"/>
      <c r="F261" s="87"/>
      <c r="G261" s="85"/>
      <c r="H261" s="85"/>
      <c r="I261" s="86"/>
      <c r="J261" s="86"/>
      <c r="K261" s="83"/>
      <c r="L261" s="87"/>
      <c r="M261" s="79"/>
      <c r="N261" s="69" t="s">
        <v>229</v>
      </c>
      <c r="O261" s="69" t="s">
        <v>229</v>
      </c>
      <c r="P261" s="69" t="s">
        <v>229</v>
      </c>
      <c r="Q261" s="69" t="s">
        <v>229</v>
      </c>
      <c r="R261" s="69" t="s">
        <v>229</v>
      </c>
      <c r="S261" s="69" t="s">
        <v>229</v>
      </c>
      <c r="T261" s="70" t="s">
        <v>229</v>
      </c>
      <c r="U261" s="71" t="s">
        <v>229</v>
      </c>
      <c r="V261" s="72" t="s">
        <v>229</v>
      </c>
      <c r="W261" s="73" t="s">
        <v>229</v>
      </c>
      <c r="X261" s="72" t="s">
        <v>229</v>
      </c>
      <c r="Y261" s="70" t="s">
        <v>229</v>
      </c>
      <c r="Z261" s="73" t="s">
        <v>229</v>
      </c>
    </row>
    <row r="262" ht="15.75" customHeight="1">
      <c r="A262" s="87"/>
      <c r="B262" s="88"/>
      <c r="C262" s="88"/>
      <c r="D262" s="87"/>
      <c r="E262" s="87"/>
      <c r="F262" s="87"/>
      <c r="G262" s="85"/>
      <c r="H262" s="85"/>
      <c r="I262" s="86"/>
      <c r="J262" s="86"/>
      <c r="K262" s="83"/>
      <c r="L262" s="87"/>
      <c r="M262" s="79"/>
      <c r="N262" s="69" t="s">
        <v>229</v>
      </c>
      <c r="O262" s="69" t="s">
        <v>229</v>
      </c>
      <c r="P262" s="69" t="s">
        <v>229</v>
      </c>
      <c r="Q262" s="69" t="s">
        <v>229</v>
      </c>
      <c r="R262" s="69" t="s">
        <v>229</v>
      </c>
      <c r="S262" s="69" t="s">
        <v>229</v>
      </c>
      <c r="T262" s="70" t="s">
        <v>229</v>
      </c>
      <c r="U262" s="71" t="s">
        <v>229</v>
      </c>
      <c r="V262" s="72" t="s">
        <v>229</v>
      </c>
      <c r="W262" s="73" t="s">
        <v>229</v>
      </c>
      <c r="X262" s="72" t="s">
        <v>229</v>
      </c>
      <c r="Y262" s="70" t="s">
        <v>229</v>
      </c>
      <c r="Z262" s="73" t="s">
        <v>229</v>
      </c>
    </row>
    <row r="263" ht="15.75" customHeight="1">
      <c r="A263" s="87"/>
      <c r="B263" s="88"/>
      <c r="C263" s="88"/>
      <c r="D263" s="87"/>
      <c r="E263" s="87"/>
      <c r="F263" s="87"/>
      <c r="G263" s="85"/>
      <c r="H263" s="85"/>
      <c r="I263" s="86"/>
      <c r="J263" s="86"/>
      <c r="K263" s="83"/>
      <c r="L263" s="87"/>
      <c r="M263" s="79"/>
      <c r="N263" s="69" t="s">
        <v>229</v>
      </c>
      <c r="O263" s="69" t="s">
        <v>229</v>
      </c>
      <c r="P263" s="69" t="s">
        <v>229</v>
      </c>
      <c r="Q263" s="69" t="s">
        <v>229</v>
      </c>
      <c r="R263" s="69" t="s">
        <v>229</v>
      </c>
      <c r="S263" s="69" t="s">
        <v>229</v>
      </c>
      <c r="T263" s="70" t="s">
        <v>229</v>
      </c>
      <c r="U263" s="71" t="s">
        <v>229</v>
      </c>
      <c r="V263" s="72" t="s">
        <v>229</v>
      </c>
      <c r="W263" s="73" t="s">
        <v>229</v>
      </c>
      <c r="X263" s="72" t="s">
        <v>229</v>
      </c>
      <c r="Y263" s="70" t="s">
        <v>229</v>
      </c>
      <c r="Z263" s="73" t="s">
        <v>229</v>
      </c>
    </row>
    <row r="264" ht="15.75" customHeight="1">
      <c r="A264" s="87"/>
      <c r="B264" s="88"/>
      <c r="C264" s="88"/>
      <c r="D264" s="87"/>
      <c r="E264" s="87"/>
      <c r="F264" s="87"/>
      <c r="G264" s="85"/>
      <c r="H264" s="85"/>
      <c r="I264" s="86"/>
      <c r="J264" s="86"/>
      <c r="K264" s="83"/>
      <c r="L264" s="87"/>
      <c r="M264" s="79"/>
      <c r="N264" s="69" t="s">
        <v>229</v>
      </c>
      <c r="O264" s="69" t="s">
        <v>229</v>
      </c>
      <c r="P264" s="69" t="s">
        <v>229</v>
      </c>
      <c r="Q264" s="69" t="s">
        <v>229</v>
      </c>
      <c r="R264" s="69" t="s">
        <v>229</v>
      </c>
      <c r="S264" s="69" t="s">
        <v>229</v>
      </c>
      <c r="T264" s="70" t="s">
        <v>229</v>
      </c>
      <c r="U264" s="71" t="s">
        <v>229</v>
      </c>
      <c r="V264" s="72" t="s">
        <v>229</v>
      </c>
      <c r="W264" s="73" t="s">
        <v>229</v>
      </c>
      <c r="X264" s="72" t="s">
        <v>229</v>
      </c>
      <c r="Y264" s="70" t="s">
        <v>229</v>
      </c>
      <c r="Z264" s="73" t="s">
        <v>229</v>
      </c>
    </row>
    <row r="265" ht="15.75" customHeight="1">
      <c r="A265" s="87"/>
      <c r="B265" s="88"/>
      <c r="C265" s="88"/>
      <c r="D265" s="87"/>
      <c r="E265" s="87"/>
      <c r="F265" s="87"/>
      <c r="G265" s="85"/>
      <c r="H265" s="85"/>
      <c r="I265" s="86"/>
      <c r="J265" s="86"/>
      <c r="K265" s="83"/>
      <c r="L265" s="87"/>
      <c r="M265" s="79"/>
      <c r="N265" s="69" t="s">
        <v>229</v>
      </c>
      <c r="O265" s="69" t="s">
        <v>229</v>
      </c>
      <c r="P265" s="69" t="s">
        <v>229</v>
      </c>
      <c r="Q265" s="69" t="s">
        <v>229</v>
      </c>
      <c r="R265" s="69" t="s">
        <v>229</v>
      </c>
      <c r="S265" s="69" t="s">
        <v>229</v>
      </c>
      <c r="T265" s="70" t="s">
        <v>229</v>
      </c>
      <c r="U265" s="71" t="s">
        <v>229</v>
      </c>
      <c r="V265" s="72" t="s">
        <v>229</v>
      </c>
      <c r="W265" s="73" t="s">
        <v>229</v>
      </c>
      <c r="X265" s="72" t="s">
        <v>229</v>
      </c>
      <c r="Y265" s="70" t="s">
        <v>229</v>
      </c>
      <c r="Z265" s="73" t="s">
        <v>229</v>
      </c>
    </row>
    <row r="266" ht="15.75" customHeight="1">
      <c r="A266" s="87"/>
      <c r="B266" s="88"/>
      <c r="C266" s="88"/>
      <c r="D266" s="87"/>
      <c r="E266" s="87"/>
      <c r="F266" s="87"/>
      <c r="G266" s="85"/>
      <c r="H266" s="85"/>
      <c r="I266" s="86"/>
      <c r="J266" s="86"/>
      <c r="K266" s="83"/>
      <c r="L266" s="87"/>
      <c r="M266" s="79"/>
      <c r="N266" s="69" t="s">
        <v>229</v>
      </c>
      <c r="O266" s="69" t="s">
        <v>229</v>
      </c>
      <c r="P266" s="69" t="s">
        <v>229</v>
      </c>
      <c r="Q266" s="69" t="s">
        <v>229</v>
      </c>
      <c r="R266" s="69" t="s">
        <v>229</v>
      </c>
      <c r="S266" s="69" t="s">
        <v>229</v>
      </c>
      <c r="T266" s="70" t="s">
        <v>229</v>
      </c>
      <c r="U266" s="71" t="s">
        <v>229</v>
      </c>
      <c r="V266" s="72" t="s">
        <v>229</v>
      </c>
      <c r="W266" s="73" t="s">
        <v>229</v>
      </c>
      <c r="X266" s="72" t="s">
        <v>229</v>
      </c>
      <c r="Y266" s="70" t="s">
        <v>229</v>
      </c>
      <c r="Z266" s="73" t="s">
        <v>229</v>
      </c>
    </row>
    <row r="267" ht="15.75" customHeight="1">
      <c r="A267" s="87"/>
      <c r="B267" s="88"/>
      <c r="C267" s="88"/>
      <c r="D267" s="87"/>
      <c r="E267" s="87"/>
      <c r="F267" s="87"/>
      <c r="G267" s="85"/>
      <c r="H267" s="85"/>
      <c r="I267" s="86"/>
      <c r="J267" s="86"/>
      <c r="K267" s="83"/>
      <c r="L267" s="87"/>
      <c r="M267" s="79"/>
      <c r="N267" s="69" t="s">
        <v>229</v>
      </c>
      <c r="O267" s="69" t="s">
        <v>229</v>
      </c>
      <c r="P267" s="69" t="s">
        <v>229</v>
      </c>
      <c r="Q267" s="69" t="s">
        <v>229</v>
      </c>
      <c r="R267" s="69" t="s">
        <v>229</v>
      </c>
      <c r="S267" s="69" t="s">
        <v>229</v>
      </c>
      <c r="T267" s="70" t="s">
        <v>229</v>
      </c>
      <c r="U267" s="71" t="s">
        <v>229</v>
      </c>
      <c r="V267" s="72" t="s">
        <v>229</v>
      </c>
      <c r="W267" s="73" t="s">
        <v>229</v>
      </c>
      <c r="X267" s="72" t="s">
        <v>229</v>
      </c>
      <c r="Y267" s="70" t="s">
        <v>229</v>
      </c>
      <c r="Z267" s="73" t="s">
        <v>229</v>
      </c>
    </row>
    <row r="268" ht="15.75" customHeight="1">
      <c r="A268" s="87"/>
      <c r="B268" s="88"/>
      <c r="C268" s="88"/>
      <c r="D268" s="87"/>
      <c r="E268" s="87"/>
      <c r="F268" s="87"/>
      <c r="G268" s="85"/>
      <c r="H268" s="85"/>
      <c r="I268" s="86"/>
      <c r="J268" s="86"/>
      <c r="K268" s="83"/>
      <c r="L268" s="87"/>
      <c r="M268" s="79"/>
      <c r="N268" s="69" t="s">
        <v>229</v>
      </c>
      <c r="O268" s="69" t="s">
        <v>229</v>
      </c>
      <c r="P268" s="69" t="s">
        <v>229</v>
      </c>
      <c r="Q268" s="69" t="s">
        <v>229</v>
      </c>
      <c r="R268" s="69" t="s">
        <v>229</v>
      </c>
      <c r="S268" s="69" t="s">
        <v>229</v>
      </c>
      <c r="T268" s="70" t="s">
        <v>229</v>
      </c>
      <c r="U268" s="71" t="s">
        <v>229</v>
      </c>
      <c r="V268" s="72" t="s">
        <v>229</v>
      </c>
      <c r="W268" s="73" t="s">
        <v>229</v>
      </c>
      <c r="X268" s="72" t="s">
        <v>229</v>
      </c>
      <c r="Y268" s="70" t="s">
        <v>229</v>
      </c>
      <c r="Z268" s="73" t="s">
        <v>229</v>
      </c>
    </row>
    <row r="269" ht="15.75" customHeight="1">
      <c r="A269" s="87"/>
      <c r="B269" s="88"/>
      <c r="C269" s="88"/>
      <c r="D269" s="87"/>
      <c r="E269" s="87"/>
      <c r="F269" s="87"/>
      <c r="G269" s="85"/>
      <c r="H269" s="85"/>
      <c r="I269" s="86"/>
      <c r="J269" s="86"/>
      <c r="K269" s="83"/>
      <c r="L269" s="87"/>
      <c r="M269" s="79"/>
      <c r="N269" s="69" t="s">
        <v>229</v>
      </c>
      <c r="O269" s="69" t="s">
        <v>229</v>
      </c>
      <c r="P269" s="69" t="s">
        <v>229</v>
      </c>
      <c r="Q269" s="69" t="s">
        <v>229</v>
      </c>
      <c r="R269" s="69" t="s">
        <v>229</v>
      </c>
      <c r="S269" s="69" t="s">
        <v>229</v>
      </c>
      <c r="T269" s="70" t="s">
        <v>229</v>
      </c>
      <c r="U269" s="71" t="s">
        <v>229</v>
      </c>
      <c r="V269" s="72" t="s">
        <v>229</v>
      </c>
      <c r="W269" s="73" t="s">
        <v>229</v>
      </c>
      <c r="X269" s="72" t="s">
        <v>229</v>
      </c>
      <c r="Y269" s="70" t="s">
        <v>229</v>
      </c>
      <c r="Z269" s="73" t="s">
        <v>229</v>
      </c>
    </row>
    <row r="270" ht="15.75" customHeight="1">
      <c r="A270" s="87"/>
      <c r="B270" s="88"/>
      <c r="C270" s="88"/>
      <c r="D270" s="87"/>
      <c r="E270" s="87"/>
      <c r="F270" s="87"/>
      <c r="G270" s="85"/>
      <c r="H270" s="85"/>
      <c r="I270" s="86"/>
      <c r="J270" s="86"/>
      <c r="K270" s="83"/>
      <c r="L270" s="87"/>
      <c r="M270" s="79"/>
      <c r="N270" s="69" t="s">
        <v>229</v>
      </c>
      <c r="O270" s="69" t="s">
        <v>229</v>
      </c>
      <c r="P270" s="69" t="s">
        <v>229</v>
      </c>
      <c r="Q270" s="69" t="s">
        <v>229</v>
      </c>
      <c r="R270" s="69" t="s">
        <v>229</v>
      </c>
      <c r="S270" s="69" t="s">
        <v>229</v>
      </c>
      <c r="T270" s="70" t="s">
        <v>229</v>
      </c>
      <c r="U270" s="71" t="s">
        <v>229</v>
      </c>
      <c r="V270" s="72" t="s">
        <v>229</v>
      </c>
      <c r="W270" s="73" t="s">
        <v>229</v>
      </c>
      <c r="X270" s="72" t="s">
        <v>229</v>
      </c>
      <c r="Y270" s="70" t="s">
        <v>229</v>
      </c>
      <c r="Z270" s="73" t="s">
        <v>229</v>
      </c>
    </row>
    <row r="271" ht="15.75" customHeight="1">
      <c r="A271" s="87"/>
      <c r="B271" s="88"/>
      <c r="C271" s="88"/>
      <c r="D271" s="87"/>
      <c r="E271" s="87"/>
      <c r="F271" s="87"/>
      <c r="G271" s="85"/>
      <c r="H271" s="85"/>
      <c r="I271" s="86"/>
      <c r="J271" s="86"/>
      <c r="K271" s="83"/>
      <c r="L271" s="87"/>
      <c r="M271" s="79"/>
      <c r="N271" s="69" t="s">
        <v>229</v>
      </c>
      <c r="O271" s="69" t="s">
        <v>229</v>
      </c>
      <c r="P271" s="69" t="s">
        <v>229</v>
      </c>
      <c r="Q271" s="69" t="s">
        <v>229</v>
      </c>
      <c r="R271" s="69" t="s">
        <v>229</v>
      </c>
      <c r="S271" s="69" t="s">
        <v>229</v>
      </c>
      <c r="T271" s="70" t="s">
        <v>229</v>
      </c>
      <c r="U271" s="71" t="s">
        <v>229</v>
      </c>
      <c r="V271" s="72" t="s">
        <v>229</v>
      </c>
      <c r="W271" s="73" t="s">
        <v>229</v>
      </c>
      <c r="X271" s="72" t="s">
        <v>229</v>
      </c>
      <c r="Y271" s="70" t="s">
        <v>229</v>
      </c>
      <c r="Z271" s="73" t="s">
        <v>229</v>
      </c>
    </row>
    <row r="272" ht="15.75" customHeight="1">
      <c r="A272" s="87"/>
      <c r="B272" s="88"/>
      <c r="C272" s="88"/>
      <c r="D272" s="87"/>
      <c r="E272" s="87"/>
      <c r="F272" s="87"/>
      <c r="G272" s="85"/>
      <c r="H272" s="85"/>
      <c r="I272" s="86"/>
      <c r="J272" s="86"/>
      <c r="K272" s="83"/>
      <c r="L272" s="87"/>
      <c r="M272" s="79"/>
      <c r="N272" s="69" t="s">
        <v>229</v>
      </c>
      <c r="O272" s="69" t="s">
        <v>229</v>
      </c>
      <c r="P272" s="69" t="s">
        <v>229</v>
      </c>
      <c r="Q272" s="69" t="s">
        <v>229</v>
      </c>
      <c r="R272" s="69" t="s">
        <v>229</v>
      </c>
      <c r="S272" s="69" t="s">
        <v>229</v>
      </c>
      <c r="T272" s="70" t="s">
        <v>229</v>
      </c>
      <c r="U272" s="71" t="s">
        <v>229</v>
      </c>
      <c r="V272" s="72" t="s">
        <v>229</v>
      </c>
      <c r="W272" s="73" t="s">
        <v>229</v>
      </c>
      <c r="X272" s="72" t="s">
        <v>229</v>
      </c>
      <c r="Y272" s="70" t="s">
        <v>229</v>
      </c>
      <c r="Z272" s="73" t="s">
        <v>229</v>
      </c>
    </row>
    <row r="273" ht="15.75" customHeight="1">
      <c r="A273" s="87"/>
      <c r="B273" s="88"/>
      <c r="C273" s="88"/>
      <c r="D273" s="87"/>
      <c r="E273" s="87"/>
      <c r="F273" s="87"/>
      <c r="G273" s="85"/>
      <c r="H273" s="85"/>
      <c r="I273" s="86"/>
      <c r="J273" s="86"/>
      <c r="K273" s="83"/>
      <c r="L273" s="87"/>
      <c r="M273" s="79"/>
      <c r="N273" s="69" t="s">
        <v>229</v>
      </c>
      <c r="O273" s="69" t="s">
        <v>229</v>
      </c>
      <c r="P273" s="69" t="s">
        <v>229</v>
      </c>
      <c r="Q273" s="69" t="s">
        <v>229</v>
      </c>
      <c r="R273" s="69" t="s">
        <v>229</v>
      </c>
      <c r="S273" s="69" t="s">
        <v>229</v>
      </c>
      <c r="T273" s="70" t="s">
        <v>229</v>
      </c>
      <c r="U273" s="71" t="s">
        <v>229</v>
      </c>
      <c r="V273" s="72" t="s">
        <v>229</v>
      </c>
      <c r="W273" s="73" t="s">
        <v>229</v>
      </c>
      <c r="X273" s="72" t="s">
        <v>229</v>
      </c>
      <c r="Y273" s="70" t="s">
        <v>229</v>
      </c>
      <c r="Z273" s="73" t="s">
        <v>229</v>
      </c>
    </row>
    <row r="274" ht="15.75" customHeight="1">
      <c r="A274" s="87"/>
      <c r="B274" s="88"/>
      <c r="C274" s="88"/>
      <c r="D274" s="87"/>
      <c r="E274" s="87"/>
      <c r="F274" s="87"/>
      <c r="G274" s="85"/>
      <c r="H274" s="85"/>
      <c r="I274" s="86"/>
      <c r="J274" s="86"/>
      <c r="K274" s="83"/>
      <c r="L274" s="87"/>
      <c r="M274" s="79"/>
      <c r="N274" s="69" t="s">
        <v>229</v>
      </c>
      <c r="O274" s="69" t="s">
        <v>229</v>
      </c>
      <c r="P274" s="69" t="s">
        <v>229</v>
      </c>
      <c r="Q274" s="69" t="s">
        <v>229</v>
      </c>
      <c r="R274" s="69" t="s">
        <v>229</v>
      </c>
      <c r="S274" s="69" t="s">
        <v>229</v>
      </c>
      <c r="T274" s="70" t="s">
        <v>229</v>
      </c>
      <c r="U274" s="71" t="s">
        <v>229</v>
      </c>
      <c r="V274" s="72" t="s">
        <v>229</v>
      </c>
      <c r="W274" s="73" t="s">
        <v>229</v>
      </c>
      <c r="X274" s="72" t="s">
        <v>229</v>
      </c>
      <c r="Y274" s="70" t="s">
        <v>229</v>
      </c>
      <c r="Z274" s="73" t="s">
        <v>229</v>
      </c>
    </row>
    <row r="275" ht="15.75" customHeight="1">
      <c r="A275" s="87"/>
      <c r="B275" s="88"/>
      <c r="C275" s="88"/>
      <c r="D275" s="87"/>
      <c r="E275" s="87"/>
      <c r="F275" s="87"/>
      <c r="G275" s="85"/>
      <c r="H275" s="85"/>
      <c r="I275" s="86"/>
      <c r="J275" s="86"/>
      <c r="K275" s="83"/>
      <c r="L275" s="87"/>
      <c r="M275" s="79"/>
      <c r="N275" s="69" t="s">
        <v>229</v>
      </c>
      <c r="O275" s="69" t="s">
        <v>229</v>
      </c>
      <c r="P275" s="69" t="s">
        <v>229</v>
      </c>
      <c r="Q275" s="69" t="s">
        <v>229</v>
      </c>
      <c r="R275" s="69" t="s">
        <v>229</v>
      </c>
      <c r="S275" s="69" t="s">
        <v>229</v>
      </c>
      <c r="T275" s="70" t="s">
        <v>229</v>
      </c>
      <c r="U275" s="71" t="s">
        <v>229</v>
      </c>
      <c r="V275" s="72" t="s">
        <v>229</v>
      </c>
      <c r="W275" s="73" t="s">
        <v>229</v>
      </c>
      <c r="X275" s="72" t="s">
        <v>229</v>
      </c>
      <c r="Y275" s="70" t="s">
        <v>229</v>
      </c>
      <c r="Z275" s="73" t="s">
        <v>229</v>
      </c>
    </row>
    <row r="276" ht="15.75" customHeight="1">
      <c r="A276" s="87"/>
      <c r="B276" s="88"/>
      <c r="C276" s="88"/>
      <c r="D276" s="87"/>
      <c r="E276" s="87"/>
      <c r="F276" s="87"/>
      <c r="G276" s="85"/>
      <c r="H276" s="85"/>
      <c r="I276" s="86"/>
      <c r="J276" s="86"/>
      <c r="K276" s="83"/>
      <c r="L276" s="87"/>
      <c r="M276" s="79"/>
      <c r="N276" s="69" t="s">
        <v>229</v>
      </c>
      <c r="O276" s="69" t="s">
        <v>229</v>
      </c>
      <c r="P276" s="69" t="s">
        <v>229</v>
      </c>
      <c r="Q276" s="69" t="s">
        <v>229</v>
      </c>
      <c r="R276" s="69" t="s">
        <v>229</v>
      </c>
      <c r="S276" s="69" t="s">
        <v>229</v>
      </c>
      <c r="T276" s="70" t="s">
        <v>229</v>
      </c>
      <c r="U276" s="71" t="s">
        <v>229</v>
      </c>
      <c r="V276" s="72" t="s">
        <v>229</v>
      </c>
      <c r="W276" s="73" t="s">
        <v>229</v>
      </c>
      <c r="X276" s="72" t="s">
        <v>229</v>
      </c>
      <c r="Y276" s="70" t="s">
        <v>229</v>
      </c>
      <c r="Z276" s="73" t="s">
        <v>229</v>
      </c>
    </row>
    <row r="277" ht="15.75" customHeight="1">
      <c r="A277" s="87"/>
      <c r="B277" s="88"/>
      <c r="C277" s="88"/>
      <c r="D277" s="87"/>
      <c r="E277" s="87"/>
      <c r="F277" s="87"/>
      <c r="G277" s="85"/>
      <c r="H277" s="85"/>
      <c r="I277" s="86"/>
      <c r="J277" s="86"/>
      <c r="K277" s="83"/>
      <c r="L277" s="87"/>
      <c r="M277" s="79"/>
      <c r="N277" s="69" t="s">
        <v>229</v>
      </c>
      <c r="O277" s="69" t="s">
        <v>229</v>
      </c>
      <c r="P277" s="69" t="s">
        <v>229</v>
      </c>
      <c r="Q277" s="69" t="s">
        <v>229</v>
      </c>
      <c r="R277" s="69" t="s">
        <v>229</v>
      </c>
      <c r="S277" s="69" t="s">
        <v>229</v>
      </c>
      <c r="T277" s="70" t="s">
        <v>229</v>
      </c>
      <c r="U277" s="71" t="s">
        <v>229</v>
      </c>
      <c r="V277" s="72" t="s">
        <v>229</v>
      </c>
      <c r="W277" s="73" t="s">
        <v>229</v>
      </c>
      <c r="X277" s="72" t="s">
        <v>229</v>
      </c>
      <c r="Y277" s="70" t="s">
        <v>229</v>
      </c>
      <c r="Z277" s="73" t="s">
        <v>229</v>
      </c>
    </row>
    <row r="278" ht="15.75" customHeight="1">
      <c r="A278" s="87"/>
      <c r="B278" s="88"/>
      <c r="C278" s="88"/>
      <c r="D278" s="87"/>
      <c r="E278" s="87"/>
      <c r="F278" s="87"/>
      <c r="G278" s="85"/>
      <c r="H278" s="85"/>
      <c r="I278" s="86"/>
      <c r="J278" s="86"/>
      <c r="K278" s="83"/>
      <c r="L278" s="87"/>
      <c r="M278" s="79"/>
      <c r="N278" s="69" t="s">
        <v>229</v>
      </c>
      <c r="O278" s="69" t="s">
        <v>229</v>
      </c>
      <c r="P278" s="69" t="s">
        <v>229</v>
      </c>
      <c r="Q278" s="69" t="s">
        <v>229</v>
      </c>
      <c r="R278" s="69" t="s">
        <v>229</v>
      </c>
      <c r="S278" s="69" t="s">
        <v>229</v>
      </c>
      <c r="T278" s="70" t="s">
        <v>229</v>
      </c>
      <c r="U278" s="71" t="s">
        <v>229</v>
      </c>
      <c r="V278" s="72" t="s">
        <v>229</v>
      </c>
      <c r="W278" s="73" t="s">
        <v>229</v>
      </c>
      <c r="X278" s="72" t="s">
        <v>229</v>
      </c>
      <c r="Y278" s="70" t="s">
        <v>229</v>
      </c>
      <c r="Z278" s="73" t="s">
        <v>229</v>
      </c>
    </row>
    <row r="279" ht="15.75" customHeight="1">
      <c r="A279" s="87"/>
      <c r="B279" s="88"/>
      <c r="C279" s="88"/>
      <c r="D279" s="87"/>
      <c r="E279" s="87"/>
      <c r="F279" s="87"/>
      <c r="G279" s="85"/>
      <c r="H279" s="85"/>
      <c r="I279" s="86"/>
      <c r="J279" s="86"/>
      <c r="K279" s="83"/>
      <c r="L279" s="87"/>
      <c r="M279" s="79"/>
      <c r="N279" s="69" t="s">
        <v>229</v>
      </c>
      <c r="O279" s="69" t="s">
        <v>229</v>
      </c>
      <c r="P279" s="69" t="s">
        <v>229</v>
      </c>
      <c r="Q279" s="69" t="s">
        <v>229</v>
      </c>
      <c r="R279" s="69" t="s">
        <v>229</v>
      </c>
      <c r="S279" s="69" t="s">
        <v>229</v>
      </c>
      <c r="T279" s="70" t="s">
        <v>229</v>
      </c>
      <c r="U279" s="71" t="s">
        <v>229</v>
      </c>
      <c r="V279" s="72" t="s">
        <v>229</v>
      </c>
      <c r="W279" s="73" t="s">
        <v>229</v>
      </c>
      <c r="X279" s="72" t="s">
        <v>229</v>
      </c>
      <c r="Y279" s="70" t="s">
        <v>229</v>
      </c>
      <c r="Z279" s="73" t="s">
        <v>229</v>
      </c>
    </row>
    <row r="280" ht="15.75" customHeight="1">
      <c r="A280" s="87"/>
      <c r="B280" s="88"/>
      <c r="C280" s="88"/>
      <c r="D280" s="87"/>
      <c r="E280" s="87"/>
      <c r="F280" s="87"/>
      <c r="G280" s="85"/>
      <c r="H280" s="85"/>
      <c r="I280" s="86"/>
      <c r="J280" s="86"/>
      <c r="K280" s="83"/>
      <c r="L280" s="87"/>
      <c r="M280" s="79"/>
      <c r="N280" s="69" t="s">
        <v>229</v>
      </c>
      <c r="O280" s="69" t="s">
        <v>229</v>
      </c>
      <c r="P280" s="69" t="s">
        <v>229</v>
      </c>
      <c r="Q280" s="69" t="s">
        <v>229</v>
      </c>
      <c r="R280" s="69" t="s">
        <v>229</v>
      </c>
      <c r="S280" s="69" t="s">
        <v>229</v>
      </c>
      <c r="T280" s="70" t="s">
        <v>229</v>
      </c>
      <c r="U280" s="71" t="s">
        <v>229</v>
      </c>
      <c r="V280" s="72" t="s">
        <v>229</v>
      </c>
      <c r="W280" s="73" t="s">
        <v>229</v>
      </c>
      <c r="X280" s="72" t="s">
        <v>229</v>
      </c>
      <c r="Y280" s="70" t="s">
        <v>229</v>
      </c>
      <c r="Z280" s="73" t="s">
        <v>229</v>
      </c>
    </row>
    <row r="281" ht="15.75" customHeight="1">
      <c r="A281" s="87"/>
      <c r="B281" s="88"/>
      <c r="C281" s="88"/>
      <c r="D281" s="87"/>
      <c r="E281" s="87"/>
      <c r="F281" s="87"/>
      <c r="G281" s="85"/>
      <c r="H281" s="85"/>
      <c r="I281" s="86"/>
      <c r="J281" s="86"/>
      <c r="K281" s="83"/>
      <c r="L281" s="87"/>
      <c r="M281" s="79"/>
      <c r="N281" s="69" t="s">
        <v>229</v>
      </c>
      <c r="O281" s="69" t="s">
        <v>229</v>
      </c>
      <c r="P281" s="69" t="s">
        <v>229</v>
      </c>
      <c r="Q281" s="69" t="s">
        <v>229</v>
      </c>
      <c r="R281" s="69" t="s">
        <v>229</v>
      </c>
      <c r="S281" s="69" t="s">
        <v>229</v>
      </c>
      <c r="T281" s="70" t="s">
        <v>229</v>
      </c>
      <c r="U281" s="71" t="s">
        <v>229</v>
      </c>
      <c r="V281" s="72" t="s">
        <v>229</v>
      </c>
      <c r="W281" s="73" t="s">
        <v>229</v>
      </c>
      <c r="X281" s="72" t="s">
        <v>229</v>
      </c>
      <c r="Y281" s="70" t="s">
        <v>229</v>
      </c>
      <c r="Z281" s="73" t="s">
        <v>229</v>
      </c>
    </row>
    <row r="282" ht="15.75" customHeight="1">
      <c r="A282" s="87"/>
      <c r="B282" s="88"/>
      <c r="C282" s="88"/>
      <c r="D282" s="87"/>
      <c r="E282" s="87"/>
      <c r="F282" s="87"/>
      <c r="G282" s="85"/>
      <c r="H282" s="85"/>
      <c r="I282" s="86"/>
      <c r="J282" s="86"/>
      <c r="K282" s="83"/>
      <c r="L282" s="87"/>
      <c r="M282" s="79"/>
      <c r="N282" s="69" t="s">
        <v>229</v>
      </c>
      <c r="O282" s="69" t="s">
        <v>229</v>
      </c>
      <c r="P282" s="69" t="s">
        <v>229</v>
      </c>
      <c r="Q282" s="69" t="s">
        <v>229</v>
      </c>
      <c r="R282" s="69" t="s">
        <v>229</v>
      </c>
      <c r="S282" s="69" t="s">
        <v>229</v>
      </c>
      <c r="T282" s="70" t="s">
        <v>229</v>
      </c>
      <c r="U282" s="71" t="s">
        <v>229</v>
      </c>
      <c r="V282" s="72" t="s">
        <v>229</v>
      </c>
      <c r="W282" s="73" t="s">
        <v>229</v>
      </c>
      <c r="X282" s="72" t="s">
        <v>229</v>
      </c>
      <c r="Y282" s="70" t="s">
        <v>229</v>
      </c>
      <c r="Z282" s="73" t="s">
        <v>229</v>
      </c>
    </row>
    <row r="283" ht="15.75" customHeight="1">
      <c r="A283" s="87"/>
      <c r="B283" s="88"/>
      <c r="C283" s="88"/>
      <c r="D283" s="87"/>
      <c r="E283" s="87"/>
      <c r="F283" s="87"/>
      <c r="G283" s="85"/>
      <c r="H283" s="85"/>
      <c r="I283" s="86"/>
      <c r="J283" s="86"/>
      <c r="K283" s="83"/>
      <c r="L283" s="87"/>
      <c r="M283" s="79"/>
      <c r="N283" s="69" t="s">
        <v>229</v>
      </c>
      <c r="O283" s="69" t="s">
        <v>229</v>
      </c>
      <c r="P283" s="69" t="s">
        <v>229</v>
      </c>
      <c r="Q283" s="69" t="s">
        <v>229</v>
      </c>
      <c r="R283" s="69" t="s">
        <v>229</v>
      </c>
      <c r="S283" s="69" t="s">
        <v>229</v>
      </c>
      <c r="T283" s="70" t="s">
        <v>229</v>
      </c>
      <c r="U283" s="71" t="s">
        <v>229</v>
      </c>
      <c r="V283" s="72" t="s">
        <v>229</v>
      </c>
      <c r="W283" s="73" t="s">
        <v>229</v>
      </c>
      <c r="X283" s="72" t="s">
        <v>229</v>
      </c>
      <c r="Y283" s="70" t="s">
        <v>229</v>
      </c>
      <c r="Z283" s="73" t="s">
        <v>229</v>
      </c>
    </row>
    <row r="284" ht="15.75" customHeight="1">
      <c r="A284" s="87"/>
      <c r="B284" s="88"/>
      <c r="C284" s="88"/>
      <c r="D284" s="87"/>
      <c r="E284" s="87"/>
      <c r="F284" s="87"/>
      <c r="G284" s="85"/>
      <c r="H284" s="85"/>
      <c r="I284" s="86"/>
      <c r="J284" s="86"/>
      <c r="K284" s="83"/>
      <c r="L284" s="87"/>
      <c r="M284" s="79"/>
      <c r="N284" s="69" t="s">
        <v>229</v>
      </c>
      <c r="O284" s="69" t="s">
        <v>229</v>
      </c>
      <c r="P284" s="69" t="s">
        <v>229</v>
      </c>
      <c r="Q284" s="69" t="s">
        <v>229</v>
      </c>
      <c r="R284" s="69" t="s">
        <v>229</v>
      </c>
      <c r="S284" s="69" t="s">
        <v>229</v>
      </c>
      <c r="T284" s="70" t="s">
        <v>229</v>
      </c>
      <c r="U284" s="71" t="s">
        <v>229</v>
      </c>
      <c r="V284" s="72" t="s">
        <v>229</v>
      </c>
      <c r="W284" s="73" t="s">
        <v>229</v>
      </c>
      <c r="X284" s="72" t="s">
        <v>229</v>
      </c>
      <c r="Y284" s="70" t="s">
        <v>229</v>
      </c>
      <c r="Z284" s="73" t="s">
        <v>229</v>
      </c>
    </row>
    <row r="285" ht="15.75" customHeight="1">
      <c r="A285" s="87"/>
      <c r="B285" s="88"/>
      <c r="C285" s="88"/>
      <c r="D285" s="87"/>
      <c r="E285" s="87"/>
      <c r="F285" s="87"/>
      <c r="G285" s="85"/>
      <c r="H285" s="85"/>
      <c r="I285" s="86"/>
      <c r="J285" s="86"/>
      <c r="K285" s="83"/>
      <c r="L285" s="87"/>
      <c r="M285" s="79"/>
      <c r="N285" s="69" t="s">
        <v>229</v>
      </c>
      <c r="O285" s="69" t="s">
        <v>229</v>
      </c>
      <c r="P285" s="69" t="s">
        <v>229</v>
      </c>
      <c r="Q285" s="69" t="s">
        <v>229</v>
      </c>
      <c r="R285" s="69" t="s">
        <v>229</v>
      </c>
      <c r="S285" s="69" t="s">
        <v>229</v>
      </c>
      <c r="T285" s="70" t="s">
        <v>229</v>
      </c>
      <c r="U285" s="71" t="s">
        <v>229</v>
      </c>
      <c r="V285" s="72" t="s">
        <v>229</v>
      </c>
      <c r="W285" s="73" t="s">
        <v>229</v>
      </c>
      <c r="X285" s="72" t="s">
        <v>229</v>
      </c>
      <c r="Y285" s="70" t="s">
        <v>229</v>
      </c>
      <c r="Z285" s="73" t="s">
        <v>229</v>
      </c>
    </row>
    <row r="286" ht="15.75" customHeight="1">
      <c r="A286" s="87"/>
      <c r="B286" s="88"/>
      <c r="C286" s="88"/>
      <c r="D286" s="87"/>
      <c r="E286" s="87"/>
      <c r="F286" s="87"/>
      <c r="G286" s="85"/>
      <c r="H286" s="85"/>
      <c r="I286" s="86"/>
      <c r="J286" s="86"/>
      <c r="K286" s="83"/>
      <c r="L286" s="87"/>
      <c r="M286" s="79"/>
      <c r="N286" s="69" t="s">
        <v>229</v>
      </c>
      <c r="O286" s="69" t="s">
        <v>229</v>
      </c>
      <c r="P286" s="69" t="s">
        <v>229</v>
      </c>
      <c r="Q286" s="69" t="s">
        <v>229</v>
      </c>
      <c r="R286" s="69" t="s">
        <v>229</v>
      </c>
      <c r="S286" s="69" t="s">
        <v>229</v>
      </c>
      <c r="T286" s="70" t="s">
        <v>229</v>
      </c>
      <c r="U286" s="71" t="s">
        <v>229</v>
      </c>
      <c r="V286" s="72" t="s">
        <v>229</v>
      </c>
      <c r="W286" s="73" t="s">
        <v>229</v>
      </c>
      <c r="X286" s="72" t="s">
        <v>229</v>
      </c>
      <c r="Y286" s="70" t="s">
        <v>229</v>
      </c>
      <c r="Z286" s="73" t="s">
        <v>229</v>
      </c>
    </row>
    <row r="287" ht="15.75" customHeight="1">
      <c r="A287" s="87"/>
      <c r="B287" s="88"/>
      <c r="C287" s="88"/>
      <c r="D287" s="87"/>
      <c r="E287" s="87"/>
      <c r="F287" s="87"/>
      <c r="G287" s="85"/>
      <c r="H287" s="85"/>
      <c r="I287" s="86"/>
      <c r="J287" s="86"/>
      <c r="K287" s="83"/>
      <c r="L287" s="87"/>
      <c r="M287" s="79"/>
      <c r="N287" s="69" t="s">
        <v>229</v>
      </c>
      <c r="O287" s="69" t="s">
        <v>229</v>
      </c>
      <c r="P287" s="69" t="s">
        <v>229</v>
      </c>
      <c r="Q287" s="69" t="s">
        <v>229</v>
      </c>
      <c r="R287" s="69" t="s">
        <v>229</v>
      </c>
      <c r="S287" s="69" t="s">
        <v>229</v>
      </c>
      <c r="T287" s="70" t="s">
        <v>229</v>
      </c>
      <c r="U287" s="71" t="s">
        <v>229</v>
      </c>
      <c r="V287" s="72" t="s">
        <v>229</v>
      </c>
      <c r="W287" s="73" t="s">
        <v>229</v>
      </c>
      <c r="X287" s="72" t="s">
        <v>229</v>
      </c>
      <c r="Y287" s="70" t="s">
        <v>229</v>
      </c>
      <c r="Z287" s="73" t="s">
        <v>229</v>
      </c>
    </row>
    <row r="288" ht="15.75" customHeight="1">
      <c r="A288" s="87"/>
      <c r="B288" s="88"/>
      <c r="C288" s="88"/>
      <c r="D288" s="87"/>
      <c r="E288" s="87"/>
      <c r="F288" s="87"/>
      <c r="G288" s="85"/>
      <c r="H288" s="85"/>
      <c r="I288" s="86"/>
      <c r="J288" s="86"/>
      <c r="K288" s="83"/>
      <c r="L288" s="87"/>
      <c r="M288" s="79"/>
      <c r="N288" s="69" t="s">
        <v>229</v>
      </c>
      <c r="O288" s="69" t="s">
        <v>229</v>
      </c>
      <c r="P288" s="69" t="s">
        <v>229</v>
      </c>
      <c r="Q288" s="69" t="s">
        <v>229</v>
      </c>
      <c r="R288" s="69" t="s">
        <v>229</v>
      </c>
      <c r="S288" s="69" t="s">
        <v>229</v>
      </c>
      <c r="T288" s="70" t="s">
        <v>229</v>
      </c>
      <c r="U288" s="71" t="s">
        <v>229</v>
      </c>
      <c r="V288" s="72" t="s">
        <v>229</v>
      </c>
      <c r="W288" s="73" t="s">
        <v>229</v>
      </c>
      <c r="X288" s="72" t="s">
        <v>229</v>
      </c>
      <c r="Y288" s="70" t="s">
        <v>229</v>
      </c>
      <c r="Z288" s="73" t="s">
        <v>229</v>
      </c>
    </row>
    <row r="289" ht="15.75" customHeight="1">
      <c r="A289" s="87"/>
      <c r="B289" s="88"/>
      <c r="C289" s="88"/>
      <c r="D289" s="87"/>
      <c r="E289" s="87"/>
      <c r="F289" s="87"/>
      <c r="G289" s="85"/>
      <c r="H289" s="85"/>
      <c r="I289" s="86"/>
      <c r="J289" s="86"/>
      <c r="K289" s="83"/>
      <c r="L289" s="87"/>
      <c r="M289" s="79"/>
      <c r="N289" s="69" t="s">
        <v>229</v>
      </c>
      <c r="O289" s="69" t="s">
        <v>229</v>
      </c>
      <c r="P289" s="69" t="s">
        <v>229</v>
      </c>
      <c r="Q289" s="69" t="s">
        <v>229</v>
      </c>
      <c r="R289" s="69" t="s">
        <v>229</v>
      </c>
      <c r="S289" s="69" t="s">
        <v>229</v>
      </c>
      <c r="T289" s="70" t="s">
        <v>229</v>
      </c>
      <c r="U289" s="71" t="s">
        <v>229</v>
      </c>
      <c r="V289" s="72" t="s">
        <v>229</v>
      </c>
      <c r="W289" s="73" t="s">
        <v>229</v>
      </c>
      <c r="X289" s="72" t="s">
        <v>229</v>
      </c>
      <c r="Y289" s="70" t="s">
        <v>229</v>
      </c>
      <c r="Z289" s="73" t="s">
        <v>229</v>
      </c>
    </row>
    <row r="290" ht="15.75" customHeight="1">
      <c r="A290" s="87"/>
      <c r="B290" s="88"/>
      <c r="C290" s="88"/>
      <c r="D290" s="87"/>
      <c r="E290" s="87"/>
      <c r="F290" s="87"/>
      <c r="G290" s="85"/>
      <c r="H290" s="85"/>
      <c r="I290" s="86"/>
      <c r="J290" s="86"/>
      <c r="K290" s="83"/>
      <c r="L290" s="87"/>
      <c r="M290" s="79"/>
      <c r="N290" s="69" t="s">
        <v>229</v>
      </c>
      <c r="O290" s="69" t="s">
        <v>229</v>
      </c>
      <c r="P290" s="69" t="s">
        <v>229</v>
      </c>
      <c r="Q290" s="69" t="s">
        <v>229</v>
      </c>
      <c r="R290" s="69" t="s">
        <v>229</v>
      </c>
      <c r="S290" s="69" t="s">
        <v>229</v>
      </c>
      <c r="T290" s="70" t="s">
        <v>229</v>
      </c>
      <c r="U290" s="71" t="s">
        <v>229</v>
      </c>
      <c r="V290" s="72" t="s">
        <v>229</v>
      </c>
      <c r="W290" s="73" t="s">
        <v>229</v>
      </c>
      <c r="X290" s="72" t="s">
        <v>229</v>
      </c>
      <c r="Y290" s="70" t="s">
        <v>229</v>
      </c>
      <c r="Z290" s="73" t="s">
        <v>229</v>
      </c>
    </row>
    <row r="291" ht="15.75" customHeight="1">
      <c r="A291" s="87"/>
      <c r="B291" s="88"/>
      <c r="C291" s="88"/>
      <c r="D291" s="87"/>
      <c r="E291" s="87"/>
      <c r="F291" s="87"/>
      <c r="G291" s="85"/>
      <c r="H291" s="85"/>
      <c r="I291" s="86"/>
      <c r="J291" s="86"/>
      <c r="K291" s="83"/>
      <c r="L291" s="87"/>
      <c r="M291" s="79"/>
      <c r="N291" s="69" t="s">
        <v>229</v>
      </c>
      <c r="O291" s="69" t="s">
        <v>229</v>
      </c>
      <c r="P291" s="69" t="s">
        <v>229</v>
      </c>
      <c r="Q291" s="69" t="s">
        <v>229</v>
      </c>
      <c r="R291" s="69" t="s">
        <v>229</v>
      </c>
      <c r="S291" s="69" t="s">
        <v>229</v>
      </c>
      <c r="T291" s="70" t="s">
        <v>229</v>
      </c>
      <c r="U291" s="71" t="s">
        <v>229</v>
      </c>
      <c r="V291" s="72" t="s">
        <v>229</v>
      </c>
      <c r="W291" s="73" t="s">
        <v>229</v>
      </c>
      <c r="X291" s="72" t="s">
        <v>229</v>
      </c>
      <c r="Y291" s="70" t="s">
        <v>229</v>
      </c>
      <c r="Z291" s="73" t="s">
        <v>229</v>
      </c>
    </row>
    <row r="292" ht="15.75" customHeight="1">
      <c r="A292" s="87"/>
      <c r="B292" s="88"/>
      <c r="C292" s="88"/>
      <c r="D292" s="87"/>
      <c r="E292" s="87"/>
      <c r="F292" s="87"/>
      <c r="G292" s="85"/>
      <c r="H292" s="85"/>
      <c r="I292" s="86"/>
      <c r="J292" s="86"/>
      <c r="K292" s="83"/>
      <c r="L292" s="87"/>
      <c r="M292" s="79"/>
      <c r="N292" s="69" t="s">
        <v>229</v>
      </c>
      <c r="O292" s="69" t="s">
        <v>229</v>
      </c>
      <c r="P292" s="69" t="s">
        <v>229</v>
      </c>
      <c r="Q292" s="69" t="s">
        <v>229</v>
      </c>
      <c r="R292" s="69" t="s">
        <v>229</v>
      </c>
      <c r="S292" s="69" t="s">
        <v>229</v>
      </c>
      <c r="T292" s="70" t="s">
        <v>229</v>
      </c>
      <c r="U292" s="71" t="s">
        <v>229</v>
      </c>
      <c r="V292" s="72" t="s">
        <v>229</v>
      </c>
      <c r="W292" s="73" t="s">
        <v>229</v>
      </c>
      <c r="X292" s="72" t="s">
        <v>229</v>
      </c>
      <c r="Y292" s="70" t="s">
        <v>229</v>
      </c>
      <c r="Z292" s="73" t="s">
        <v>229</v>
      </c>
    </row>
    <row r="293" ht="15.75" customHeight="1">
      <c r="A293" s="87"/>
      <c r="B293" s="88"/>
      <c r="C293" s="88"/>
      <c r="D293" s="87"/>
      <c r="E293" s="87"/>
      <c r="F293" s="87"/>
      <c r="G293" s="85"/>
      <c r="H293" s="85"/>
      <c r="I293" s="86"/>
      <c r="J293" s="86"/>
      <c r="K293" s="83"/>
      <c r="L293" s="87"/>
      <c r="M293" s="79"/>
      <c r="N293" s="69" t="s">
        <v>229</v>
      </c>
      <c r="O293" s="69" t="s">
        <v>229</v>
      </c>
      <c r="P293" s="69" t="s">
        <v>229</v>
      </c>
      <c r="Q293" s="69" t="s">
        <v>229</v>
      </c>
      <c r="R293" s="69" t="s">
        <v>229</v>
      </c>
      <c r="S293" s="69" t="s">
        <v>229</v>
      </c>
      <c r="T293" s="70" t="s">
        <v>229</v>
      </c>
      <c r="U293" s="71" t="s">
        <v>229</v>
      </c>
      <c r="V293" s="72" t="s">
        <v>229</v>
      </c>
      <c r="W293" s="73" t="s">
        <v>229</v>
      </c>
      <c r="X293" s="72" t="s">
        <v>229</v>
      </c>
      <c r="Y293" s="70" t="s">
        <v>229</v>
      </c>
      <c r="Z293" s="73" t="s">
        <v>229</v>
      </c>
    </row>
    <row r="294" ht="15.75" customHeight="1">
      <c r="A294" s="87"/>
      <c r="B294" s="88"/>
      <c r="C294" s="88"/>
      <c r="D294" s="87"/>
      <c r="E294" s="87"/>
      <c r="F294" s="87"/>
      <c r="G294" s="85"/>
      <c r="H294" s="85"/>
      <c r="I294" s="86"/>
      <c r="J294" s="86"/>
      <c r="K294" s="83"/>
      <c r="L294" s="87"/>
      <c r="M294" s="79"/>
      <c r="N294" s="69" t="s">
        <v>229</v>
      </c>
      <c r="O294" s="69" t="s">
        <v>229</v>
      </c>
      <c r="P294" s="69" t="s">
        <v>229</v>
      </c>
      <c r="Q294" s="69" t="s">
        <v>229</v>
      </c>
      <c r="R294" s="69" t="s">
        <v>229</v>
      </c>
      <c r="S294" s="69" t="s">
        <v>229</v>
      </c>
      <c r="T294" s="70" t="s">
        <v>229</v>
      </c>
      <c r="U294" s="71" t="s">
        <v>229</v>
      </c>
      <c r="V294" s="72" t="s">
        <v>229</v>
      </c>
      <c r="W294" s="73" t="s">
        <v>229</v>
      </c>
      <c r="X294" s="72" t="s">
        <v>229</v>
      </c>
      <c r="Y294" s="70" t="s">
        <v>229</v>
      </c>
      <c r="Z294" s="73" t="s">
        <v>229</v>
      </c>
    </row>
    <row r="295" ht="15.75" customHeight="1">
      <c r="A295" s="87"/>
      <c r="B295" s="88"/>
      <c r="C295" s="88"/>
      <c r="D295" s="87"/>
      <c r="E295" s="87"/>
      <c r="F295" s="87"/>
      <c r="G295" s="85"/>
      <c r="H295" s="85"/>
      <c r="I295" s="86"/>
      <c r="J295" s="86"/>
      <c r="K295" s="83"/>
      <c r="L295" s="87"/>
      <c r="M295" s="79"/>
      <c r="N295" s="69" t="s">
        <v>229</v>
      </c>
      <c r="O295" s="69" t="s">
        <v>229</v>
      </c>
      <c r="P295" s="69" t="s">
        <v>229</v>
      </c>
      <c r="Q295" s="69" t="s">
        <v>229</v>
      </c>
      <c r="R295" s="69" t="s">
        <v>229</v>
      </c>
      <c r="S295" s="69" t="s">
        <v>229</v>
      </c>
      <c r="T295" s="70" t="s">
        <v>229</v>
      </c>
      <c r="U295" s="71" t="s">
        <v>229</v>
      </c>
      <c r="V295" s="72" t="s">
        <v>229</v>
      </c>
      <c r="W295" s="73" t="s">
        <v>229</v>
      </c>
      <c r="X295" s="72" t="s">
        <v>229</v>
      </c>
      <c r="Y295" s="70" t="s">
        <v>229</v>
      </c>
      <c r="Z295" s="73" t="s">
        <v>229</v>
      </c>
    </row>
    <row r="296" ht="15.75" customHeight="1">
      <c r="A296" s="87"/>
      <c r="B296" s="88"/>
      <c r="C296" s="88"/>
      <c r="D296" s="87"/>
      <c r="E296" s="87"/>
      <c r="F296" s="87"/>
      <c r="G296" s="85"/>
      <c r="H296" s="85"/>
      <c r="I296" s="86"/>
      <c r="J296" s="86"/>
      <c r="K296" s="83"/>
      <c r="L296" s="87"/>
      <c r="M296" s="79"/>
      <c r="N296" s="69" t="s">
        <v>229</v>
      </c>
      <c r="O296" s="69" t="s">
        <v>229</v>
      </c>
      <c r="P296" s="69" t="s">
        <v>229</v>
      </c>
      <c r="Q296" s="69" t="s">
        <v>229</v>
      </c>
      <c r="R296" s="69" t="s">
        <v>229</v>
      </c>
      <c r="S296" s="69" t="s">
        <v>229</v>
      </c>
      <c r="T296" s="70" t="s">
        <v>229</v>
      </c>
      <c r="U296" s="71" t="s">
        <v>229</v>
      </c>
      <c r="V296" s="72" t="s">
        <v>229</v>
      </c>
      <c r="W296" s="73" t="s">
        <v>229</v>
      </c>
      <c r="X296" s="72" t="s">
        <v>229</v>
      </c>
      <c r="Y296" s="70" t="s">
        <v>229</v>
      </c>
      <c r="Z296" s="73" t="s">
        <v>229</v>
      </c>
    </row>
    <row r="297" ht="15.75" customHeight="1">
      <c r="A297" s="87"/>
      <c r="B297" s="88"/>
      <c r="C297" s="88"/>
      <c r="D297" s="87"/>
      <c r="E297" s="87"/>
      <c r="F297" s="87"/>
      <c r="G297" s="85"/>
      <c r="H297" s="85"/>
      <c r="I297" s="86"/>
      <c r="J297" s="86"/>
      <c r="K297" s="83"/>
      <c r="L297" s="87"/>
      <c r="M297" s="79"/>
      <c r="N297" s="69" t="s">
        <v>229</v>
      </c>
      <c r="O297" s="69" t="s">
        <v>229</v>
      </c>
      <c r="P297" s="69" t="s">
        <v>229</v>
      </c>
      <c r="Q297" s="69" t="s">
        <v>229</v>
      </c>
      <c r="R297" s="69" t="s">
        <v>229</v>
      </c>
      <c r="S297" s="69" t="s">
        <v>229</v>
      </c>
      <c r="T297" s="70" t="s">
        <v>229</v>
      </c>
      <c r="U297" s="71" t="s">
        <v>229</v>
      </c>
      <c r="V297" s="72" t="s">
        <v>229</v>
      </c>
      <c r="W297" s="73" t="s">
        <v>229</v>
      </c>
      <c r="X297" s="72" t="s">
        <v>229</v>
      </c>
      <c r="Y297" s="70" t="s">
        <v>229</v>
      </c>
      <c r="Z297" s="73" t="s">
        <v>229</v>
      </c>
    </row>
    <row r="298" ht="15.75" customHeight="1">
      <c r="A298" s="87"/>
      <c r="B298" s="88"/>
      <c r="C298" s="88"/>
      <c r="D298" s="87"/>
      <c r="E298" s="87"/>
      <c r="F298" s="87"/>
      <c r="G298" s="85"/>
      <c r="H298" s="85"/>
      <c r="I298" s="86"/>
      <c r="J298" s="86"/>
      <c r="K298" s="83"/>
      <c r="L298" s="87"/>
      <c r="M298" s="79"/>
      <c r="N298" s="69" t="s">
        <v>229</v>
      </c>
      <c r="O298" s="69" t="s">
        <v>229</v>
      </c>
      <c r="P298" s="69" t="s">
        <v>229</v>
      </c>
      <c r="Q298" s="69" t="s">
        <v>229</v>
      </c>
      <c r="R298" s="69" t="s">
        <v>229</v>
      </c>
      <c r="S298" s="69" t="s">
        <v>229</v>
      </c>
      <c r="T298" s="70" t="s">
        <v>229</v>
      </c>
      <c r="U298" s="71" t="s">
        <v>229</v>
      </c>
      <c r="V298" s="72" t="s">
        <v>229</v>
      </c>
      <c r="W298" s="73" t="s">
        <v>229</v>
      </c>
      <c r="X298" s="72" t="s">
        <v>229</v>
      </c>
      <c r="Y298" s="70" t="s">
        <v>229</v>
      </c>
      <c r="Z298" s="73" t="s">
        <v>229</v>
      </c>
    </row>
    <row r="299" ht="15.75" customHeight="1">
      <c r="A299" s="87"/>
      <c r="B299" s="88"/>
      <c r="C299" s="88"/>
      <c r="D299" s="87"/>
      <c r="E299" s="87"/>
      <c r="F299" s="87"/>
      <c r="G299" s="85"/>
      <c r="H299" s="85"/>
      <c r="I299" s="86"/>
      <c r="J299" s="86"/>
      <c r="K299" s="83"/>
      <c r="L299" s="87"/>
      <c r="M299" s="79"/>
      <c r="N299" s="69" t="s">
        <v>229</v>
      </c>
      <c r="O299" s="69" t="s">
        <v>229</v>
      </c>
      <c r="P299" s="69" t="s">
        <v>229</v>
      </c>
      <c r="Q299" s="69" t="s">
        <v>229</v>
      </c>
      <c r="R299" s="69" t="s">
        <v>229</v>
      </c>
      <c r="S299" s="69" t="s">
        <v>229</v>
      </c>
      <c r="T299" s="70" t="s">
        <v>229</v>
      </c>
      <c r="U299" s="71" t="s">
        <v>229</v>
      </c>
      <c r="V299" s="72" t="s">
        <v>229</v>
      </c>
      <c r="W299" s="73" t="s">
        <v>229</v>
      </c>
      <c r="X299" s="72" t="s">
        <v>229</v>
      </c>
      <c r="Y299" s="70" t="s">
        <v>229</v>
      </c>
      <c r="Z299" s="73" t="s">
        <v>229</v>
      </c>
    </row>
    <row r="300" ht="15.75" customHeight="1">
      <c r="A300" s="87"/>
      <c r="B300" s="88"/>
      <c r="C300" s="88"/>
      <c r="D300" s="87"/>
      <c r="E300" s="87"/>
      <c r="F300" s="87"/>
      <c r="G300" s="85"/>
      <c r="H300" s="85"/>
      <c r="I300" s="86"/>
      <c r="J300" s="86"/>
      <c r="K300" s="83"/>
      <c r="L300" s="87"/>
      <c r="M300" s="79"/>
      <c r="N300" s="69" t="s">
        <v>229</v>
      </c>
      <c r="O300" s="69" t="s">
        <v>229</v>
      </c>
      <c r="P300" s="69" t="s">
        <v>229</v>
      </c>
      <c r="Q300" s="69" t="s">
        <v>229</v>
      </c>
      <c r="R300" s="69" t="s">
        <v>229</v>
      </c>
      <c r="S300" s="69" t="s">
        <v>229</v>
      </c>
      <c r="T300" s="70" t="s">
        <v>229</v>
      </c>
      <c r="U300" s="71" t="s">
        <v>229</v>
      </c>
      <c r="V300" s="72" t="s">
        <v>229</v>
      </c>
      <c r="W300" s="73" t="s">
        <v>229</v>
      </c>
      <c r="X300" s="72" t="s">
        <v>229</v>
      </c>
      <c r="Y300" s="70" t="s">
        <v>229</v>
      </c>
      <c r="Z300" s="73" t="s">
        <v>229</v>
      </c>
    </row>
    <row r="301" ht="15.75" customHeight="1">
      <c r="A301" s="87"/>
      <c r="B301" s="88"/>
      <c r="C301" s="88"/>
      <c r="D301" s="87"/>
      <c r="E301" s="87"/>
      <c r="F301" s="87"/>
      <c r="G301" s="85"/>
      <c r="H301" s="85"/>
      <c r="I301" s="86"/>
      <c r="J301" s="86"/>
      <c r="K301" s="83"/>
      <c r="L301" s="87"/>
      <c r="M301" s="79"/>
      <c r="N301" s="69" t="s">
        <v>229</v>
      </c>
      <c r="O301" s="69" t="s">
        <v>229</v>
      </c>
      <c r="P301" s="69" t="s">
        <v>229</v>
      </c>
      <c r="Q301" s="69" t="s">
        <v>229</v>
      </c>
      <c r="R301" s="69" t="s">
        <v>229</v>
      </c>
      <c r="S301" s="69" t="s">
        <v>229</v>
      </c>
      <c r="T301" s="70" t="s">
        <v>229</v>
      </c>
      <c r="U301" s="71" t="s">
        <v>229</v>
      </c>
      <c r="V301" s="72" t="s">
        <v>229</v>
      </c>
      <c r="W301" s="73" t="s">
        <v>229</v>
      </c>
      <c r="X301" s="72" t="s">
        <v>229</v>
      </c>
      <c r="Y301" s="70" t="s">
        <v>229</v>
      </c>
      <c r="Z301" s="73" t="s">
        <v>229</v>
      </c>
    </row>
    <row r="302" ht="15.75" customHeight="1">
      <c r="A302" s="87"/>
      <c r="B302" s="88"/>
      <c r="C302" s="88"/>
      <c r="D302" s="87"/>
      <c r="E302" s="87"/>
      <c r="F302" s="87"/>
      <c r="G302" s="85"/>
      <c r="H302" s="85"/>
      <c r="I302" s="86"/>
      <c r="J302" s="86"/>
      <c r="K302" s="83"/>
      <c r="L302" s="87"/>
      <c r="M302" s="79"/>
      <c r="N302" s="69" t="s">
        <v>229</v>
      </c>
      <c r="O302" s="69" t="s">
        <v>229</v>
      </c>
      <c r="P302" s="69" t="s">
        <v>229</v>
      </c>
      <c r="Q302" s="69" t="s">
        <v>229</v>
      </c>
      <c r="R302" s="69" t="s">
        <v>229</v>
      </c>
      <c r="S302" s="69" t="s">
        <v>229</v>
      </c>
      <c r="T302" s="70" t="s">
        <v>229</v>
      </c>
      <c r="U302" s="71" t="s">
        <v>229</v>
      </c>
      <c r="V302" s="72" t="s">
        <v>229</v>
      </c>
      <c r="W302" s="73" t="s">
        <v>229</v>
      </c>
      <c r="X302" s="72" t="s">
        <v>229</v>
      </c>
      <c r="Y302" s="70" t="s">
        <v>229</v>
      </c>
      <c r="Z302" s="73" t="s">
        <v>229</v>
      </c>
    </row>
    <row r="303" ht="15.75" customHeight="1">
      <c r="A303" s="87"/>
      <c r="B303" s="88"/>
      <c r="C303" s="88"/>
      <c r="D303" s="87"/>
      <c r="E303" s="87"/>
      <c r="F303" s="87"/>
      <c r="G303" s="85"/>
      <c r="H303" s="85"/>
      <c r="I303" s="86"/>
      <c r="J303" s="86"/>
      <c r="K303" s="83"/>
      <c r="L303" s="87"/>
      <c r="M303" s="79"/>
      <c r="N303" s="69" t="s">
        <v>229</v>
      </c>
      <c r="O303" s="69" t="s">
        <v>229</v>
      </c>
      <c r="P303" s="69" t="s">
        <v>229</v>
      </c>
      <c r="Q303" s="69" t="s">
        <v>229</v>
      </c>
      <c r="R303" s="69" t="s">
        <v>229</v>
      </c>
      <c r="S303" s="69" t="s">
        <v>229</v>
      </c>
      <c r="T303" s="70" t="s">
        <v>229</v>
      </c>
      <c r="U303" s="71" t="s">
        <v>229</v>
      </c>
      <c r="V303" s="72" t="s">
        <v>229</v>
      </c>
      <c r="W303" s="73" t="s">
        <v>229</v>
      </c>
      <c r="X303" s="72" t="s">
        <v>229</v>
      </c>
      <c r="Y303" s="70" t="s">
        <v>229</v>
      </c>
      <c r="Z303" s="73" t="s">
        <v>229</v>
      </c>
    </row>
    <row r="304" ht="15.75" customHeight="1">
      <c r="A304" s="87"/>
      <c r="B304" s="88"/>
      <c r="C304" s="88"/>
      <c r="D304" s="87"/>
      <c r="E304" s="87"/>
      <c r="F304" s="87"/>
      <c r="G304" s="85"/>
      <c r="H304" s="85"/>
      <c r="I304" s="86"/>
      <c r="J304" s="86"/>
      <c r="K304" s="83"/>
      <c r="L304" s="87"/>
      <c r="M304" s="79"/>
      <c r="N304" s="69" t="s">
        <v>229</v>
      </c>
      <c r="O304" s="69" t="s">
        <v>229</v>
      </c>
      <c r="P304" s="69" t="s">
        <v>229</v>
      </c>
      <c r="Q304" s="69" t="s">
        <v>229</v>
      </c>
      <c r="R304" s="69" t="s">
        <v>229</v>
      </c>
      <c r="S304" s="69" t="s">
        <v>229</v>
      </c>
      <c r="T304" s="70" t="s">
        <v>229</v>
      </c>
      <c r="U304" s="71" t="s">
        <v>229</v>
      </c>
      <c r="V304" s="72" t="s">
        <v>229</v>
      </c>
      <c r="W304" s="73" t="s">
        <v>229</v>
      </c>
      <c r="X304" s="72" t="s">
        <v>229</v>
      </c>
      <c r="Y304" s="70" t="s">
        <v>229</v>
      </c>
      <c r="Z304" s="73" t="s">
        <v>229</v>
      </c>
    </row>
    <row r="305" ht="15.75" customHeight="1">
      <c r="A305" s="87"/>
      <c r="B305" s="88"/>
      <c r="C305" s="88"/>
      <c r="D305" s="87"/>
      <c r="E305" s="87"/>
      <c r="F305" s="87"/>
      <c r="G305" s="85"/>
      <c r="H305" s="85"/>
      <c r="I305" s="86"/>
      <c r="J305" s="86"/>
      <c r="K305" s="83"/>
      <c r="L305" s="87"/>
      <c r="M305" s="79"/>
      <c r="N305" s="69" t="s">
        <v>229</v>
      </c>
      <c r="O305" s="69" t="s">
        <v>229</v>
      </c>
      <c r="P305" s="69" t="s">
        <v>229</v>
      </c>
      <c r="Q305" s="69" t="s">
        <v>229</v>
      </c>
      <c r="R305" s="69" t="s">
        <v>229</v>
      </c>
      <c r="S305" s="69" t="s">
        <v>229</v>
      </c>
      <c r="T305" s="70" t="s">
        <v>229</v>
      </c>
      <c r="U305" s="71" t="s">
        <v>229</v>
      </c>
      <c r="V305" s="72" t="s">
        <v>229</v>
      </c>
      <c r="W305" s="73" t="s">
        <v>229</v>
      </c>
      <c r="X305" s="72" t="s">
        <v>229</v>
      </c>
      <c r="Y305" s="70" t="s">
        <v>229</v>
      </c>
      <c r="Z305" s="73" t="s">
        <v>229</v>
      </c>
    </row>
    <row r="306" ht="15.75" customHeight="1">
      <c r="A306" s="87"/>
      <c r="B306" s="88"/>
      <c r="C306" s="88"/>
      <c r="D306" s="87"/>
      <c r="E306" s="87"/>
      <c r="F306" s="87"/>
      <c r="G306" s="85"/>
      <c r="H306" s="85"/>
      <c r="I306" s="86"/>
      <c r="J306" s="86"/>
      <c r="K306" s="83"/>
      <c r="L306" s="87"/>
      <c r="M306" s="79"/>
      <c r="N306" s="69" t="s">
        <v>229</v>
      </c>
      <c r="O306" s="69" t="s">
        <v>229</v>
      </c>
      <c r="P306" s="69" t="s">
        <v>229</v>
      </c>
      <c r="Q306" s="69" t="s">
        <v>229</v>
      </c>
      <c r="R306" s="69" t="s">
        <v>229</v>
      </c>
      <c r="S306" s="69" t="s">
        <v>229</v>
      </c>
      <c r="T306" s="70" t="s">
        <v>229</v>
      </c>
      <c r="U306" s="71" t="s">
        <v>229</v>
      </c>
      <c r="V306" s="72" t="s">
        <v>229</v>
      </c>
      <c r="W306" s="73" t="s">
        <v>229</v>
      </c>
      <c r="X306" s="72" t="s">
        <v>229</v>
      </c>
      <c r="Y306" s="70" t="s">
        <v>229</v>
      </c>
      <c r="Z306" s="73" t="s">
        <v>229</v>
      </c>
    </row>
    <row r="307" ht="15.75" customHeight="1">
      <c r="A307" s="87"/>
      <c r="B307" s="88"/>
      <c r="C307" s="88"/>
      <c r="D307" s="87"/>
      <c r="E307" s="87"/>
      <c r="F307" s="87"/>
      <c r="G307" s="85"/>
      <c r="H307" s="85"/>
      <c r="I307" s="86"/>
      <c r="J307" s="86"/>
      <c r="K307" s="83"/>
      <c r="L307" s="87"/>
      <c r="M307" s="79"/>
      <c r="N307" s="69" t="s">
        <v>229</v>
      </c>
      <c r="O307" s="69" t="s">
        <v>229</v>
      </c>
      <c r="P307" s="69" t="s">
        <v>229</v>
      </c>
      <c r="Q307" s="69" t="s">
        <v>229</v>
      </c>
      <c r="R307" s="69" t="s">
        <v>229</v>
      </c>
      <c r="S307" s="69" t="s">
        <v>229</v>
      </c>
      <c r="T307" s="70" t="s">
        <v>229</v>
      </c>
      <c r="U307" s="71" t="s">
        <v>229</v>
      </c>
      <c r="V307" s="72" t="s">
        <v>229</v>
      </c>
      <c r="W307" s="73" t="s">
        <v>229</v>
      </c>
      <c r="X307" s="72" t="s">
        <v>229</v>
      </c>
      <c r="Y307" s="70" t="s">
        <v>229</v>
      </c>
      <c r="Z307" s="73" t="s">
        <v>229</v>
      </c>
    </row>
    <row r="308" ht="15.75" customHeight="1">
      <c r="A308" s="87"/>
      <c r="B308" s="88"/>
      <c r="C308" s="88"/>
      <c r="D308" s="87"/>
      <c r="E308" s="87"/>
      <c r="F308" s="87"/>
      <c r="G308" s="85"/>
      <c r="H308" s="85"/>
      <c r="I308" s="86"/>
      <c r="J308" s="86"/>
      <c r="K308" s="83"/>
      <c r="L308" s="87"/>
      <c r="M308" s="79"/>
      <c r="N308" s="69" t="s">
        <v>229</v>
      </c>
      <c r="O308" s="69" t="s">
        <v>229</v>
      </c>
      <c r="P308" s="69" t="s">
        <v>229</v>
      </c>
      <c r="Q308" s="69" t="s">
        <v>229</v>
      </c>
      <c r="R308" s="69" t="s">
        <v>229</v>
      </c>
      <c r="S308" s="69" t="s">
        <v>229</v>
      </c>
      <c r="T308" s="70" t="s">
        <v>229</v>
      </c>
      <c r="U308" s="71" t="s">
        <v>229</v>
      </c>
      <c r="V308" s="72" t="s">
        <v>229</v>
      </c>
      <c r="W308" s="73" t="s">
        <v>229</v>
      </c>
      <c r="X308" s="72" t="s">
        <v>229</v>
      </c>
      <c r="Y308" s="70" t="s">
        <v>229</v>
      </c>
      <c r="Z308" s="73" t="s">
        <v>229</v>
      </c>
    </row>
    <row r="309" ht="15.75" customHeight="1">
      <c r="A309" s="87"/>
      <c r="B309" s="88"/>
      <c r="C309" s="88"/>
      <c r="D309" s="87"/>
      <c r="E309" s="87"/>
      <c r="F309" s="87"/>
      <c r="G309" s="85"/>
      <c r="H309" s="85"/>
      <c r="I309" s="86"/>
      <c r="J309" s="86"/>
      <c r="K309" s="83"/>
      <c r="L309" s="87"/>
      <c r="M309" s="79"/>
      <c r="N309" s="69" t="s">
        <v>229</v>
      </c>
      <c r="O309" s="69" t="s">
        <v>229</v>
      </c>
      <c r="P309" s="69" t="s">
        <v>229</v>
      </c>
      <c r="Q309" s="69" t="s">
        <v>229</v>
      </c>
      <c r="R309" s="69" t="s">
        <v>229</v>
      </c>
      <c r="S309" s="69" t="s">
        <v>229</v>
      </c>
      <c r="T309" s="70" t="s">
        <v>229</v>
      </c>
      <c r="U309" s="71" t="s">
        <v>229</v>
      </c>
      <c r="V309" s="72" t="s">
        <v>229</v>
      </c>
      <c r="W309" s="73" t="s">
        <v>229</v>
      </c>
      <c r="X309" s="72" t="s">
        <v>229</v>
      </c>
      <c r="Y309" s="70" t="s">
        <v>229</v>
      </c>
      <c r="Z309" s="73" t="s">
        <v>229</v>
      </c>
    </row>
    <row r="310" ht="15.75" customHeight="1">
      <c r="A310" s="87"/>
      <c r="B310" s="88"/>
      <c r="C310" s="88"/>
      <c r="D310" s="87"/>
      <c r="E310" s="87"/>
      <c r="F310" s="87"/>
      <c r="G310" s="85"/>
      <c r="H310" s="85"/>
      <c r="I310" s="86"/>
      <c r="J310" s="86"/>
      <c r="K310" s="83"/>
      <c r="L310" s="87"/>
      <c r="M310" s="79"/>
      <c r="N310" s="69" t="s">
        <v>229</v>
      </c>
      <c r="O310" s="69" t="s">
        <v>229</v>
      </c>
      <c r="P310" s="69" t="s">
        <v>229</v>
      </c>
      <c r="Q310" s="69" t="s">
        <v>229</v>
      </c>
      <c r="R310" s="69" t="s">
        <v>229</v>
      </c>
      <c r="S310" s="69" t="s">
        <v>229</v>
      </c>
      <c r="T310" s="70" t="s">
        <v>229</v>
      </c>
      <c r="U310" s="71" t="s">
        <v>229</v>
      </c>
      <c r="V310" s="72" t="s">
        <v>229</v>
      </c>
      <c r="W310" s="73" t="s">
        <v>229</v>
      </c>
      <c r="X310" s="72" t="s">
        <v>229</v>
      </c>
      <c r="Y310" s="70" t="s">
        <v>229</v>
      </c>
      <c r="Z310" s="73" t="s">
        <v>229</v>
      </c>
    </row>
    <row r="311" ht="15.75" customHeight="1">
      <c r="A311" s="87"/>
      <c r="B311" s="88"/>
      <c r="C311" s="88"/>
      <c r="D311" s="87"/>
      <c r="E311" s="87"/>
      <c r="F311" s="87"/>
      <c r="G311" s="85"/>
      <c r="H311" s="85"/>
      <c r="I311" s="86"/>
      <c r="J311" s="86"/>
      <c r="K311" s="83"/>
      <c r="L311" s="87"/>
      <c r="M311" s="79"/>
      <c r="N311" s="69" t="s">
        <v>229</v>
      </c>
      <c r="O311" s="69" t="s">
        <v>229</v>
      </c>
      <c r="P311" s="69" t="s">
        <v>229</v>
      </c>
      <c r="Q311" s="69" t="s">
        <v>229</v>
      </c>
      <c r="R311" s="69" t="s">
        <v>229</v>
      </c>
      <c r="S311" s="69" t="s">
        <v>229</v>
      </c>
      <c r="T311" s="70" t="s">
        <v>229</v>
      </c>
      <c r="U311" s="71" t="s">
        <v>229</v>
      </c>
      <c r="V311" s="72" t="s">
        <v>229</v>
      </c>
      <c r="W311" s="73" t="s">
        <v>229</v>
      </c>
      <c r="X311" s="72" t="s">
        <v>229</v>
      </c>
      <c r="Y311" s="70" t="s">
        <v>229</v>
      </c>
      <c r="Z311" s="73" t="s">
        <v>229</v>
      </c>
    </row>
    <row r="312" ht="15.75" customHeight="1">
      <c r="A312" s="87"/>
      <c r="B312" s="88"/>
      <c r="C312" s="88"/>
      <c r="D312" s="87"/>
      <c r="E312" s="87"/>
      <c r="F312" s="87"/>
      <c r="G312" s="85"/>
      <c r="H312" s="85"/>
      <c r="I312" s="86"/>
      <c r="J312" s="86"/>
      <c r="K312" s="83"/>
      <c r="L312" s="87"/>
      <c r="M312" s="79"/>
      <c r="N312" s="69" t="s">
        <v>229</v>
      </c>
      <c r="O312" s="69" t="s">
        <v>229</v>
      </c>
      <c r="P312" s="69" t="s">
        <v>229</v>
      </c>
      <c r="Q312" s="69" t="s">
        <v>229</v>
      </c>
      <c r="R312" s="69" t="s">
        <v>229</v>
      </c>
      <c r="S312" s="69" t="s">
        <v>229</v>
      </c>
      <c r="T312" s="70" t="s">
        <v>229</v>
      </c>
      <c r="U312" s="71" t="s">
        <v>229</v>
      </c>
      <c r="V312" s="72" t="s">
        <v>229</v>
      </c>
      <c r="W312" s="73" t="s">
        <v>229</v>
      </c>
      <c r="X312" s="72" t="s">
        <v>229</v>
      </c>
      <c r="Y312" s="70" t="s">
        <v>229</v>
      </c>
      <c r="Z312" s="73" t="s">
        <v>229</v>
      </c>
    </row>
    <row r="313" ht="15.75" customHeight="1">
      <c r="A313" s="87"/>
      <c r="B313" s="88"/>
      <c r="C313" s="88"/>
      <c r="D313" s="87"/>
      <c r="E313" s="87"/>
      <c r="F313" s="87"/>
      <c r="G313" s="85"/>
      <c r="H313" s="85"/>
      <c r="I313" s="86"/>
      <c r="J313" s="86"/>
      <c r="K313" s="83"/>
      <c r="L313" s="87"/>
      <c r="M313" s="79"/>
      <c r="N313" s="69" t="s">
        <v>229</v>
      </c>
      <c r="O313" s="69" t="s">
        <v>229</v>
      </c>
      <c r="P313" s="69" t="s">
        <v>229</v>
      </c>
      <c r="Q313" s="69" t="s">
        <v>229</v>
      </c>
      <c r="R313" s="69" t="s">
        <v>229</v>
      </c>
      <c r="S313" s="69" t="s">
        <v>229</v>
      </c>
      <c r="T313" s="70" t="s">
        <v>229</v>
      </c>
      <c r="U313" s="71" t="s">
        <v>229</v>
      </c>
      <c r="V313" s="72" t="s">
        <v>229</v>
      </c>
      <c r="W313" s="73" t="s">
        <v>229</v>
      </c>
      <c r="X313" s="72" t="s">
        <v>229</v>
      </c>
      <c r="Y313" s="70" t="s">
        <v>229</v>
      </c>
      <c r="Z313" s="73" t="s">
        <v>229</v>
      </c>
    </row>
    <row r="314" ht="15.75" customHeight="1">
      <c r="A314" s="87"/>
      <c r="B314" s="88"/>
      <c r="C314" s="88"/>
      <c r="D314" s="87"/>
      <c r="E314" s="87"/>
      <c r="F314" s="87"/>
      <c r="G314" s="85"/>
      <c r="H314" s="85"/>
      <c r="I314" s="86"/>
      <c r="J314" s="86"/>
      <c r="K314" s="83"/>
      <c r="L314" s="87"/>
      <c r="M314" s="79"/>
      <c r="N314" s="69" t="s">
        <v>229</v>
      </c>
      <c r="O314" s="69" t="s">
        <v>229</v>
      </c>
      <c r="P314" s="69" t="s">
        <v>229</v>
      </c>
      <c r="Q314" s="69" t="s">
        <v>229</v>
      </c>
      <c r="R314" s="69" t="s">
        <v>229</v>
      </c>
      <c r="S314" s="69" t="s">
        <v>229</v>
      </c>
      <c r="T314" s="70" t="s">
        <v>229</v>
      </c>
      <c r="U314" s="71" t="s">
        <v>229</v>
      </c>
      <c r="V314" s="72" t="s">
        <v>229</v>
      </c>
      <c r="W314" s="73" t="s">
        <v>229</v>
      </c>
      <c r="X314" s="72" t="s">
        <v>229</v>
      </c>
      <c r="Y314" s="70" t="s">
        <v>229</v>
      </c>
      <c r="Z314" s="73" t="s">
        <v>229</v>
      </c>
    </row>
    <row r="315" ht="15.75" customHeight="1">
      <c r="A315" s="87"/>
      <c r="B315" s="88"/>
      <c r="C315" s="88"/>
      <c r="D315" s="87"/>
      <c r="E315" s="87"/>
      <c r="F315" s="87"/>
      <c r="G315" s="85"/>
      <c r="H315" s="85"/>
      <c r="I315" s="86"/>
      <c r="J315" s="86"/>
      <c r="K315" s="83"/>
      <c r="L315" s="87"/>
      <c r="M315" s="79"/>
      <c r="N315" s="69" t="s">
        <v>229</v>
      </c>
      <c r="O315" s="69" t="s">
        <v>229</v>
      </c>
      <c r="P315" s="69" t="s">
        <v>229</v>
      </c>
      <c r="Q315" s="69" t="s">
        <v>229</v>
      </c>
      <c r="R315" s="69" t="s">
        <v>229</v>
      </c>
      <c r="S315" s="69" t="s">
        <v>229</v>
      </c>
      <c r="T315" s="70" t="s">
        <v>229</v>
      </c>
      <c r="U315" s="71" t="s">
        <v>229</v>
      </c>
      <c r="V315" s="72" t="s">
        <v>229</v>
      </c>
      <c r="W315" s="73" t="s">
        <v>229</v>
      </c>
      <c r="X315" s="72" t="s">
        <v>229</v>
      </c>
      <c r="Y315" s="70" t="s">
        <v>229</v>
      </c>
      <c r="Z315" s="73" t="s">
        <v>229</v>
      </c>
    </row>
    <row r="316" ht="15.75" customHeight="1">
      <c r="A316" s="87"/>
      <c r="B316" s="88"/>
      <c r="C316" s="88"/>
      <c r="D316" s="87"/>
      <c r="E316" s="87"/>
      <c r="F316" s="87"/>
      <c r="G316" s="85"/>
      <c r="H316" s="85"/>
      <c r="I316" s="86"/>
      <c r="J316" s="86"/>
      <c r="K316" s="83"/>
      <c r="L316" s="87"/>
      <c r="M316" s="79"/>
      <c r="N316" s="69" t="s">
        <v>229</v>
      </c>
      <c r="O316" s="69" t="s">
        <v>229</v>
      </c>
      <c r="P316" s="69" t="s">
        <v>229</v>
      </c>
      <c r="Q316" s="69" t="s">
        <v>229</v>
      </c>
      <c r="R316" s="69" t="s">
        <v>229</v>
      </c>
      <c r="S316" s="69" t="s">
        <v>229</v>
      </c>
      <c r="T316" s="70" t="s">
        <v>229</v>
      </c>
      <c r="U316" s="71" t="s">
        <v>229</v>
      </c>
      <c r="V316" s="72" t="s">
        <v>229</v>
      </c>
      <c r="W316" s="73" t="s">
        <v>229</v>
      </c>
      <c r="X316" s="72" t="s">
        <v>229</v>
      </c>
      <c r="Y316" s="70" t="s">
        <v>229</v>
      </c>
      <c r="Z316" s="73" t="s">
        <v>229</v>
      </c>
    </row>
    <row r="317" ht="15.75" customHeight="1">
      <c r="A317" s="87"/>
      <c r="B317" s="88"/>
      <c r="C317" s="88"/>
      <c r="D317" s="87"/>
      <c r="E317" s="87"/>
      <c r="F317" s="87"/>
      <c r="G317" s="85"/>
      <c r="H317" s="85"/>
      <c r="I317" s="86"/>
      <c r="J317" s="86"/>
      <c r="K317" s="83"/>
      <c r="L317" s="87"/>
      <c r="M317" s="79"/>
      <c r="N317" s="69" t="s">
        <v>229</v>
      </c>
      <c r="O317" s="69" t="s">
        <v>229</v>
      </c>
      <c r="P317" s="69" t="s">
        <v>229</v>
      </c>
      <c r="Q317" s="69" t="s">
        <v>229</v>
      </c>
      <c r="R317" s="69" t="s">
        <v>229</v>
      </c>
      <c r="S317" s="69" t="s">
        <v>229</v>
      </c>
      <c r="T317" s="70" t="s">
        <v>229</v>
      </c>
      <c r="U317" s="71" t="s">
        <v>229</v>
      </c>
      <c r="V317" s="72" t="s">
        <v>229</v>
      </c>
      <c r="W317" s="73" t="s">
        <v>229</v>
      </c>
      <c r="X317" s="72" t="s">
        <v>229</v>
      </c>
      <c r="Y317" s="70" t="s">
        <v>229</v>
      </c>
      <c r="Z317" s="73" t="s">
        <v>229</v>
      </c>
    </row>
    <row r="318" ht="15.75" customHeight="1">
      <c r="A318" s="87"/>
      <c r="B318" s="88"/>
      <c r="C318" s="88"/>
      <c r="D318" s="87"/>
      <c r="E318" s="87"/>
      <c r="F318" s="87"/>
      <c r="G318" s="85"/>
      <c r="H318" s="85"/>
      <c r="I318" s="86"/>
      <c r="J318" s="86"/>
      <c r="K318" s="83"/>
      <c r="L318" s="87"/>
      <c r="M318" s="79"/>
      <c r="N318" s="69" t="s">
        <v>229</v>
      </c>
      <c r="O318" s="69" t="s">
        <v>229</v>
      </c>
      <c r="P318" s="69" t="s">
        <v>229</v>
      </c>
      <c r="Q318" s="69" t="s">
        <v>229</v>
      </c>
      <c r="R318" s="69" t="s">
        <v>229</v>
      </c>
      <c r="S318" s="69" t="s">
        <v>229</v>
      </c>
      <c r="T318" s="70" t="s">
        <v>229</v>
      </c>
      <c r="U318" s="71" t="s">
        <v>229</v>
      </c>
      <c r="V318" s="72" t="s">
        <v>229</v>
      </c>
      <c r="W318" s="73" t="s">
        <v>229</v>
      </c>
      <c r="X318" s="72" t="s">
        <v>229</v>
      </c>
      <c r="Y318" s="70" t="s">
        <v>229</v>
      </c>
      <c r="Z318" s="73" t="s">
        <v>229</v>
      </c>
    </row>
    <row r="319" ht="15.75" customHeight="1">
      <c r="A319" s="87"/>
      <c r="B319" s="88"/>
      <c r="C319" s="88"/>
      <c r="D319" s="87"/>
      <c r="E319" s="87"/>
      <c r="F319" s="87"/>
      <c r="G319" s="85"/>
      <c r="H319" s="85"/>
      <c r="I319" s="86"/>
      <c r="J319" s="86"/>
      <c r="K319" s="83"/>
      <c r="L319" s="87"/>
      <c r="M319" s="79"/>
      <c r="N319" s="69" t="s">
        <v>229</v>
      </c>
      <c r="O319" s="69" t="s">
        <v>229</v>
      </c>
      <c r="P319" s="69" t="s">
        <v>229</v>
      </c>
      <c r="Q319" s="69" t="s">
        <v>229</v>
      </c>
      <c r="R319" s="69" t="s">
        <v>229</v>
      </c>
      <c r="S319" s="69" t="s">
        <v>229</v>
      </c>
      <c r="T319" s="70" t="s">
        <v>229</v>
      </c>
      <c r="U319" s="71" t="s">
        <v>229</v>
      </c>
      <c r="V319" s="72" t="s">
        <v>229</v>
      </c>
      <c r="W319" s="73" t="s">
        <v>229</v>
      </c>
      <c r="X319" s="72" t="s">
        <v>229</v>
      </c>
      <c r="Y319" s="70" t="s">
        <v>229</v>
      </c>
      <c r="Z319" s="73" t="s">
        <v>229</v>
      </c>
    </row>
    <row r="320" ht="15.75" customHeight="1">
      <c r="A320" s="87"/>
      <c r="B320" s="88"/>
      <c r="C320" s="88"/>
      <c r="D320" s="87"/>
      <c r="E320" s="87"/>
      <c r="F320" s="87"/>
      <c r="G320" s="85"/>
      <c r="H320" s="85"/>
      <c r="I320" s="86"/>
      <c r="J320" s="86"/>
      <c r="K320" s="83"/>
      <c r="L320" s="87"/>
      <c r="M320" s="79"/>
      <c r="N320" s="69" t="s">
        <v>229</v>
      </c>
      <c r="O320" s="69" t="s">
        <v>229</v>
      </c>
      <c r="P320" s="69" t="s">
        <v>229</v>
      </c>
      <c r="Q320" s="69" t="s">
        <v>229</v>
      </c>
      <c r="R320" s="69" t="s">
        <v>229</v>
      </c>
      <c r="S320" s="69" t="s">
        <v>229</v>
      </c>
      <c r="T320" s="70" t="s">
        <v>229</v>
      </c>
      <c r="U320" s="71" t="s">
        <v>229</v>
      </c>
      <c r="V320" s="72" t="s">
        <v>229</v>
      </c>
      <c r="W320" s="73" t="s">
        <v>229</v>
      </c>
      <c r="X320" s="72" t="s">
        <v>229</v>
      </c>
      <c r="Y320" s="70" t="s">
        <v>229</v>
      </c>
      <c r="Z320" s="73" t="s">
        <v>229</v>
      </c>
    </row>
    <row r="321" ht="15.75" customHeight="1">
      <c r="A321" s="87"/>
      <c r="B321" s="88"/>
      <c r="C321" s="88"/>
      <c r="D321" s="87"/>
      <c r="E321" s="87"/>
      <c r="F321" s="87"/>
      <c r="G321" s="85"/>
      <c r="H321" s="85"/>
      <c r="I321" s="86"/>
      <c r="J321" s="86"/>
      <c r="K321" s="83"/>
      <c r="L321" s="87"/>
      <c r="M321" s="79"/>
      <c r="N321" s="69" t="s">
        <v>229</v>
      </c>
      <c r="O321" s="69" t="s">
        <v>229</v>
      </c>
      <c r="P321" s="69" t="s">
        <v>229</v>
      </c>
      <c r="Q321" s="69" t="s">
        <v>229</v>
      </c>
      <c r="R321" s="69" t="s">
        <v>229</v>
      </c>
      <c r="S321" s="69" t="s">
        <v>229</v>
      </c>
      <c r="T321" s="70" t="s">
        <v>229</v>
      </c>
      <c r="U321" s="71" t="s">
        <v>229</v>
      </c>
      <c r="V321" s="72" t="s">
        <v>229</v>
      </c>
      <c r="W321" s="73" t="s">
        <v>229</v>
      </c>
      <c r="X321" s="72" t="s">
        <v>229</v>
      </c>
      <c r="Y321" s="70" t="s">
        <v>229</v>
      </c>
      <c r="Z321" s="73" t="s">
        <v>229</v>
      </c>
    </row>
    <row r="322" ht="15.75" customHeight="1">
      <c r="A322" s="87"/>
      <c r="B322" s="88"/>
      <c r="C322" s="88"/>
      <c r="D322" s="87"/>
      <c r="E322" s="87"/>
      <c r="F322" s="87"/>
      <c r="G322" s="85"/>
      <c r="H322" s="85"/>
      <c r="I322" s="86"/>
      <c r="J322" s="86"/>
      <c r="K322" s="83"/>
      <c r="L322" s="87"/>
      <c r="M322" s="79"/>
      <c r="N322" s="69" t="s">
        <v>229</v>
      </c>
      <c r="O322" s="69" t="s">
        <v>229</v>
      </c>
      <c r="P322" s="69" t="s">
        <v>229</v>
      </c>
      <c r="Q322" s="69" t="s">
        <v>229</v>
      </c>
      <c r="R322" s="69" t="s">
        <v>229</v>
      </c>
      <c r="S322" s="69" t="s">
        <v>229</v>
      </c>
      <c r="T322" s="70" t="s">
        <v>229</v>
      </c>
      <c r="U322" s="71" t="s">
        <v>229</v>
      </c>
      <c r="V322" s="72" t="s">
        <v>229</v>
      </c>
      <c r="W322" s="73" t="s">
        <v>229</v>
      </c>
      <c r="X322" s="72" t="s">
        <v>229</v>
      </c>
      <c r="Y322" s="70" t="s">
        <v>229</v>
      </c>
      <c r="Z322" s="73" t="s">
        <v>229</v>
      </c>
    </row>
    <row r="323" ht="15.75" customHeight="1">
      <c r="A323" s="87"/>
      <c r="B323" s="88"/>
      <c r="C323" s="88"/>
      <c r="D323" s="87"/>
      <c r="E323" s="87"/>
      <c r="F323" s="87"/>
      <c r="G323" s="85"/>
      <c r="H323" s="85"/>
      <c r="I323" s="86"/>
      <c r="J323" s="86"/>
      <c r="K323" s="83"/>
      <c r="L323" s="87"/>
      <c r="M323" s="79"/>
      <c r="N323" s="69" t="s">
        <v>229</v>
      </c>
      <c r="O323" s="69" t="s">
        <v>229</v>
      </c>
      <c r="P323" s="69" t="s">
        <v>229</v>
      </c>
      <c r="Q323" s="69" t="s">
        <v>229</v>
      </c>
      <c r="R323" s="69" t="s">
        <v>229</v>
      </c>
      <c r="S323" s="69" t="s">
        <v>229</v>
      </c>
      <c r="T323" s="70" t="s">
        <v>229</v>
      </c>
      <c r="U323" s="71" t="s">
        <v>229</v>
      </c>
      <c r="V323" s="72" t="s">
        <v>229</v>
      </c>
      <c r="W323" s="73" t="s">
        <v>229</v>
      </c>
      <c r="X323" s="72" t="s">
        <v>229</v>
      </c>
      <c r="Y323" s="70" t="s">
        <v>229</v>
      </c>
      <c r="Z323" s="73" t="s">
        <v>229</v>
      </c>
    </row>
    <row r="324" ht="15.75" customHeight="1">
      <c r="A324" s="87"/>
      <c r="B324" s="88"/>
      <c r="C324" s="88"/>
      <c r="D324" s="87"/>
      <c r="E324" s="87"/>
      <c r="F324" s="87"/>
      <c r="G324" s="85"/>
      <c r="H324" s="85"/>
      <c r="I324" s="86"/>
      <c r="J324" s="86"/>
      <c r="K324" s="83"/>
      <c r="L324" s="87"/>
      <c r="M324" s="79"/>
      <c r="N324" s="69" t="s">
        <v>229</v>
      </c>
      <c r="O324" s="69" t="s">
        <v>229</v>
      </c>
      <c r="P324" s="69" t="s">
        <v>229</v>
      </c>
      <c r="Q324" s="69" t="s">
        <v>229</v>
      </c>
      <c r="R324" s="69" t="s">
        <v>229</v>
      </c>
      <c r="S324" s="69" t="s">
        <v>229</v>
      </c>
      <c r="T324" s="70" t="s">
        <v>229</v>
      </c>
      <c r="U324" s="71" t="s">
        <v>229</v>
      </c>
      <c r="V324" s="72" t="s">
        <v>229</v>
      </c>
      <c r="W324" s="73" t="s">
        <v>229</v>
      </c>
      <c r="X324" s="72" t="s">
        <v>229</v>
      </c>
      <c r="Y324" s="70" t="s">
        <v>229</v>
      </c>
      <c r="Z324" s="73" t="s">
        <v>229</v>
      </c>
    </row>
    <row r="325" ht="15.75" customHeight="1">
      <c r="A325" s="87"/>
      <c r="B325" s="88"/>
      <c r="C325" s="88"/>
      <c r="D325" s="87"/>
      <c r="E325" s="87"/>
      <c r="F325" s="87"/>
      <c r="G325" s="85"/>
      <c r="H325" s="85"/>
      <c r="I325" s="86"/>
      <c r="J325" s="86"/>
      <c r="K325" s="83"/>
      <c r="L325" s="87"/>
      <c r="M325" s="79"/>
      <c r="N325" s="69" t="s">
        <v>229</v>
      </c>
      <c r="O325" s="69" t="s">
        <v>229</v>
      </c>
      <c r="P325" s="69" t="s">
        <v>229</v>
      </c>
      <c r="Q325" s="69" t="s">
        <v>229</v>
      </c>
      <c r="R325" s="69" t="s">
        <v>229</v>
      </c>
      <c r="S325" s="69" t="s">
        <v>229</v>
      </c>
      <c r="T325" s="70" t="s">
        <v>229</v>
      </c>
      <c r="U325" s="71" t="s">
        <v>229</v>
      </c>
      <c r="V325" s="72" t="s">
        <v>229</v>
      </c>
      <c r="W325" s="73" t="s">
        <v>229</v>
      </c>
      <c r="X325" s="72" t="s">
        <v>229</v>
      </c>
      <c r="Y325" s="70" t="s">
        <v>229</v>
      </c>
      <c r="Z325" s="73" t="s">
        <v>229</v>
      </c>
    </row>
    <row r="326" ht="15.75" customHeight="1">
      <c r="A326" s="87"/>
      <c r="B326" s="88"/>
      <c r="C326" s="88"/>
      <c r="D326" s="87"/>
      <c r="E326" s="87"/>
      <c r="F326" s="87"/>
      <c r="G326" s="85"/>
      <c r="H326" s="85"/>
      <c r="I326" s="86"/>
      <c r="J326" s="86"/>
      <c r="K326" s="83"/>
      <c r="L326" s="87"/>
      <c r="M326" s="79"/>
      <c r="N326" s="69" t="s">
        <v>229</v>
      </c>
      <c r="O326" s="69" t="s">
        <v>229</v>
      </c>
      <c r="P326" s="69" t="s">
        <v>229</v>
      </c>
      <c r="Q326" s="69" t="s">
        <v>229</v>
      </c>
      <c r="R326" s="69" t="s">
        <v>229</v>
      </c>
      <c r="S326" s="69" t="s">
        <v>229</v>
      </c>
      <c r="T326" s="70" t="s">
        <v>229</v>
      </c>
      <c r="U326" s="71" t="s">
        <v>229</v>
      </c>
      <c r="V326" s="72" t="s">
        <v>229</v>
      </c>
      <c r="W326" s="73" t="s">
        <v>229</v>
      </c>
      <c r="X326" s="72" t="s">
        <v>229</v>
      </c>
      <c r="Y326" s="70" t="s">
        <v>229</v>
      </c>
      <c r="Z326" s="73" t="s">
        <v>229</v>
      </c>
    </row>
    <row r="327" ht="15.75" customHeight="1">
      <c r="A327" s="87"/>
      <c r="B327" s="88"/>
      <c r="C327" s="88"/>
      <c r="D327" s="87"/>
      <c r="E327" s="87"/>
      <c r="F327" s="87"/>
      <c r="G327" s="85"/>
      <c r="H327" s="85"/>
      <c r="I327" s="86"/>
      <c r="J327" s="86"/>
      <c r="K327" s="83"/>
      <c r="L327" s="87"/>
      <c r="M327" s="79"/>
      <c r="N327" s="69" t="s">
        <v>229</v>
      </c>
      <c r="O327" s="69" t="s">
        <v>229</v>
      </c>
      <c r="P327" s="69" t="s">
        <v>229</v>
      </c>
      <c r="Q327" s="69" t="s">
        <v>229</v>
      </c>
      <c r="R327" s="69" t="s">
        <v>229</v>
      </c>
      <c r="S327" s="69" t="s">
        <v>229</v>
      </c>
      <c r="T327" s="70" t="s">
        <v>229</v>
      </c>
      <c r="U327" s="71" t="s">
        <v>229</v>
      </c>
      <c r="V327" s="72" t="s">
        <v>229</v>
      </c>
      <c r="W327" s="73" t="s">
        <v>229</v>
      </c>
      <c r="X327" s="72" t="s">
        <v>229</v>
      </c>
      <c r="Y327" s="70" t="s">
        <v>229</v>
      </c>
      <c r="Z327" s="73" t="s">
        <v>229</v>
      </c>
    </row>
    <row r="328" ht="15.75" customHeight="1">
      <c r="A328" s="87"/>
      <c r="B328" s="88"/>
      <c r="C328" s="88"/>
      <c r="D328" s="87"/>
      <c r="E328" s="87"/>
      <c r="F328" s="87"/>
      <c r="G328" s="85"/>
      <c r="H328" s="85"/>
      <c r="I328" s="86"/>
      <c r="J328" s="86"/>
      <c r="K328" s="83"/>
      <c r="L328" s="87"/>
      <c r="M328" s="79"/>
      <c r="N328" s="69" t="s">
        <v>229</v>
      </c>
      <c r="O328" s="69" t="s">
        <v>229</v>
      </c>
      <c r="P328" s="69" t="s">
        <v>229</v>
      </c>
      <c r="Q328" s="69" t="s">
        <v>229</v>
      </c>
      <c r="R328" s="69" t="s">
        <v>229</v>
      </c>
      <c r="S328" s="69" t="s">
        <v>229</v>
      </c>
      <c r="T328" s="70" t="s">
        <v>229</v>
      </c>
      <c r="U328" s="71" t="s">
        <v>229</v>
      </c>
      <c r="V328" s="72" t="s">
        <v>229</v>
      </c>
      <c r="W328" s="73" t="s">
        <v>229</v>
      </c>
      <c r="X328" s="72" t="s">
        <v>229</v>
      </c>
      <c r="Y328" s="70" t="s">
        <v>229</v>
      </c>
      <c r="Z328" s="73" t="s">
        <v>229</v>
      </c>
    </row>
    <row r="329" ht="15.75" customHeight="1">
      <c r="A329" s="87"/>
      <c r="B329" s="88"/>
      <c r="C329" s="88"/>
      <c r="D329" s="87"/>
      <c r="E329" s="87"/>
      <c r="F329" s="87"/>
      <c r="G329" s="85"/>
      <c r="H329" s="85"/>
      <c r="I329" s="86"/>
      <c r="J329" s="86"/>
      <c r="K329" s="83"/>
      <c r="L329" s="87"/>
      <c r="M329" s="79"/>
      <c r="N329" s="69" t="s">
        <v>229</v>
      </c>
      <c r="O329" s="69" t="s">
        <v>229</v>
      </c>
      <c r="P329" s="69" t="s">
        <v>229</v>
      </c>
      <c r="Q329" s="69" t="s">
        <v>229</v>
      </c>
      <c r="R329" s="69" t="s">
        <v>229</v>
      </c>
      <c r="S329" s="69" t="s">
        <v>229</v>
      </c>
      <c r="T329" s="70" t="s">
        <v>229</v>
      </c>
      <c r="U329" s="71" t="s">
        <v>229</v>
      </c>
      <c r="V329" s="72" t="s">
        <v>229</v>
      </c>
      <c r="W329" s="73" t="s">
        <v>229</v>
      </c>
      <c r="X329" s="72" t="s">
        <v>229</v>
      </c>
      <c r="Y329" s="70" t="s">
        <v>229</v>
      </c>
      <c r="Z329" s="73" t="s">
        <v>229</v>
      </c>
    </row>
    <row r="330" ht="15.75" customHeight="1">
      <c r="A330" s="87"/>
      <c r="B330" s="88"/>
      <c r="C330" s="88"/>
      <c r="D330" s="87"/>
      <c r="E330" s="87"/>
      <c r="F330" s="87"/>
      <c r="G330" s="85"/>
      <c r="H330" s="85"/>
      <c r="I330" s="86"/>
      <c r="J330" s="86"/>
      <c r="K330" s="83"/>
      <c r="L330" s="87"/>
      <c r="M330" s="79"/>
      <c r="N330" s="69" t="s">
        <v>229</v>
      </c>
      <c r="O330" s="69" t="s">
        <v>229</v>
      </c>
      <c r="P330" s="69" t="s">
        <v>229</v>
      </c>
      <c r="Q330" s="69" t="s">
        <v>229</v>
      </c>
      <c r="R330" s="69" t="s">
        <v>229</v>
      </c>
      <c r="S330" s="69" t="s">
        <v>229</v>
      </c>
      <c r="T330" s="70" t="s">
        <v>229</v>
      </c>
      <c r="U330" s="71" t="s">
        <v>229</v>
      </c>
      <c r="V330" s="72" t="s">
        <v>229</v>
      </c>
      <c r="W330" s="73" t="s">
        <v>229</v>
      </c>
      <c r="X330" s="72" t="s">
        <v>229</v>
      </c>
      <c r="Y330" s="70" t="s">
        <v>229</v>
      </c>
      <c r="Z330" s="73" t="s">
        <v>229</v>
      </c>
    </row>
    <row r="331" ht="15.75" customHeight="1">
      <c r="A331" s="87"/>
      <c r="B331" s="88"/>
      <c r="C331" s="88"/>
      <c r="D331" s="87"/>
      <c r="E331" s="87"/>
      <c r="F331" s="87"/>
      <c r="G331" s="85"/>
      <c r="H331" s="85"/>
      <c r="I331" s="86"/>
      <c r="J331" s="86"/>
      <c r="K331" s="83"/>
      <c r="L331" s="87"/>
      <c r="M331" s="79"/>
      <c r="N331" s="69" t="s">
        <v>229</v>
      </c>
      <c r="O331" s="69" t="s">
        <v>229</v>
      </c>
      <c r="P331" s="69" t="s">
        <v>229</v>
      </c>
      <c r="Q331" s="69" t="s">
        <v>229</v>
      </c>
      <c r="R331" s="69" t="s">
        <v>229</v>
      </c>
      <c r="S331" s="69" t="s">
        <v>229</v>
      </c>
      <c r="T331" s="70" t="s">
        <v>229</v>
      </c>
      <c r="U331" s="71" t="s">
        <v>229</v>
      </c>
      <c r="V331" s="72" t="s">
        <v>229</v>
      </c>
      <c r="W331" s="73" t="s">
        <v>229</v>
      </c>
      <c r="X331" s="72" t="s">
        <v>229</v>
      </c>
      <c r="Y331" s="70" t="s">
        <v>229</v>
      </c>
      <c r="Z331" s="73" t="s">
        <v>229</v>
      </c>
    </row>
    <row r="332" ht="15.75" customHeight="1">
      <c r="A332" s="87"/>
      <c r="B332" s="88"/>
      <c r="C332" s="88"/>
      <c r="D332" s="87"/>
      <c r="E332" s="87"/>
      <c r="F332" s="87"/>
      <c r="G332" s="85"/>
      <c r="H332" s="85"/>
      <c r="I332" s="86"/>
      <c r="J332" s="86"/>
      <c r="K332" s="83"/>
      <c r="L332" s="87"/>
      <c r="M332" s="79"/>
      <c r="N332" s="69" t="s">
        <v>229</v>
      </c>
      <c r="O332" s="69" t="s">
        <v>229</v>
      </c>
      <c r="P332" s="69" t="s">
        <v>229</v>
      </c>
      <c r="Q332" s="69" t="s">
        <v>229</v>
      </c>
      <c r="R332" s="69" t="s">
        <v>229</v>
      </c>
      <c r="S332" s="69" t="s">
        <v>229</v>
      </c>
      <c r="T332" s="70" t="s">
        <v>229</v>
      </c>
      <c r="U332" s="71" t="s">
        <v>229</v>
      </c>
      <c r="V332" s="72" t="s">
        <v>229</v>
      </c>
      <c r="W332" s="73" t="s">
        <v>229</v>
      </c>
      <c r="X332" s="72" t="s">
        <v>229</v>
      </c>
      <c r="Y332" s="70" t="s">
        <v>229</v>
      </c>
      <c r="Z332" s="73" t="s">
        <v>229</v>
      </c>
    </row>
    <row r="333" ht="15.75" customHeight="1">
      <c r="A333" s="87"/>
      <c r="B333" s="88"/>
      <c r="C333" s="88"/>
      <c r="D333" s="87"/>
      <c r="E333" s="87"/>
      <c r="F333" s="87"/>
      <c r="G333" s="85"/>
      <c r="H333" s="85"/>
      <c r="I333" s="86"/>
      <c r="J333" s="86"/>
      <c r="K333" s="83"/>
      <c r="L333" s="87"/>
      <c r="M333" s="79"/>
      <c r="N333" s="69" t="s">
        <v>229</v>
      </c>
      <c r="O333" s="69" t="s">
        <v>229</v>
      </c>
      <c r="P333" s="69" t="s">
        <v>229</v>
      </c>
      <c r="Q333" s="69" t="s">
        <v>229</v>
      </c>
      <c r="R333" s="69" t="s">
        <v>229</v>
      </c>
      <c r="S333" s="69" t="s">
        <v>229</v>
      </c>
      <c r="T333" s="70" t="s">
        <v>229</v>
      </c>
      <c r="U333" s="71" t="s">
        <v>229</v>
      </c>
      <c r="V333" s="72" t="s">
        <v>229</v>
      </c>
      <c r="W333" s="73" t="s">
        <v>229</v>
      </c>
      <c r="X333" s="72" t="s">
        <v>229</v>
      </c>
      <c r="Y333" s="70" t="s">
        <v>229</v>
      </c>
      <c r="Z333" s="73" t="s">
        <v>229</v>
      </c>
    </row>
    <row r="334" ht="15.75" customHeight="1">
      <c r="A334" s="87"/>
      <c r="B334" s="88"/>
      <c r="C334" s="88"/>
      <c r="D334" s="87"/>
      <c r="E334" s="87"/>
      <c r="F334" s="87"/>
      <c r="G334" s="85"/>
      <c r="H334" s="85"/>
      <c r="I334" s="86"/>
      <c r="J334" s="86"/>
      <c r="K334" s="83"/>
      <c r="L334" s="87"/>
      <c r="M334" s="79"/>
      <c r="N334" s="69" t="s">
        <v>229</v>
      </c>
      <c r="O334" s="69" t="s">
        <v>229</v>
      </c>
      <c r="P334" s="69" t="s">
        <v>229</v>
      </c>
      <c r="Q334" s="69" t="s">
        <v>229</v>
      </c>
      <c r="R334" s="69" t="s">
        <v>229</v>
      </c>
      <c r="S334" s="69" t="s">
        <v>229</v>
      </c>
      <c r="T334" s="70" t="s">
        <v>229</v>
      </c>
      <c r="U334" s="71" t="s">
        <v>229</v>
      </c>
      <c r="V334" s="72" t="s">
        <v>229</v>
      </c>
      <c r="W334" s="73" t="s">
        <v>229</v>
      </c>
      <c r="X334" s="72" t="s">
        <v>229</v>
      </c>
      <c r="Y334" s="70" t="s">
        <v>229</v>
      </c>
      <c r="Z334" s="73" t="s">
        <v>229</v>
      </c>
    </row>
    <row r="335" ht="15.75" customHeight="1">
      <c r="A335" s="87"/>
      <c r="B335" s="88"/>
      <c r="C335" s="88"/>
      <c r="D335" s="87"/>
      <c r="E335" s="87"/>
      <c r="F335" s="87"/>
      <c r="G335" s="85"/>
      <c r="H335" s="85"/>
      <c r="I335" s="86"/>
      <c r="J335" s="86"/>
      <c r="K335" s="83"/>
      <c r="L335" s="87"/>
      <c r="M335" s="79"/>
      <c r="N335" s="69" t="s">
        <v>229</v>
      </c>
      <c r="O335" s="69" t="s">
        <v>229</v>
      </c>
      <c r="P335" s="69" t="s">
        <v>229</v>
      </c>
      <c r="Q335" s="69" t="s">
        <v>229</v>
      </c>
      <c r="R335" s="69" t="s">
        <v>229</v>
      </c>
      <c r="S335" s="69" t="s">
        <v>229</v>
      </c>
      <c r="T335" s="70" t="s">
        <v>229</v>
      </c>
      <c r="U335" s="71" t="s">
        <v>229</v>
      </c>
      <c r="V335" s="72" t="s">
        <v>229</v>
      </c>
      <c r="W335" s="73" t="s">
        <v>229</v>
      </c>
      <c r="X335" s="72" t="s">
        <v>229</v>
      </c>
      <c r="Y335" s="70" t="s">
        <v>229</v>
      </c>
      <c r="Z335" s="73" t="s">
        <v>229</v>
      </c>
    </row>
    <row r="336" ht="15.75" customHeight="1">
      <c r="A336" s="87"/>
      <c r="B336" s="88"/>
      <c r="C336" s="88"/>
      <c r="D336" s="87"/>
      <c r="E336" s="87"/>
      <c r="F336" s="87"/>
      <c r="G336" s="85"/>
      <c r="H336" s="85"/>
      <c r="I336" s="86"/>
      <c r="J336" s="86"/>
      <c r="K336" s="83"/>
      <c r="L336" s="87"/>
      <c r="M336" s="79"/>
      <c r="N336" s="69" t="s">
        <v>229</v>
      </c>
      <c r="O336" s="69" t="s">
        <v>229</v>
      </c>
      <c r="P336" s="69" t="s">
        <v>229</v>
      </c>
      <c r="Q336" s="69" t="s">
        <v>229</v>
      </c>
      <c r="R336" s="69" t="s">
        <v>229</v>
      </c>
      <c r="S336" s="69" t="s">
        <v>229</v>
      </c>
      <c r="T336" s="70" t="s">
        <v>229</v>
      </c>
      <c r="U336" s="71" t="s">
        <v>229</v>
      </c>
      <c r="V336" s="72" t="s">
        <v>229</v>
      </c>
      <c r="W336" s="73" t="s">
        <v>229</v>
      </c>
      <c r="X336" s="72" t="s">
        <v>229</v>
      </c>
      <c r="Y336" s="70" t="s">
        <v>229</v>
      </c>
      <c r="Z336" s="73" t="s">
        <v>229</v>
      </c>
    </row>
    <row r="337" ht="15.75" customHeight="1">
      <c r="A337" s="87"/>
      <c r="B337" s="88"/>
      <c r="C337" s="88"/>
      <c r="D337" s="87"/>
      <c r="E337" s="87"/>
      <c r="F337" s="87"/>
      <c r="G337" s="85"/>
      <c r="H337" s="85"/>
      <c r="I337" s="86"/>
      <c r="J337" s="86"/>
      <c r="K337" s="83"/>
      <c r="L337" s="87"/>
      <c r="M337" s="79"/>
      <c r="N337" s="69" t="s">
        <v>229</v>
      </c>
      <c r="O337" s="69" t="s">
        <v>229</v>
      </c>
      <c r="P337" s="69" t="s">
        <v>229</v>
      </c>
      <c r="Q337" s="69" t="s">
        <v>229</v>
      </c>
      <c r="R337" s="69" t="s">
        <v>229</v>
      </c>
      <c r="S337" s="69" t="s">
        <v>229</v>
      </c>
      <c r="T337" s="70" t="s">
        <v>229</v>
      </c>
      <c r="U337" s="71" t="s">
        <v>229</v>
      </c>
      <c r="V337" s="72" t="s">
        <v>229</v>
      </c>
      <c r="W337" s="73" t="s">
        <v>229</v>
      </c>
      <c r="X337" s="72" t="s">
        <v>229</v>
      </c>
      <c r="Y337" s="70" t="s">
        <v>229</v>
      </c>
      <c r="Z337" s="73" t="s">
        <v>229</v>
      </c>
    </row>
    <row r="338" ht="15.75" customHeight="1">
      <c r="A338" s="87"/>
      <c r="B338" s="88"/>
      <c r="C338" s="88"/>
      <c r="D338" s="87"/>
      <c r="E338" s="87"/>
      <c r="F338" s="87"/>
      <c r="G338" s="85"/>
      <c r="H338" s="85"/>
      <c r="I338" s="86"/>
      <c r="J338" s="86"/>
      <c r="K338" s="83"/>
      <c r="L338" s="87"/>
      <c r="M338" s="79"/>
      <c r="N338" s="69" t="s">
        <v>229</v>
      </c>
      <c r="O338" s="69" t="s">
        <v>229</v>
      </c>
      <c r="P338" s="69" t="s">
        <v>229</v>
      </c>
      <c r="Q338" s="69" t="s">
        <v>229</v>
      </c>
      <c r="R338" s="69" t="s">
        <v>229</v>
      </c>
      <c r="S338" s="69" t="s">
        <v>229</v>
      </c>
      <c r="T338" s="70" t="s">
        <v>229</v>
      </c>
      <c r="U338" s="71" t="s">
        <v>229</v>
      </c>
      <c r="V338" s="72" t="s">
        <v>229</v>
      </c>
      <c r="W338" s="73" t="s">
        <v>229</v>
      </c>
      <c r="X338" s="72" t="s">
        <v>229</v>
      </c>
      <c r="Y338" s="70" t="s">
        <v>229</v>
      </c>
      <c r="Z338" s="73" t="s">
        <v>229</v>
      </c>
    </row>
    <row r="339" ht="15.75" customHeight="1">
      <c r="A339" s="87"/>
      <c r="B339" s="88"/>
      <c r="C339" s="88"/>
      <c r="D339" s="87"/>
      <c r="E339" s="87"/>
      <c r="F339" s="87"/>
      <c r="G339" s="85"/>
      <c r="H339" s="85"/>
      <c r="I339" s="86"/>
      <c r="J339" s="86"/>
      <c r="K339" s="83"/>
      <c r="L339" s="87"/>
      <c r="M339" s="79"/>
      <c r="N339" s="69" t="s">
        <v>229</v>
      </c>
      <c r="O339" s="69" t="s">
        <v>229</v>
      </c>
      <c r="P339" s="69" t="s">
        <v>229</v>
      </c>
      <c r="Q339" s="69" t="s">
        <v>229</v>
      </c>
      <c r="R339" s="69" t="s">
        <v>229</v>
      </c>
      <c r="S339" s="69" t="s">
        <v>229</v>
      </c>
      <c r="T339" s="70" t="s">
        <v>229</v>
      </c>
      <c r="U339" s="71" t="s">
        <v>229</v>
      </c>
      <c r="V339" s="72" t="s">
        <v>229</v>
      </c>
      <c r="W339" s="73" t="s">
        <v>229</v>
      </c>
      <c r="X339" s="72" t="s">
        <v>229</v>
      </c>
      <c r="Y339" s="70" t="s">
        <v>229</v>
      </c>
      <c r="Z339" s="73" t="s">
        <v>229</v>
      </c>
    </row>
    <row r="340" ht="15.75" customHeight="1">
      <c r="A340" s="87"/>
      <c r="B340" s="88"/>
      <c r="C340" s="88"/>
      <c r="D340" s="87"/>
      <c r="E340" s="87"/>
      <c r="F340" s="87"/>
      <c r="G340" s="85"/>
      <c r="H340" s="85"/>
      <c r="I340" s="86"/>
      <c r="J340" s="86"/>
      <c r="K340" s="83"/>
      <c r="L340" s="87"/>
      <c r="M340" s="79"/>
      <c r="N340" s="69" t="s">
        <v>229</v>
      </c>
      <c r="O340" s="69" t="s">
        <v>229</v>
      </c>
      <c r="P340" s="69" t="s">
        <v>229</v>
      </c>
      <c r="Q340" s="69" t="s">
        <v>229</v>
      </c>
      <c r="R340" s="69" t="s">
        <v>229</v>
      </c>
      <c r="S340" s="69" t="s">
        <v>229</v>
      </c>
      <c r="T340" s="70" t="s">
        <v>229</v>
      </c>
      <c r="U340" s="71" t="s">
        <v>229</v>
      </c>
      <c r="V340" s="72" t="s">
        <v>229</v>
      </c>
      <c r="W340" s="73" t="s">
        <v>229</v>
      </c>
      <c r="X340" s="72" t="s">
        <v>229</v>
      </c>
      <c r="Y340" s="70" t="s">
        <v>229</v>
      </c>
      <c r="Z340" s="73" t="s">
        <v>229</v>
      </c>
    </row>
    <row r="341" ht="15.75" customHeight="1">
      <c r="A341" s="87"/>
      <c r="B341" s="88"/>
      <c r="C341" s="88"/>
      <c r="D341" s="87"/>
      <c r="E341" s="87"/>
      <c r="F341" s="87"/>
      <c r="G341" s="85"/>
      <c r="H341" s="85"/>
      <c r="I341" s="86"/>
      <c r="J341" s="86"/>
      <c r="K341" s="83"/>
      <c r="L341" s="87"/>
      <c r="M341" s="79"/>
      <c r="N341" s="69" t="s">
        <v>229</v>
      </c>
      <c r="O341" s="69" t="s">
        <v>229</v>
      </c>
      <c r="P341" s="69" t="s">
        <v>229</v>
      </c>
      <c r="Q341" s="69" t="s">
        <v>229</v>
      </c>
      <c r="R341" s="69" t="s">
        <v>229</v>
      </c>
      <c r="S341" s="69" t="s">
        <v>229</v>
      </c>
      <c r="T341" s="70" t="s">
        <v>229</v>
      </c>
      <c r="U341" s="71" t="s">
        <v>229</v>
      </c>
      <c r="V341" s="72" t="s">
        <v>229</v>
      </c>
      <c r="W341" s="73" t="s">
        <v>229</v>
      </c>
      <c r="X341" s="72" t="s">
        <v>229</v>
      </c>
      <c r="Y341" s="70" t="s">
        <v>229</v>
      </c>
      <c r="Z341" s="73" t="s">
        <v>229</v>
      </c>
    </row>
    <row r="342" ht="15.75" customHeight="1">
      <c r="A342" s="87"/>
      <c r="B342" s="88"/>
      <c r="C342" s="88"/>
      <c r="D342" s="87"/>
      <c r="E342" s="87"/>
      <c r="F342" s="87"/>
      <c r="G342" s="85"/>
      <c r="H342" s="85"/>
      <c r="I342" s="86"/>
      <c r="J342" s="86"/>
      <c r="K342" s="83"/>
      <c r="L342" s="87"/>
      <c r="M342" s="79"/>
      <c r="N342" s="69" t="s">
        <v>229</v>
      </c>
      <c r="O342" s="69" t="s">
        <v>229</v>
      </c>
      <c r="P342" s="69" t="s">
        <v>229</v>
      </c>
      <c r="Q342" s="69" t="s">
        <v>229</v>
      </c>
      <c r="R342" s="69" t="s">
        <v>229</v>
      </c>
      <c r="S342" s="69" t="s">
        <v>229</v>
      </c>
      <c r="T342" s="70" t="s">
        <v>229</v>
      </c>
      <c r="U342" s="71" t="s">
        <v>229</v>
      </c>
      <c r="V342" s="72" t="s">
        <v>229</v>
      </c>
      <c r="W342" s="73" t="s">
        <v>229</v>
      </c>
      <c r="X342" s="72" t="s">
        <v>229</v>
      </c>
      <c r="Y342" s="70" t="s">
        <v>229</v>
      </c>
      <c r="Z342" s="73" t="s">
        <v>229</v>
      </c>
    </row>
    <row r="343" ht="15.75" customHeight="1">
      <c r="A343" s="87"/>
      <c r="B343" s="88"/>
      <c r="C343" s="88"/>
      <c r="D343" s="87"/>
      <c r="E343" s="87"/>
      <c r="F343" s="87"/>
      <c r="G343" s="85"/>
      <c r="H343" s="85"/>
      <c r="I343" s="86"/>
      <c r="J343" s="86"/>
      <c r="K343" s="83"/>
      <c r="L343" s="87"/>
      <c r="M343" s="79"/>
      <c r="N343" s="69" t="s">
        <v>229</v>
      </c>
      <c r="O343" s="69" t="s">
        <v>229</v>
      </c>
      <c r="P343" s="69" t="s">
        <v>229</v>
      </c>
      <c r="Q343" s="69" t="s">
        <v>229</v>
      </c>
      <c r="R343" s="69" t="s">
        <v>229</v>
      </c>
      <c r="S343" s="69" t="s">
        <v>229</v>
      </c>
      <c r="T343" s="70" t="s">
        <v>229</v>
      </c>
      <c r="U343" s="71" t="s">
        <v>229</v>
      </c>
      <c r="V343" s="72" t="s">
        <v>229</v>
      </c>
      <c r="W343" s="73" t="s">
        <v>229</v>
      </c>
      <c r="X343" s="72" t="s">
        <v>229</v>
      </c>
      <c r="Y343" s="70" t="s">
        <v>229</v>
      </c>
      <c r="Z343" s="73" t="s">
        <v>229</v>
      </c>
    </row>
    <row r="344" ht="15.75" customHeight="1">
      <c r="A344" s="87"/>
      <c r="B344" s="88"/>
      <c r="C344" s="88"/>
      <c r="D344" s="87"/>
      <c r="E344" s="87"/>
      <c r="F344" s="87"/>
      <c r="G344" s="85"/>
      <c r="H344" s="85"/>
      <c r="I344" s="86"/>
      <c r="J344" s="86"/>
      <c r="K344" s="83"/>
      <c r="L344" s="87"/>
      <c r="M344" s="79"/>
      <c r="N344" s="69" t="s">
        <v>229</v>
      </c>
      <c r="O344" s="69" t="s">
        <v>229</v>
      </c>
      <c r="P344" s="69" t="s">
        <v>229</v>
      </c>
      <c r="Q344" s="69" t="s">
        <v>229</v>
      </c>
      <c r="R344" s="69" t="s">
        <v>229</v>
      </c>
      <c r="S344" s="69" t="s">
        <v>229</v>
      </c>
      <c r="T344" s="70" t="s">
        <v>229</v>
      </c>
      <c r="U344" s="71" t="s">
        <v>229</v>
      </c>
      <c r="V344" s="72" t="s">
        <v>229</v>
      </c>
      <c r="W344" s="73" t="s">
        <v>229</v>
      </c>
      <c r="X344" s="72" t="s">
        <v>229</v>
      </c>
      <c r="Y344" s="70" t="s">
        <v>229</v>
      </c>
      <c r="Z344" s="73" t="s">
        <v>229</v>
      </c>
    </row>
    <row r="345" ht="15.75" customHeight="1">
      <c r="A345" s="87"/>
      <c r="B345" s="88"/>
      <c r="C345" s="88"/>
      <c r="D345" s="87"/>
      <c r="E345" s="87"/>
      <c r="F345" s="87"/>
      <c r="G345" s="85"/>
      <c r="H345" s="85"/>
      <c r="I345" s="86"/>
      <c r="J345" s="86"/>
      <c r="K345" s="83"/>
      <c r="L345" s="87"/>
      <c r="M345" s="79"/>
      <c r="N345" s="69" t="s">
        <v>229</v>
      </c>
      <c r="O345" s="69" t="s">
        <v>229</v>
      </c>
      <c r="P345" s="69" t="s">
        <v>229</v>
      </c>
      <c r="Q345" s="69" t="s">
        <v>229</v>
      </c>
      <c r="R345" s="69" t="s">
        <v>229</v>
      </c>
      <c r="S345" s="69" t="s">
        <v>229</v>
      </c>
      <c r="T345" s="70" t="s">
        <v>229</v>
      </c>
      <c r="U345" s="71" t="s">
        <v>229</v>
      </c>
      <c r="V345" s="72" t="s">
        <v>229</v>
      </c>
      <c r="W345" s="73" t="s">
        <v>229</v>
      </c>
      <c r="X345" s="72" t="s">
        <v>229</v>
      </c>
      <c r="Y345" s="70" t="s">
        <v>229</v>
      </c>
      <c r="Z345" s="73" t="s">
        <v>229</v>
      </c>
    </row>
    <row r="346" ht="15.75" customHeight="1">
      <c r="A346" s="87"/>
      <c r="B346" s="88"/>
      <c r="C346" s="88"/>
      <c r="D346" s="87"/>
      <c r="E346" s="87"/>
      <c r="F346" s="87"/>
      <c r="G346" s="85"/>
      <c r="H346" s="85"/>
      <c r="I346" s="86"/>
      <c r="J346" s="86"/>
      <c r="K346" s="83"/>
      <c r="L346" s="87"/>
      <c r="M346" s="79"/>
      <c r="N346" s="69" t="s">
        <v>229</v>
      </c>
      <c r="O346" s="69" t="s">
        <v>229</v>
      </c>
      <c r="P346" s="69" t="s">
        <v>229</v>
      </c>
      <c r="Q346" s="69" t="s">
        <v>229</v>
      </c>
      <c r="R346" s="69" t="s">
        <v>229</v>
      </c>
      <c r="S346" s="69" t="s">
        <v>229</v>
      </c>
      <c r="T346" s="70" t="s">
        <v>229</v>
      </c>
      <c r="U346" s="71" t="s">
        <v>229</v>
      </c>
      <c r="V346" s="72" t="s">
        <v>229</v>
      </c>
      <c r="W346" s="73" t="s">
        <v>229</v>
      </c>
      <c r="X346" s="72" t="s">
        <v>229</v>
      </c>
      <c r="Y346" s="70" t="s">
        <v>229</v>
      </c>
      <c r="Z346" s="73" t="s">
        <v>229</v>
      </c>
    </row>
    <row r="347" ht="15.75" customHeight="1">
      <c r="A347" s="87"/>
      <c r="B347" s="88"/>
      <c r="C347" s="88"/>
      <c r="D347" s="87"/>
      <c r="E347" s="87"/>
      <c r="F347" s="87"/>
      <c r="G347" s="85"/>
      <c r="H347" s="85"/>
      <c r="I347" s="86"/>
      <c r="J347" s="86"/>
      <c r="K347" s="83"/>
      <c r="L347" s="87"/>
      <c r="M347" s="79"/>
      <c r="N347" s="69" t="s">
        <v>229</v>
      </c>
      <c r="O347" s="69" t="s">
        <v>229</v>
      </c>
      <c r="P347" s="69" t="s">
        <v>229</v>
      </c>
      <c r="Q347" s="69" t="s">
        <v>229</v>
      </c>
      <c r="R347" s="69" t="s">
        <v>229</v>
      </c>
      <c r="S347" s="69" t="s">
        <v>229</v>
      </c>
      <c r="T347" s="70" t="s">
        <v>229</v>
      </c>
      <c r="U347" s="71" t="s">
        <v>229</v>
      </c>
      <c r="V347" s="72" t="s">
        <v>229</v>
      </c>
      <c r="W347" s="73" t="s">
        <v>229</v>
      </c>
      <c r="X347" s="72" t="s">
        <v>229</v>
      </c>
      <c r="Y347" s="70" t="s">
        <v>229</v>
      </c>
      <c r="Z347" s="73" t="s">
        <v>229</v>
      </c>
    </row>
    <row r="348" ht="15.75" customHeight="1">
      <c r="A348" s="87"/>
      <c r="B348" s="88"/>
      <c r="C348" s="88"/>
      <c r="D348" s="87"/>
      <c r="E348" s="87"/>
      <c r="F348" s="87"/>
      <c r="G348" s="85"/>
      <c r="H348" s="85"/>
      <c r="I348" s="86"/>
      <c r="J348" s="86"/>
      <c r="K348" s="83"/>
      <c r="L348" s="87"/>
      <c r="M348" s="79"/>
      <c r="N348" s="69" t="s">
        <v>229</v>
      </c>
      <c r="O348" s="69" t="s">
        <v>229</v>
      </c>
      <c r="P348" s="69" t="s">
        <v>229</v>
      </c>
      <c r="Q348" s="69" t="s">
        <v>229</v>
      </c>
      <c r="R348" s="69" t="s">
        <v>229</v>
      </c>
      <c r="S348" s="69" t="s">
        <v>229</v>
      </c>
      <c r="T348" s="70" t="s">
        <v>229</v>
      </c>
      <c r="U348" s="71" t="s">
        <v>229</v>
      </c>
      <c r="V348" s="72" t="s">
        <v>229</v>
      </c>
      <c r="W348" s="73" t="s">
        <v>229</v>
      </c>
      <c r="X348" s="72" t="s">
        <v>229</v>
      </c>
      <c r="Y348" s="70" t="s">
        <v>229</v>
      </c>
      <c r="Z348" s="73" t="s">
        <v>229</v>
      </c>
    </row>
    <row r="349" ht="15.75" customHeight="1">
      <c r="A349" s="87"/>
      <c r="B349" s="88"/>
      <c r="C349" s="88"/>
      <c r="D349" s="87"/>
      <c r="E349" s="87"/>
      <c r="F349" s="87"/>
      <c r="G349" s="85"/>
      <c r="H349" s="85"/>
      <c r="I349" s="86"/>
      <c r="J349" s="86"/>
      <c r="K349" s="83"/>
      <c r="L349" s="87"/>
      <c r="M349" s="79"/>
      <c r="N349" s="69" t="s">
        <v>229</v>
      </c>
      <c r="O349" s="69" t="s">
        <v>229</v>
      </c>
      <c r="P349" s="69" t="s">
        <v>229</v>
      </c>
      <c r="Q349" s="69" t="s">
        <v>229</v>
      </c>
      <c r="R349" s="69" t="s">
        <v>229</v>
      </c>
      <c r="S349" s="69" t="s">
        <v>229</v>
      </c>
      <c r="T349" s="70" t="s">
        <v>229</v>
      </c>
      <c r="U349" s="71" t="s">
        <v>229</v>
      </c>
      <c r="V349" s="72" t="s">
        <v>229</v>
      </c>
      <c r="W349" s="73" t="s">
        <v>229</v>
      </c>
      <c r="X349" s="72" t="s">
        <v>229</v>
      </c>
      <c r="Y349" s="70" t="s">
        <v>229</v>
      </c>
      <c r="Z349" s="73" t="s">
        <v>229</v>
      </c>
    </row>
    <row r="350" ht="15.75" customHeight="1">
      <c r="A350" s="87"/>
      <c r="B350" s="88"/>
      <c r="C350" s="88"/>
      <c r="D350" s="87"/>
      <c r="E350" s="87"/>
      <c r="F350" s="87"/>
      <c r="G350" s="85"/>
      <c r="H350" s="85"/>
      <c r="I350" s="86"/>
      <c r="J350" s="86"/>
      <c r="K350" s="83"/>
      <c r="L350" s="87"/>
      <c r="M350" s="79"/>
      <c r="N350" s="69" t="s">
        <v>229</v>
      </c>
      <c r="O350" s="69" t="s">
        <v>229</v>
      </c>
      <c r="P350" s="69" t="s">
        <v>229</v>
      </c>
      <c r="Q350" s="69" t="s">
        <v>229</v>
      </c>
      <c r="R350" s="69" t="s">
        <v>229</v>
      </c>
      <c r="S350" s="69" t="s">
        <v>229</v>
      </c>
      <c r="T350" s="70" t="s">
        <v>229</v>
      </c>
      <c r="U350" s="71" t="s">
        <v>229</v>
      </c>
      <c r="V350" s="72" t="s">
        <v>229</v>
      </c>
      <c r="W350" s="73" t="s">
        <v>229</v>
      </c>
      <c r="X350" s="72" t="s">
        <v>229</v>
      </c>
      <c r="Y350" s="70" t="s">
        <v>229</v>
      </c>
      <c r="Z350" s="73" t="s">
        <v>229</v>
      </c>
    </row>
    <row r="351" ht="15.75" customHeight="1">
      <c r="A351" s="87"/>
      <c r="B351" s="88"/>
      <c r="C351" s="88"/>
      <c r="D351" s="87"/>
      <c r="E351" s="87"/>
      <c r="F351" s="87"/>
      <c r="G351" s="85"/>
      <c r="H351" s="85"/>
      <c r="I351" s="86"/>
      <c r="J351" s="86"/>
      <c r="K351" s="83"/>
      <c r="L351" s="87"/>
      <c r="M351" s="79"/>
      <c r="N351" s="69" t="s">
        <v>229</v>
      </c>
      <c r="O351" s="69" t="s">
        <v>229</v>
      </c>
      <c r="P351" s="69" t="s">
        <v>229</v>
      </c>
      <c r="Q351" s="69" t="s">
        <v>229</v>
      </c>
      <c r="R351" s="69" t="s">
        <v>229</v>
      </c>
      <c r="S351" s="69" t="s">
        <v>229</v>
      </c>
      <c r="T351" s="70" t="s">
        <v>229</v>
      </c>
      <c r="U351" s="71" t="s">
        <v>229</v>
      </c>
      <c r="V351" s="72" t="s">
        <v>229</v>
      </c>
      <c r="W351" s="73" t="s">
        <v>229</v>
      </c>
      <c r="X351" s="72" t="s">
        <v>229</v>
      </c>
      <c r="Y351" s="70" t="s">
        <v>229</v>
      </c>
      <c r="Z351" s="73" t="s">
        <v>229</v>
      </c>
    </row>
    <row r="352" ht="15.75" customHeight="1">
      <c r="A352" s="87"/>
      <c r="B352" s="88"/>
      <c r="C352" s="88"/>
      <c r="D352" s="87"/>
      <c r="E352" s="87"/>
      <c r="F352" s="87"/>
      <c r="G352" s="85"/>
      <c r="H352" s="85"/>
      <c r="I352" s="86"/>
      <c r="J352" s="86"/>
      <c r="K352" s="83"/>
      <c r="L352" s="87"/>
      <c r="M352" s="79"/>
      <c r="N352" s="69" t="s">
        <v>229</v>
      </c>
      <c r="O352" s="69" t="s">
        <v>229</v>
      </c>
      <c r="P352" s="69" t="s">
        <v>229</v>
      </c>
      <c r="Q352" s="69" t="s">
        <v>229</v>
      </c>
      <c r="R352" s="69" t="s">
        <v>229</v>
      </c>
      <c r="S352" s="69" t="s">
        <v>229</v>
      </c>
      <c r="T352" s="70" t="s">
        <v>229</v>
      </c>
      <c r="U352" s="71" t="s">
        <v>229</v>
      </c>
      <c r="V352" s="72" t="s">
        <v>229</v>
      </c>
      <c r="W352" s="73" t="s">
        <v>229</v>
      </c>
      <c r="X352" s="72" t="s">
        <v>229</v>
      </c>
      <c r="Y352" s="70" t="s">
        <v>229</v>
      </c>
      <c r="Z352" s="73" t="s">
        <v>229</v>
      </c>
    </row>
    <row r="353" ht="15.75" customHeight="1">
      <c r="A353" s="87"/>
      <c r="B353" s="88"/>
      <c r="C353" s="88"/>
      <c r="D353" s="87"/>
      <c r="E353" s="87"/>
      <c r="F353" s="87"/>
      <c r="G353" s="85"/>
      <c r="H353" s="85"/>
      <c r="I353" s="86"/>
      <c r="J353" s="86"/>
      <c r="K353" s="83"/>
      <c r="L353" s="87"/>
      <c r="M353" s="79"/>
      <c r="N353" s="69" t="s">
        <v>229</v>
      </c>
      <c r="O353" s="69" t="s">
        <v>229</v>
      </c>
      <c r="P353" s="69" t="s">
        <v>229</v>
      </c>
      <c r="Q353" s="69" t="s">
        <v>229</v>
      </c>
      <c r="R353" s="69" t="s">
        <v>229</v>
      </c>
      <c r="S353" s="69" t="s">
        <v>229</v>
      </c>
      <c r="T353" s="70" t="s">
        <v>229</v>
      </c>
      <c r="U353" s="71" t="s">
        <v>229</v>
      </c>
      <c r="V353" s="72" t="s">
        <v>229</v>
      </c>
      <c r="W353" s="73" t="s">
        <v>229</v>
      </c>
      <c r="X353" s="72" t="s">
        <v>229</v>
      </c>
      <c r="Y353" s="70" t="s">
        <v>229</v>
      </c>
      <c r="Z353" s="73" t="s">
        <v>229</v>
      </c>
    </row>
    <row r="354" ht="15.75" customHeight="1">
      <c r="A354" s="87"/>
      <c r="B354" s="88"/>
      <c r="C354" s="88"/>
      <c r="D354" s="87"/>
      <c r="E354" s="87"/>
      <c r="F354" s="87"/>
      <c r="G354" s="85"/>
      <c r="H354" s="85"/>
      <c r="I354" s="86"/>
      <c r="J354" s="86"/>
      <c r="K354" s="83"/>
      <c r="L354" s="87"/>
      <c r="M354" s="79"/>
      <c r="N354" s="69" t="s">
        <v>229</v>
      </c>
      <c r="O354" s="69" t="s">
        <v>229</v>
      </c>
      <c r="P354" s="69" t="s">
        <v>229</v>
      </c>
      <c r="Q354" s="69" t="s">
        <v>229</v>
      </c>
      <c r="R354" s="69" t="s">
        <v>229</v>
      </c>
      <c r="S354" s="69" t="s">
        <v>229</v>
      </c>
      <c r="T354" s="70" t="s">
        <v>229</v>
      </c>
      <c r="U354" s="71" t="s">
        <v>229</v>
      </c>
      <c r="V354" s="72" t="s">
        <v>229</v>
      </c>
      <c r="W354" s="73" t="s">
        <v>229</v>
      </c>
      <c r="X354" s="72" t="s">
        <v>229</v>
      </c>
      <c r="Y354" s="70" t="s">
        <v>229</v>
      </c>
      <c r="Z354" s="73" t="s">
        <v>229</v>
      </c>
    </row>
    <row r="355" ht="15.75" customHeight="1">
      <c r="A355" s="87"/>
      <c r="B355" s="88"/>
      <c r="C355" s="88"/>
      <c r="D355" s="87"/>
      <c r="E355" s="87"/>
      <c r="F355" s="87"/>
      <c r="G355" s="85"/>
      <c r="H355" s="85"/>
      <c r="I355" s="86"/>
      <c r="J355" s="86"/>
      <c r="K355" s="83"/>
      <c r="L355" s="87"/>
      <c r="M355" s="79"/>
      <c r="N355" s="69" t="s">
        <v>229</v>
      </c>
      <c r="O355" s="69" t="s">
        <v>229</v>
      </c>
      <c r="P355" s="69" t="s">
        <v>229</v>
      </c>
      <c r="Q355" s="69" t="s">
        <v>229</v>
      </c>
      <c r="R355" s="69" t="s">
        <v>229</v>
      </c>
      <c r="S355" s="69" t="s">
        <v>229</v>
      </c>
      <c r="T355" s="70" t="s">
        <v>229</v>
      </c>
      <c r="U355" s="71" t="s">
        <v>229</v>
      </c>
      <c r="V355" s="72" t="s">
        <v>229</v>
      </c>
      <c r="W355" s="73" t="s">
        <v>229</v>
      </c>
      <c r="X355" s="72" t="s">
        <v>229</v>
      </c>
      <c r="Y355" s="70" t="s">
        <v>229</v>
      </c>
      <c r="Z355" s="73" t="s">
        <v>229</v>
      </c>
    </row>
    <row r="356" ht="15.75" customHeight="1">
      <c r="A356" s="87"/>
      <c r="B356" s="88"/>
      <c r="C356" s="88"/>
      <c r="D356" s="87"/>
      <c r="E356" s="87"/>
      <c r="F356" s="87"/>
      <c r="G356" s="85"/>
      <c r="H356" s="85"/>
      <c r="I356" s="86"/>
      <c r="J356" s="86"/>
      <c r="K356" s="83"/>
      <c r="L356" s="87"/>
      <c r="M356" s="79"/>
      <c r="N356" s="69" t="s">
        <v>229</v>
      </c>
      <c r="O356" s="69" t="s">
        <v>229</v>
      </c>
      <c r="P356" s="69" t="s">
        <v>229</v>
      </c>
      <c r="Q356" s="69" t="s">
        <v>229</v>
      </c>
      <c r="R356" s="69" t="s">
        <v>229</v>
      </c>
      <c r="S356" s="69" t="s">
        <v>229</v>
      </c>
      <c r="T356" s="70" t="s">
        <v>229</v>
      </c>
      <c r="U356" s="71" t="s">
        <v>229</v>
      </c>
      <c r="V356" s="72" t="s">
        <v>229</v>
      </c>
      <c r="W356" s="73" t="s">
        <v>229</v>
      </c>
      <c r="X356" s="72" t="s">
        <v>229</v>
      </c>
      <c r="Y356" s="70" t="s">
        <v>229</v>
      </c>
      <c r="Z356" s="73" t="s">
        <v>229</v>
      </c>
    </row>
    <row r="357" ht="15.75" customHeight="1">
      <c r="A357" s="87"/>
      <c r="B357" s="88"/>
      <c r="C357" s="88"/>
      <c r="D357" s="87"/>
      <c r="E357" s="87"/>
      <c r="F357" s="87"/>
      <c r="G357" s="85"/>
      <c r="H357" s="85"/>
      <c r="I357" s="86"/>
      <c r="J357" s="86"/>
      <c r="K357" s="83"/>
      <c r="L357" s="87"/>
      <c r="M357" s="79"/>
      <c r="N357" s="69" t="s">
        <v>229</v>
      </c>
      <c r="O357" s="69" t="s">
        <v>229</v>
      </c>
      <c r="P357" s="69" t="s">
        <v>229</v>
      </c>
      <c r="Q357" s="69" t="s">
        <v>229</v>
      </c>
      <c r="R357" s="69" t="s">
        <v>229</v>
      </c>
      <c r="S357" s="69" t="s">
        <v>229</v>
      </c>
      <c r="T357" s="70" t="s">
        <v>229</v>
      </c>
      <c r="U357" s="71" t="s">
        <v>229</v>
      </c>
      <c r="V357" s="72" t="s">
        <v>229</v>
      </c>
      <c r="W357" s="73" t="s">
        <v>229</v>
      </c>
      <c r="X357" s="72" t="s">
        <v>229</v>
      </c>
      <c r="Y357" s="70" t="s">
        <v>229</v>
      </c>
      <c r="Z357" s="73" t="s">
        <v>229</v>
      </c>
    </row>
    <row r="358" ht="15.75" customHeight="1">
      <c r="A358" s="87"/>
      <c r="B358" s="88"/>
      <c r="C358" s="88"/>
      <c r="D358" s="87"/>
      <c r="E358" s="87"/>
      <c r="F358" s="87"/>
      <c r="G358" s="85"/>
      <c r="H358" s="85"/>
      <c r="I358" s="86"/>
      <c r="J358" s="86"/>
      <c r="K358" s="83"/>
      <c r="L358" s="87"/>
      <c r="M358" s="79"/>
      <c r="N358" s="69" t="s">
        <v>229</v>
      </c>
      <c r="O358" s="69" t="s">
        <v>229</v>
      </c>
      <c r="P358" s="69" t="s">
        <v>229</v>
      </c>
      <c r="Q358" s="69" t="s">
        <v>229</v>
      </c>
      <c r="R358" s="69" t="s">
        <v>229</v>
      </c>
      <c r="S358" s="69" t="s">
        <v>229</v>
      </c>
      <c r="T358" s="70" t="s">
        <v>229</v>
      </c>
      <c r="U358" s="71" t="s">
        <v>229</v>
      </c>
      <c r="V358" s="72" t="s">
        <v>229</v>
      </c>
      <c r="W358" s="73" t="s">
        <v>229</v>
      </c>
      <c r="X358" s="72" t="s">
        <v>229</v>
      </c>
      <c r="Y358" s="70" t="s">
        <v>229</v>
      </c>
      <c r="Z358" s="73" t="s">
        <v>229</v>
      </c>
    </row>
    <row r="359" ht="15.75" customHeight="1">
      <c r="A359" s="87"/>
      <c r="B359" s="88"/>
      <c r="C359" s="88"/>
      <c r="D359" s="87"/>
      <c r="E359" s="87"/>
      <c r="F359" s="87"/>
      <c r="G359" s="85"/>
      <c r="H359" s="85"/>
      <c r="I359" s="86"/>
      <c r="J359" s="86"/>
      <c r="K359" s="83"/>
      <c r="L359" s="87"/>
      <c r="M359" s="79"/>
      <c r="N359" s="69" t="s">
        <v>229</v>
      </c>
      <c r="O359" s="69" t="s">
        <v>229</v>
      </c>
      <c r="P359" s="69" t="s">
        <v>229</v>
      </c>
      <c r="Q359" s="69" t="s">
        <v>229</v>
      </c>
      <c r="R359" s="69" t="s">
        <v>229</v>
      </c>
      <c r="S359" s="69" t="s">
        <v>229</v>
      </c>
      <c r="T359" s="70" t="s">
        <v>229</v>
      </c>
      <c r="U359" s="71" t="s">
        <v>229</v>
      </c>
      <c r="V359" s="72" t="s">
        <v>229</v>
      </c>
      <c r="W359" s="73" t="s">
        <v>229</v>
      </c>
      <c r="X359" s="72" t="s">
        <v>229</v>
      </c>
      <c r="Y359" s="70" t="s">
        <v>229</v>
      </c>
      <c r="Z359" s="73" t="s">
        <v>229</v>
      </c>
    </row>
    <row r="360" ht="15.75" customHeight="1">
      <c r="A360" s="87"/>
      <c r="B360" s="88"/>
      <c r="C360" s="88"/>
      <c r="D360" s="87"/>
      <c r="E360" s="87"/>
      <c r="F360" s="87"/>
      <c r="G360" s="85"/>
      <c r="H360" s="85"/>
      <c r="I360" s="86"/>
      <c r="J360" s="86"/>
      <c r="K360" s="83"/>
      <c r="L360" s="87"/>
      <c r="M360" s="79"/>
      <c r="N360" s="69" t="s">
        <v>229</v>
      </c>
      <c r="O360" s="69" t="s">
        <v>229</v>
      </c>
      <c r="P360" s="69" t="s">
        <v>229</v>
      </c>
      <c r="Q360" s="69" t="s">
        <v>229</v>
      </c>
      <c r="R360" s="69" t="s">
        <v>229</v>
      </c>
      <c r="S360" s="69" t="s">
        <v>229</v>
      </c>
      <c r="T360" s="70" t="s">
        <v>229</v>
      </c>
      <c r="U360" s="71" t="s">
        <v>229</v>
      </c>
      <c r="V360" s="72" t="s">
        <v>229</v>
      </c>
      <c r="W360" s="73" t="s">
        <v>229</v>
      </c>
      <c r="X360" s="72" t="s">
        <v>229</v>
      </c>
      <c r="Y360" s="70" t="s">
        <v>229</v>
      </c>
      <c r="Z360" s="73" t="s">
        <v>229</v>
      </c>
    </row>
    <row r="361" ht="15.75" customHeight="1">
      <c r="A361" s="87"/>
      <c r="B361" s="88"/>
      <c r="C361" s="88"/>
      <c r="D361" s="87"/>
      <c r="E361" s="87"/>
      <c r="F361" s="87"/>
      <c r="G361" s="85"/>
      <c r="H361" s="85"/>
      <c r="I361" s="86"/>
      <c r="J361" s="86"/>
      <c r="K361" s="83"/>
      <c r="L361" s="87"/>
      <c r="M361" s="79"/>
      <c r="N361" s="69" t="s">
        <v>229</v>
      </c>
      <c r="O361" s="69" t="s">
        <v>229</v>
      </c>
      <c r="P361" s="69" t="s">
        <v>229</v>
      </c>
      <c r="Q361" s="69" t="s">
        <v>229</v>
      </c>
      <c r="R361" s="69" t="s">
        <v>229</v>
      </c>
      <c r="S361" s="69" t="s">
        <v>229</v>
      </c>
      <c r="T361" s="70" t="s">
        <v>229</v>
      </c>
      <c r="U361" s="71" t="s">
        <v>229</v>
      </c>
      <c r="V361" s="72" t="s">
        <v>229</v>
      </c>
      <c r="W361" s="73" t="s">
        <v>229</v>
      </c>
      <c r="X361" s="72" t="s">
        <v>229</v>
      </c>
      <c r="Y361" s="70" t="s">
        <v>229</v>
      </c>
      <c r="Z361" s="73" t="s">
        <v>229</v>
      </c>
    </row>
    <row r="362" ht="15.75" customHeight="1">
      <c r="A362" s="87"/>
      <c r="B362" s="88"/>
      <c r="C362" s="88"/>
      <c r="D362" s="87"/>
      <c r="E362" s="87"/>
      <c r="F362" s="87"/>
      <c r="G362" s="85"/>
      <c r="H362" s="85"/>
      <c r="I362" s="86"/>
      <c r="J362" s="86"/>
      <c r="K362" s="83"/>
      <c r="L362" s="87"/>
      <c r="M362" s="79"/>
      <c r="N362" s="69" t="s">
        <v>229</v>
      </c>
      <c r="O362" s="69" t="s">
        <v>229</v>
      </c>
      <c r="P362" s="69" t="s">
        <v>229</v>
      </c>
      <c r="Q362" s="69" t="s">
        <v>229</v>
      </c>
      <c r="R362" s="69" t="s">
        <v>229</v>
      </c>
      <c r="S362" s="69" t="s">
        <v>229</v>
      </c>
      <c r="T362" s="70" t="s">
        <v>229</v>
      </c>
      <c r="U362" s="71" t="s">
        <v>229</v>
      </c>
      <c r="V362" s="72" t="s">
        <v>229</v>
      </c>
      <c r="W362" s="73" t="s">
        <v>229</v>
      </c>
      <c r="X362" s="72" t="s">
        <v>229</v>
      </c>
      <c r="Y362" s="70" t="s">
        <v>229</v>
      </c>
      <c r="Z362" s="73" t="s">
        <v>229</v>
      </c>
    </row>
    <row r="363" ht="15.75" customHeight="1">
      <c r="A363" s="87"/>
      <c r="B363" s="88"/>
      <c r="C363" s="88"/>
      <c r="D363" s="87"/>
      <c r="E363" s="87"/>
      <c r="F363" s="87"/>
      <c r="G363" s="85"/>
      <c r="H363" s="85"/>
      <c r="I363" s="86"/>
      <c r="J363" s="86"/>
      <c r="K363" s="83"/>
      <c r="L363" s="87"/>
      <c r="M363" s="79"/>
      <c r="N363" s="69" t="s">
        <v>229</v>
      </c>
      <c r="O363" s="69" t="s">
        <v>229</v>
      </c>
      <c r="P363" s="69" t="s">
        <v>229</v>
      </c>
      <c r="Q363" s="69" t="s">
        <v>229</v>
      </c>
      <c r="R363" s="69" t="s">
        <v>229</v>
      </c>
      <c r="S363" s="69" t="s">
        <v>229</v>
      </c>
      <c r="T363" s="70" t="s">
        <v>229</v>
      </c>
      <c r="U363" s="71" t="s">
        <v>229</v>
      </c>
      <c r="V363" s="72" t="s">
        <v>229</v>
      </c>
      <c r="W363" s="73" t="s">
        <v>229</v>
      </c>
      <c r="X363" s="72" t="s">
        <v>229</v>
      </c>
      <c r="Y363" s="70" t="s">
        <v>229</v>
      </c>
      <c r="Z363" s="73" t="s">
        <v>229</v>
      </c>
    </row>
    <row r="364" ht="15.75" customHeight="1">
      <c r="A364" s="87"/>
      <c r="B364" s="88"/>
      <c r="C364" s="88"/>
      <c r="D364" s="87"/>
      <c r="E364" s="87"/>
      <c r="F364" s="87"/>
      <c r="G364" s="85"/>
      <c r="H364" s="85"/>
      <c r="I364" s="86"/>
      <c r="J364" s="86"/>
      <c r="K364" s="83"/>
      <c r="L364" s="87"/>
      <c r="M364" s="79"/>
      <c r="N364" s="69" t="s">
        <v>229</v>
      </c>
      <c r="O364" s="69" t="s">
        <v>229</v>
      </c>
      <c r="P364" s="69" t="s">
        <v>229</v>
      </c>
      <c r="Q364" s="69" t="s">
        <v>229</v>
      </c>
      <c r="R364" s="69" t="s">
        <v>229</v>
      </c>
      <c r="S364" s="69" t="s">
        <v>229</v>
      </c>
      <c r="T364" s="70" t="s">
        <v>229</v>
      </c>
      <c r="U364" s="71" t="s">
        <v>229</v>
      </c>
      <c r="V364" s="72" t="s">
        <v>229</v>
      </c>
      <c r="W364" s="73" t="s">
        <v>229</v>
      </c>
      <c r="X364" s="72" t="s">
        <v>229</v>
      </c>
      <c r="Y364" s="70" t="s">
        <v>229</v>
      </c>
      <c r="Z364" s="73" t="s">
        <v>229</v>
      </c>
    </row>
    <row r="365" ht="15.75" customHeight="1">
      <c r="A365" s="87"/>
      <c r="B365" s="88"/>
      <c r="C365" s="88"/>
      <c r="D365" s="87"/>
      <c r="E365" s="87"/>
      <c r="F365" s="87"/>
      <c r="G365" s="85"/>
      <c r="H365" s="85"/>
      <c r="I365" s="86"/>
      <c r="J365" s="86"/>
      <c r="K365" s="83"/>
      <c r="L365" s="87"/>
      <c r="M365" s="79"/>
      <c r="N365" s="69" t="s">
        <v>229</v>
      </c>
      <c r="O365" s="69" t="s">
        <v>229</v>
      </c>
      <c r="P365" s="69" t="s">
        <v>229</v>
      </c>
      <c r="Q365" s="69" t="s">
        <v>229</v>
      </c>
      <c r="R365" s="69" t="s">
        <v>229</v>
      </c>
      <c r="S365" s="69" t="s">
        <v>229</v>
      </c>
      <c r="T365" s="70" t="s">
        <v>229</v>
      </c>
      <c r="U365" s="71" t="s">
        <v>229</v>
      </c>
      <c r="V365" s="72" t="s">
        <v>229</v>
      </c>
      <c r="W365" s="73" t="s">
        <v>229</v>
      </c>
      <c r="X365" s="72" t="s">
        <v>229</v>
      </c>
      <c r="Y365" s="70" t="s">
        <v>229</v>
      </c>
      <c r="Z365" s="73" t="s">
        <v>229</v>
      </c>
    </row>
    <row r="366" ht="15.75" customHeight="1">
      <c r="A366" s="87"/>
      <c r="B366" s="88"/>
      <c r="C366" s="88"/>
      <c r="D366" s="87"/>
      <c r="E366" s="87"/>
      <c r="F366" s="87"/>
      <c r="G366" s="85"/>
      <c r="H366" s="85"/>
      <c r="I366" s="86"/>
      <c r="J366" s="86"/>
      <c r="K366" s="83"/>
      <c r="L366" s="87"/>
      <c r="M366" s="79"/>
      <c r="N366" s="69" t="s">
        <v>229</v>
      </c>
      <c r="O366" s="69" t="s">
        <v>229</v>
      </c>
      <c r="P366" s="69" t="s">
        <v>229</v>
      </c>
      <c r="Q366" s="69" t="s">
        <v>229</v>
      </c>
      <c r="R366" s="69" t="s">
        <v>229</v>
      </c>
      <c r="S366" s="69" t="s">
        <v>229</v>
      </c>
      <c r="T366" s="70" t="s">
        <v>229</v>
      </c>
      <c r="U366" s="71" t="s">
        <v>229</v>
      </c>
      <c r="V366" s="72" t="s">
        <v>229</v>
      </c>
      <c r="W366" s="73" t="s">
        <v>229</v>
      </c>
      <c r="X366" s="72" t="s">
        <v>229</v>
      </c>
      <c r="Y366" s="70" t="s">
        <v>229</v>
      </c>
      <c r="Z366" s="73" t="s">
        <v>229</v>
      </c>
    </row>
    <row r="367" ht="15.75" customHeight="1">
      <c r="A367" s="87"/>
      <c r="B367" s="88"/>
      <c r="C367" s="88"/>
      <c r="D367" s="87"/>
      <c r="E367" s="87"/>
      <c r="F367" s="87"/>
      <c r="G367" s="85"/>
      <c r="H367" s="85"/>
      <c r="I367" s="86"/>
      <c r="J367" s="86"/>
      <c r="K367" s="83"/>
      <c r="L367" s="87"/>
      <c r="M367" s="79"/>
      <c r="N367" s="69" t="s">
        <v>229</v>
      </c>
      <c r="O367" s="69" t="s">
        <v>229</v>
      </c>
      <c r="P367" s="69" t="s">
        <v>229</v>
      </c>
      <c r="Q367" s="69" t="s">
        <v>229</v>
      </c>
      <c r="R367" s="69" t="s">
        <v>229</v>
      </c>
      <c r="S367" s="69" t="s">
        <v>229</v>
      </c>
      <c r="T367" s="70" t="s">
        <v>229</v>
      </c>
      <c r="U367" s="71" t="s">
        <v>229</v>
      </c>
      <c r="V367" s="72" t="s">
        <v>229</v>
      </c>
      <c r="W367" s="73" t="s">
        <v>229</v>
      </c>
      <c r="X367" s="72" t="s">
        <v>229</v>
      </c>
      <c r="Y367" s="70" t="s">
        <v>229</v>
      </c>
      <c r="Z367" s="73" t="s">
        <v>229</v>
      </c>
    </row>
    <row r="368" ht="15.75" customHeight="1">
      <c r="A368" s="87"/>
      <c r="B368" s="88"/>
      <c r="C368" s="88"/>
      <c r="D368" s="87"/>
      <c r="E368" s="87"/>
      <c r="F368" s="87"/>
      <c r="G368" s="85"/>
      <c r="H368" s="85"/>
      <c r="I368" s="86"/>
      <c r="J368" s="86"/>
      <c r="K368" s="83"/>
      <c r="L368" s="87"/>
      <c r="M368" s="79"/>
      <c r="N368" s="69" t="s">
        <v>229</v>
      </c>
      <c r="O368" s="69" t="s">
        <v>229</v>
      </c>
      <c r="P368" s="69" t="s">
        <v>229</v>
      </c>
      <c r="Q368" s="69" t="s">
        <v>229</v>
      </c>
      <c r="R368" s="69" t="s">
        <v>229</v>
      </c>
      <c r="S368" s="69" t="s">
        <v>229</v>
      </c>
      <c r="T368" s="70" t="s">
        <v>229</v>
      </c>
      <c r="U368" s="71" t="s">
        <v>229</v>
      </c>
      <c r="V368" s="72" t="s">
        <v>229</v>
      </c>
      <c r="W368" s="73" t="s">
        <v>229</v>
      </c>
      <c r="X368" s="72" t="s">
        <v>229</v>
      </c>
      <c r="Y368" s="70" t="s">
        <v>229</v>
      </c>
      <c r="Z368" s="73" t="s">
        <v>229</v>
      </c>
    </row>
    <row r="369" ht="15.75" customHeight="1">
      <c r="A369" s="87"/>
      <c r="B369" s="88"/>
      <c r="C369" s="88"/>
      <c r="D369" s="87"/>
      <c r="E369" s="87"/>
      <c r="F369" s="87"/>
      <c r="G369" s="85"/>
      <c r="H369" s="85"/>
      <c r="I369" s="86"/>
      <c r="J369" s="86"/>
      <c r="K369" s="83"/>
      <c r="L369" s="87"/>
      <c r="M369" s="79"/>
      <c r="N369" s="69" t="s">
        <v>229</v>
      </c>
      <c r="O369" s="69" t="s">
        <v>229</v>
      </c>
      <c r="P369" s="69" t="s">
        <v>229</v>
      </c>
      <c r="Q369" s="69" t="s">
        <v>229</v>
      </c>
      <c r="R369" s="69" t="s">
        <v>229</v>
      </c>
      <c r="S369" s="69" t="s">
        <v>229</v>
      </c>
      <c r="T369" s="70" t="s">
        <v>229</v>
      </c>
      <c r="U369" s="71" t="s">
        <v>229</v>
      </c>
      <c r="V369" s="72" t="s">
        <v>229</v>
      </c>
      <c r="W369" s="73" t="s">
        <v>229</v>
      </c>
      <c r="X369" s="72" t="s">
        <v>229</v>
      </c>
      <c r="Y369" s="70" t="s">
        <v>229</v>
      </c>
      <c r="Z369" s="73" t="s">
        <v>229</v>
      </c>
    </row>
    <row r="370" ht="15.75" customHeight="1">
      <c r="A370" s="87"/>
      <c r="B370" s="88"/>
      <c r="C370" s="88"/>
      <c r="D370" s="87"/>
      <c r="E370" s="87"/>
      <c r="F370" s="87"/>
      <c r="G370" s="85"/>
      <c r="H370" s="85"/>
      <c r="I370" s="86"/>
      <c r="J370" s="86"/>
      <c r="K370" s="83"/>
      <c r="L370" s="87"/>
      <c r="M370" s="79"/>
      <c r="N370" s="69" t="s">
        <v>229</v>
      </c>
      <c r="O370" s="69" t="s">
        <v>229</v>
      </c>
      <c r="P370" s="69" t="s">
        <v>229</v>
      </c>
      <c r="Q370" s="69" t="s">
        <v>229</v>
      </c>
      <c r="R370" s="69" t="s">
        <v>229</v>
      </c>
      <c r="S370" s="69" t="s">
        <v>229</v>
      </c>
      <c r="T370" s="70" t="s">
        <v>229</v>
      </c>
      <c r="U370" s="71" t="s">
        <v>229</v>
      </c>
      <c r="V370" s="72" t="s">
        <v>229</v>
      </c>
      <c r="W370" s="73" t="s">
        <v>229</v>
      </c>
      <c r="X370" s="72" t="s">
        <v>229</v>
      </c>
      <c r="Y370" s="70" t="s">
        <v>229</v>
      </c>
      <c r="Z370" s="73" t="s">
        <v>229</v>
      </c>
    </row>
    <row r="371" ht="15.75" customHeight="1">
      <c r="A371" s="87"/>
      <c r="B371" s="88"/>
      <c r="C371" s="88"/>
      <c r="D371" s="87"/>
      <c r="E371" s="87"/>
      <c r="F371" s="87"/>
      <c r="G371" s="85"/>
      <c r="H371" s="85"/>
      <c r="I371" s="86"/>
      <c r="J371" s="86"/>
      <c r="K371" s="83"/>
      <c r="L371" s="87"/>
      <c r="M371" s="79"/>
      <c r="N371" s="69" t="s">
        <v>229</v>
      </c>
      <c r="O371" s="69" t="s">
        <v>229</v>
      </c>
      <c r="P371" s="69" t="s">
        <v>229</v>
      </c>
      <c r="Q371" s="69" t="s">
        <v>229</v>
      </c>
      <c r="R371" s="69" t="s">
        <v>229</v>
      </c>
      <c r="S371" s="69" t="s">
        <v>229</v>
      </c>
      <c r="T371" s="70" t="s">
        <v>229</v>
      </c>
      <c r="U371" s="71" t="s">
        <v>229</v>
      </c>
      <c r="V371" s="72" t="s">
        <v>229</v>
      </c>
      <c r="W371" s="73" t="s">
        <v>229</v>
      </c>
      <c r="X371" s="72" t="s">
        <v>229</v>
      </c>
      <c r="Y371" s="70" t="s">
        <v>229</v>
      </c>
      <c r="Z371" s="73" t="s">
        <v>229</v>
      </c>
    </row>
    <row r="372" ht="15.75" customHeight="1">
      <c r="A372" s="87"/>
      <c r="B372" s="88"/>
      <c r="C372" s="88"/>
      <c r="D372" s="87"/>
      <c r="E372" s="87"/>
      <c r="F372" s="87"/>
      <c r="G372" s="85"/>
      <c r="H372" s="85"/>
      <c r="I372" s="86"/>
      <c r="J372" s="86"/>
      <c r="K372" s="83"/>
      <c r="L372" s="87"/>
      <c r="M372" s="79"/>
      <c r="N372" s="69" t="s">
        <v>229</v>
      </c>
      <c r="O372" s="69" t="s">
        <v>229</v>
      </c>
      <c r="P372" s="69" t="s">
        <v>229</v>
      </c>
      <c r="Q372" s="69" t="s">
        <v>229</v>
      </c>
      <c r="R372" s="69" t="s">
        <v>229</v>
      </c>
      <c r="S372" s="69" t="s">
        <v>229</v>
      </c>
      <c r="T372" s="70" t="s">
        <v>229</v>
      </c>
      <c r="U372" s="71" t="s">
        <v>229</v>
      </c>
      <c r="V372" s="72" t="s">
        <v>229</v>
      </c>
      <c r="W372" s="73" t="s">
        <v>229</v>
      </c>
      <c r="X372" s="72" t="s">
        <v>229</v>
      </c>
      <c r="Y372" s="70" t="s">
        <v>229</v>
      </c>
      <c r="Z372" s="73" t="s">
        <v>229</v>
      </c>
    </row>
    <row r="373" ht="15.75" customHeight="1">
      <c r="A373" s="87"/>
      <c r="B373" s="88"/>
      <c r="C373" s="88"/>
      <c r="D373" s="87"/>
      <c r="E373" s="87"/>
      <c r="F373" s="87"/>
      <c r="G373" s="85"/>
      <c r="H373" s="85"/>
      <c r="I373" s="86"/>
      <c r="J373" s="86"/>
      <c r="K373" s="83"/>
      <c r="L373" s="87"/>
      <c r="M373" s="79"/>
      <c r="N373" s="69" t="s">
        <v>229</v>
      </c>
      <c r="O373" s="69" t="s">
        <v>229</v>
      </c>
      <c r="P373" s="69" t="s">
        <v>229</v>
      </c>
      <c r="Q373" s="69" t="s">
        <v>229</v>
      </c>
      <c r="R373" s="69" t="s">
        <v>229</v>
      </c>
      <c r="S373" s="69" t="s">
        <v>229</v>
      </c>
      <c r="T373" s="70" t="s">
        <v>229</v>
      </c>
      <c r="U373" s="71" t="s">
        <v>229</v>
      </c>
      <c r="V373" s="72" t="s">
        <v>229</v>
      </c>
      <c r="W373" s="73" t="s">
        <v>229</v>
      </c>
      <c r="X373" s="72" t="s">
        <v>229</v>
      </c>
      <c r="Y373" s="70" t="s">
        <v>229</v>
      </c>
      <c r="Z373" s="73" t="s">
        <v>229</v>
      </c>
    </row>
    <row r="374" ht="15.75" customHeight="1">
      <c r="A374" s="87"/>
      <c r="B374" s="88"/>
      <c r="C374" s="88"/>
      <c r="D374" s="87"/>
      <c r="E374" s="87"/>
      <c r="F374" s="87"/>
      <c r="G374" s="85"/>
      <c r="H374" s="85"/>
      <c r="I374" s="86"/>
      <c r="J374" s="86"/>
      <c r="K374" s="83"/>
      <c r="L374" s="87"/>
      <c r="M374" s="79"/>
      <c r="N374" s="69" t="s">
        <v>229</v>
      </c>
      <c r="O374" s="69" t="s">
        <v>229</v>
      </c>
      <c r="P374" s="69" t="s">
        <v>229</v>
      </c>
      <c r="Q374" s="69" t="s">
        <v>229</v>
      </c>
      <c r="R374" s="69" t="s">
        <v>229</v>
      </c>
      <c r="S374" s="69" t="s">
        <v>229</v>
      </c>
      <c r="T374" s="70" t="s">
        <v>229</v>
      </c>
      <c r="U374" s="71" t="s">
        <v>229</v>
      </c>
      <c r="V374" s="72" t="s">
        <v>229</v>
      </c>
      <c r="W374" s="73" t="s">
        <v>229</v>
      </c>
      <c r="X374" s="72" t="s">
        <v>229</v>
      </c>
      <c r="Y374" s="70" t="s">
        <v>229</v>
      </c>
      <c r="Z374" s="73" t="s">
        <v>229</v>
      </c>
    </row>
    <row r="375" ht="15.75" customHeight="1">
      <c r="A375" s="87"/>
      <c r="B375" s="88"/>
      <c r="C375" s="88"/>
      <c r="D375" s="87"/>
      <c r="E375" s="87"/>
      <c r="F375" s="87"/>
      <c r="G375" s="85"/>
      <c r="H375" s="85"/>
      <c r="I375" s="86"/>
      <c r="J375" s="86"/>
      <c r="K375" s="83"/>
      <c r="L375" s="87"/>
      <c r="M375" s="79"/>
      <c r="N375" s="69" t="s">
        <v>229</v>
      </c>
      <c r="O375" s="69" t="s">
        <v>229</v>
      </c>
      <c r="P375" s="69" t="s">
        <v>229</v>
      </c>
      <c r="Q375" s="69" t="s">
        <v>229</v>
      </c>
      <c r="R375" s="69" t="s">
        <v>229</v>
      </c>
      <c r="S375" s="69" t="s">
        <v>229</v>
      </c>
      <c r="T375" s="70" t="s">
        <v>229</v>
      </c>
      <c r="U375" s="71" t="s">
        <v>229</v>
      </c>
      <c r="V375" s="72" t="s">
        <v>229</v>
      </c>
      <c r="W375" s="73" t="s">
        <v>229</v>
      </c>
      <c r="X375" s="72" t="s">
        <v>229</v>
      </c>
      <c r="Y375" s="70" t="s">
        <v>229</v>
      </c>
      <c r="Z375" s="73" t="s">
        <v>229</v>
      </c>
    </row>
    <row r="376" ht="15.75" customHeight="1">
      <c r="A376" s="87"/>
      <c r="B376" s="88"/>
      <c r="C376" s="88"/>
      <c r="D376" s="87"/>
      <c r="E376" s="87"/>
      <c r="F376" s="87"/>
      <c r="G376" s="85"/>
      <c r="H376" s="85"/>
      <c r="I376" s="86"/>
      <c r="J376" s="86"/>
      <c r="K376" s="83"/>
      <c r="L376" s="87"/>
      <c r="M376" s="79"/>
      <c r="N376" s="69" t="s">
        <v>229</v>
      </c>
      <c r="O376" s="69" t="s">
        <v>229</v>
      </c>
      <c r="P376" s="69" t="s">
        <v>229</v>
      </c>
      <c r="Q376" s="69" t="s">
        <v>229</v>
      </c>
      <c r="R376" s="69" t="s">
        <v>229</v>
      </c>
      <c r="S376" s="69" t="s">
        <v>229</v>
      </c>
      <c r="T376" s="70" t="s">
        <v>229</v>
      </c>
      <c r="U376" s="71" t="s">
        <v>229</v>
      </c>
      <c r="V376" s="72" t="s">
        <v>229</v>
      </c>
      <c r="W376" s="73" t="s">
        <v>229</v>
      </c>
      <c r="X376" s="72" t="s">
        <v>229</v>
      </c>
      <c r="Y376" s="70" t="s">
        <v>229</v>
      </c>
      <c r="Z376" s="73" t="s">
        <v>229</v>
      </c>
    </row>
    <row r="377" ht="15.75" customHeight="1">
      <c r="A377" s="87"/>
      <c r="B377" s="88"/>
      <c r="C377" s="88"/>
      <c r="D377" s="87"/>
      <c r="E377" s="87"/>
      <c r="F377" s="87"/>
      <c r="G377" s="85"/>
      <c r="H377" s="85"/>
      <c r="I377" s="86"/>
      <c r="J377" s="86"/>
      <c r="K377" s="83"/>
      <c r="L377" s="87"/>
      <c r="M377" s="79"/>
      <c r="N377" s="69" t="s">
        <v>229</v>
      </c>
      <c r="O377" s="69" t="s">
        <v>229</v>
      </c>
      <c r="P377" s="69" t="s">
        <v>229</v>
      </c>
      <c r="Q377" s="69" t="s">
        <v>229</v>
      </c>
      <c r="R377" s="69" t="s">
        <v>229</v>
      </c>
      <c r="S377" s="69" t="s">
        <v>229</v>
      </c>
      <c r="T377" s="70" t="s">
        <v>229</v>
      </c>
      <c r="U377" s="71" t="s">
        <v>229</v>
      </c>
      <c r="V377" s="72" t="s">
        <v>229</v>
      </c>
      <c r="W377" s="73" t="s">
        <v>229</v>
      </c>
      <c r="X377" s="72" t="s">
        <v>229</v>
      </c>
      <c r="Y377" s="70" t="s">
        <v>229</v>
      </c>
      <c r="Z377" s="73" t="s">
        <v>229</v>
      </c>
    </row>
    <row r="378" ht="15.75" customHeight="1">
      <c r="A378" s="87"/>
      <c r="B378" s="88"/>
      <c r="C378" s="88"/>
      <c r="D378" s="87"/>
      <c r="E378" s="87"/>
      <c r="F378" s="87"/>
      <c r="G378" s="85"/>
      <c r="H378" s="85"/>
      <c r="I378" s="86"/>
      <c r="J378" s="86"/>
      <c r="K378" s="83"/>
      <c r="L378" s="87"/>
      <c r="M378" s="79"/>
      <c r="N378" s="69" t="s">
        <v>229</v>
      </c>
      <c r="O378" s="69" t="s">
        <v>229</v>
      </c>
      <c r="P378" s="69" t="s">
        <v>229</v>
      </c>
      <c r="Q378" s="69" t="s">
        <v>229</v>
      </c>
      <c r="R378" s="69" t="s">
        <v>229</v>
      </c>
      <c r="S378" s="69" t="s">
        <v>229</v>
      </c>
      <c r="T378" s="70" t="s">
        <v>229</v>
      </c>
      <c r="U378" s="71" t="s">
        <v>229</v>
      </c>
      <c r="V378" s="72" t="s">
        <v>229</v>
      </c>
      <c r="W378" s="73" t="s">
        <v>229</v>
      </c>
      <c r="X378" s="72" t="s">
        <v>229</v>
      </c>
      <c r="Y378" s="70" t="s">
        <v>229</v>
      </c>
      <c r="Z378" s="73" t="s">
        <v>229</v>
      </c>
    </row>
    <row r="379" ht="15.75" customHeight="1">
      <c r="A379" s="87"/>
      <c r="B379" s="88"/>
      <c r="C379" s="88"/>
      <c r="D379" s="87"/>
      <c r="E379" s="87"/>
      <c r="F379" s="87"/>
      <c r="G379" s="85"/>
      <c r="H379" s="85"/>
      <c r="I379" s="86"/>
      <c r="J379" s="86"/>
      <c r="K379" s="83"/>
      <c r="L379" s="87"/>
      <c r="M379" s="79"/>
      <c r="N379" s="69" t="s">
        <v>229</v>
      </c>
      <c r="O379" s="69" t="s">
        <v>229</v>
      </c>
      <c r="P379" s="69" t="s">
        <v>229</v>
      </c>
      <c r="Q379" s="69" t="s">
        <v>229</v>
      </c>
      <c r="R379" s="69" t="s">
        <v>229</v>
      </c>
      <c r="S379" s="69" t="s">
        <v>229</v>
      </c>
      <c r="T379" s="70" t="s">
        <v>229</v>
      </c>
      <c r="U379" s="71" t="s">
        <v>229</v>
      </c>
      <c r="V379" s="72" t="s">
        <v>229</v>
      </c>
      <c r="W379" s="73" t="s">
        <v>229</v>
      </c>
      <c r="X379" s="72" t="s">
        <v>229</v>
      </c>
      <c r="Y379" s="70" t="s">
        <v>229</v>
      </c>
      <c r="Z379" s="73" t="s">
        <v>229</v>
      </c>
    </row>
    <row r="380" ht="15.75" customHeight="1">
      <c r="A380" s="87"/>
      <c r="B380" s="88"/>
      <c r="C380" s="88"/>
      <c r="D380" s="87"/>
      <c r="E380" s="87"/>
      <c r="F380" s="87"/>
      <c r="G380" s="85"/>
      <c r="H380" s="85"/>
      <c r="I380" s="86"/>
      <c r="J380" s="86"/>
      <c r="K380" s="83"/>
      <c r="L380" s="87"/>
      <c r="M380" s="79"/>
      <c r="N380" s="69" t="s">
        <v>229</v>
      </c>
      <c r="O380" s="69" t="s">
        <v>229</v>
      </c>
      <c r="P380" s="69" t="s">
        <v>229</v>
      </c>
      <c r="Q380" s="69" t="s">
        <v>229</v>
      </c>
      <c r="R380" s="69" t="s">
        <v>229</v>
      </c>
      <c r="S380" s="69" t="s">
        <v>229</v>
      </c>
      <c r="T380" s="70" t="s">
        <v>229</v>
      </c>
      <c r="U380" s="71" t="s">
        <v>229</v>
      </c>
      <c r="V380" s="72" t="s">
        <v>229</v>
      </c>
      <c r="W380" s="73" t="s">
        <v>229</v>
      </c>
      <c r="X380" s="72" t="s">
        <v>229</v>
      </c>
      <c r="Y380" s="70" t="s">
        <v>229</v>
      </c>
      <c r="Z380" s="73" t="s">
        <v>229</v>
      </c>
    </row>
    <row r="381" ht="15.75" customHeight="1">
      <c r="A381" s="87"/>
      <c r="B381" s="88"/>
      <c r="C381" s="88"/>
      <c r="D381" s="87"/>
      <c r="E381" s="87"/>
      <c r="F381" s="87"/>
      <c r="G381" s="85"/>
      <c r="H381" s="85"/>
      <c r="I381" s="86"/>
      <c r="J381" s="86"/>
      <c r="K381" s="83"/>
      <c r="L381" s="87"/>
      <c r="M381" s="79"/>
      <c r="N381" s="69" t="s">
        <v>229</v>
      </c>
      <c r="O381" s="69" t="s">
        <v>229</v>
      </c>
      <c r="P381" s="69" t="s">
        <v>229</v>
      </c>
      <c r="Q381" s="69" t="s">
        <v>229</v>
      </c>
      <c r="R381" s="69" t="s">
        <v>229</v>
      </c>
      <c r="S381" s="69" t="s">
        <v>229</v>
      </c>
      <c r="T381" s="70" t="s">
        <v>229</v>
      </c>
      <c r="U381" s="71" t="s">
        <v>229</v>
      </c>
      <c r="V381" s="72" t="s">
        <v>229</v>
      </c>
      <c r="W381" s="73" t="s">
        <v>229</v>
      </c>
      <c r="X381" s="72" t="s">
        <v>229</v>
      </c>
      <c r="Y381" s="70" t="s">
        <v>229</v>
      </c>
      <c r="Z381" s="73" t="s">
        <v>229</v>
      </c>
    </row>
    <row r="382" ht="15.75" customHeight="1">
      <c r="A382" s="87"/>
      <c r="B382" s="88"/>
      <c r="C382" s="88"/>
      <c r="D382" s="87"/>
      <c r="E382" s="87"/>
      <c r="F382" s="87"/>
      <c r="G382" s="85"/>
      <c r="H382" s="85"/>
      <c r="I382" s="86"/>
      <c r="J382" s="86"/>
      <c r="K382" s="83"/>
      <c r="L382" s="87"/>
      <c r="M382" s="79"/>
      <c r="N382" s="69" t="s">
        <v>229</v>
      </c>
      <c r="O382" s="69" t="s">
        <v>229</v>
      </c>
      <c r="P382" s="69" t="s">
        <v>229</v>
      </c>
      <c r="Q382" s="69" t="s">
        <v>229</v>
      </c>
      <c r="R382" s="69" t="s">
        <v>229</v>
      </c>
      <c r="S382" s="69" t="s">
        <v>229</v>
      </c>
      <c r="T382" s="70" t="s">
        <v>229</v>
      </c>
      <c r="U382" s="71" t="s">
        <v>229</v>
      </c>
      <c r="V382" s="72" t="s">
        <v>229</v>
      </c>
      <c r="W382" s="73" t="s">
        <v>229</v>
      </c>
      <c r="X382" s="72" t="s">
        <v>229</v>
      </c>
      <c r="Y382" s="70" t="s">
        <v>229</v>
      </c>
      <c r="Z382" s="73" t="s">
        <v>229</v>
      </c>
    </row>
    <row r="383" ht="15.75" customHeight="1">
      <c r="A383" s="87"/>
      <c r="B383" s="88"/>
      <c r="C383" s="88"/>
      <c r="D383" s="87"/>
      <c r="E383" s="87"/>
      <c r="F383" s="87"/>
      <c r="G383" s="85"/>
      <c r="H383" s="85"/>
      <c r="I383" s="86"/>
      <c r="J383" s="86"/>
      <c r="K383" s="83"/>
      <c r="L383" s="87"/>
      <c r="M383" s="79"/>
      <c r="N383" s="69" t="s">
        <v>229</v>
      </c>
      <c r="O383" s="69" t="s">
        <v>229</v>
      </c>
      <c r="P383" s="69" t="s">
        <v>229</v>
      </c>
      <c r="Q383" s="69" t="s">
        <v>229</v>
      </c>
      <c r="R383" s="69" t="s">
        <v>229</v>
      </c>
      <c r="S383" s="69" t="s">
        <v>229</v>
      </c>
      <c r="T383" s="70" t="s">
        <v>229</v>
      </c>
      <c r="U383" s="71" t="s">
        <v>229</v>
      </c>
      <c r="V383" s="72" t="s">
        <v>229</v>
      </c>
      <c r="W383" s="73" t="s">
        <v>229</v>
      </c>
      <c r="X383" s="72" t="s">
        <v>229</v>
      </c>
      <c r="Y383" s="70" t="s">
        <v>229</v>
      </c>
      <c r="Z383" s="73" t="s">
        <v>229</v>
      </c>
    </row>
    <row r="384" ht="15.75" customHeight="1">
      <c r="A384" s="87"/>
      <c r="B384" s="88"/>
      <c r="C384" s="88"/>
      <c r="D384" s="87"/>
      <c r="E384" s="87"/>
      <c r="F384" s="87"/>
      <c r="G384" s="85"/>
      <c r="H384" s="85"/>
      <c r="I384" s="86"/>
      <c r="J384" s="86"/>
      <c r="K384" s="83"/>
      <c r="L384" s="87"/>
      <c r="M384" s="79"/>
      <c r="N384" s="69" t="s">
        <v>229</v>
      </c>
      <c r="O384" s="69" t="s">
        <v>229</v>
      </c>
      <c r="P384" s="69" t="s">
        <v>229</v>
      </c>
      <c r="Q384" s="69" t="s">
        <v>229</v>
      </c>
      <c r="R384" s="69" t="s">
        <v>229</v>
      </c>
      <c r="S384" s="69" t="s">
        <v>229</v>
      </c>
      <c r="T384" s="70" t="s">
        <v>229</v>
      </c>
      <c r="U384" s="71" t="s">
        <v>229</v>
      </c>
      <c r="V384" s="72" t="s">
        <v>229</v>
      </c>
      <c r="W384" s="73" t="s">
        <v>229</v>
      </c>
      <c r="X384" s="72" t="s">
        <v>229</v>
      </c>
      <c r="Y384" s="70" t="s">
        <v>229</v>
      </c>
      <c r="Z384" s="73" t="s">
        <v>229</v>
      </c>
    </row>
    <row r="385" ht="15.75" customHeight="1">
      <c r="A385" s="87"/>
      <c r="B385" s="88"/>
      <c r="C385" s="88"/>
      <c r="D385" s="87"/>
      <c r="E385" s="87"/>
      <c r="F385" s="87"/>
      <c r="G385" s="85"/>
      <c r="H385" s="85"/>
      <c r="I385" s="86"/>
      <c r="J385" s="86"/>
      <c r="K385" s="83"/>
      <c r="L385" s="87"/>
      <c r="M385" s="79"/>
      <c r="N385" s="69" t="s">
        <v>229</v>
      </c>
      <c r="O385" s="69" t="s">
        <v>229</v>
      </c>
      <c r="P385" s="69" t="s">
        <v>229</v>
      </c>
      <c r="Q385" s="69" t="s">
        <v>229</v>
      </c>
      <c r="R385" s="69" t="s">
        <v>229</v>
      </c>
      <c r="S385" s="69" t="s">
        <v>229</v>
      </c>
      <c r="T385" s="70" t="s">
        <v>229</v>
      </c>
      <c r="U385" s="71" t="s">
        <v>229</v>
      </c>
      <c r="V385" s="72" t="s">
        <v>229</v>
      </c>
      <c r="W385" s="73" t="s">
        <v>229</v>
      </c>
      <c r="X385" s="72" t="s">
        <v>229</v>
      </c>
      <c r="Y385" s="70" t="s">
        <v>229</v>
      </c>
      <c r="Z385" s="73" t="s">
        <v>229</v>
      </c>
    </row>
    <row r="386" ht="15.75" customHeight="1">
      <c r="A386" s="87"/>
      <c r="B386" s="88"/>
      <c r="C386" s="88"/>
      <c r="D386" s="87"/>
      <c r="E386" s="87"/>
      <c r="F386" s="87"/>
      <c r="G386" s="85"/>
      <c r="H386" s="85"/>
      <c r="I386" s="86"/>
      <c r="J386" s="86"/>
      <c r="K386" s="83"/>
      <c r="L386" s="87"/>
      <c r="M386" s="79"/>
      <c r="N386" s="69" t="s">
        <v>229</v>
      </c>
      <c r="O386" s="69" t="s">
        <v>229</v>
      </c>
      <c r="P386" s="69" t="s">
        <v>229</v>
      </c>
      <c r="Q386" s="69" t="s">
        <v>229</v>
      </c>
      <c r="R386" s="69" t="s">
        <v>229</v>
      </c>
      <c r="S386" s="69" t="s">
        <v>229</v>
      </c>
      <c r="T386" s="70" t="s">
        <v>229</v>
      </c>
      <c r="U386" s="71" t="s">
        <v>229</v>
      </c>
      <c r="V386" s="72" t="s">
        <v>229</v>
      </c>
      <c r="W386" s="73" t="s">
        <v>229</v>
      </c>
      <c r="X386" s="72" t="s">
        <v>229</v>
      </c>
      <c r="Y386" s="70" t="s">
        <v>229</v>
      </c>
      <c r="Z386" s="73" t="s">
        <v>229</v>
      </c>
    </row>
    <row r="387" ht="15.75" customHeight="1">
      <c r="A387" s="87"/>
      <c r="B387" s="88"/>
      <c r="C387" s="88"/>
      <c r="D387" s="87"/>
      <c r="E387" s="87"/>
      <c r="F387" s="87"/>
      <c r="G387" s="85"/>
      <c r="H387" s="85"/>
      <c r="I387" s="86"/>
      <c r="J387" s="86"/>
      <c r="K387" s="83"/>
      <c r="L387" s="87"/>
      <c r="M387" s="79"/>
      <c r="N387" s="69" t="s">
        <v>229</v>
      </c>
      <c r="O387" s="69" t="s">
        <v>229</v>
      </c>
      <c r="P387" s="69" t="s">
        <v>229</v>
      </c>
      <c r="Q387" s="69" t="s">
        <v>229</v>
      </c>
      <c r="R387" s="69" t="s">
        <v>229</v>
      </c>
      <c r="S387" s="69" t="s">
        <v>229</v>
      </c>
      <c r="T387" s="70" t="s">
        <v>229</v>
      </c>
      <c r="U387" s="71" t="s">
        <v>229</v>
      </c>
      <c r="V387" s="72" t="s">
        <v>229</v>
      </c>
      <c r="W387" s="73" t="s">
        <v>229</v>
      </c>
      <c r="X387" s="72" t="s">
        <v>229</v>
      </c>
      <c r="Y387" s="70" t="s">
        <v>229</v>
      </c>
      <c r="Z387" s="73" t="s">
        <v>229</v>
      </c>
    </row>
    <row r="388" ht="15.75" customHeight="1">
      <c r="A388" s="87"/>
      <c r="B388" s="88"/>
      <c r="C388" s="88"/>
      <c r="D388" s="87"/>
      <c r="E388" s="87"/>
      <c r="F388" s="87"/>
      <c r="G388" s="85"/>
      <c r="H388" s="85"/>
      <c r="I388" s="86"/>
      <c r="J388" s="86"/>
      <c r="K388" s="83"/>
      <c r="L388" s="87"/>
      <c r="M388" s="79"/>
      <c r="N388" s="69" t="s">
        <v>229</v>
      </c>
      <c r="O388" s="69" t="s">
        <v>229</v>
      </c>
      <c r="P388" s="69" t="s">
        <v>229</v>
      </c>
      <c r="Q388" s="69" t="s">
        <v>229</v>
      </c>
      <c r="R388" s="69" t="s">
        <v>229</v>
      </c>
      <c r="S388" s="69" t="s">
        <v>229</v>
      </c>
      <c r="T388" s="70" t="s">
        <v>229</v>
      </c>
      <c r="U388" s="71" t="s">
        <v>229</v>
      </c>
      <c r="V388" s="72" t="s">
        <v>229</v>
      </c>
      <c r="W388" s="73" t="s">
        <v>229</v>
      </c>
      <c r="X388" s="72" t="s">
        <v>229</v>
      </c>
      <c r="Y388" s="70" t="s">
        <v>229</v>
      </c>
      <c r="Z388" s="73" t="s">
        <v>229</v>
      </c>
    </row>
    <row r="389" ht="15.75" customHeight="1">
      <c r="A389" s="87"/>
      <c r="B389" s="88"/>
      <c r="C389" s="88"/>
      <c r="D389" s="87"/>
      <c r="E389" s="87"/>
      <c r="F389" s="87"/>
      <c r="G389" s="85"/>
      <c r="H389" s="85"/>
      <c r="I389" s="86"/>
      <c r="J389" s="86"/>
      <c r="K389" s="83"/>
      <c r="L389" s="87"/>
      <c r="M389" s="79"/>
      <c r="N389" s="69" t="s">
        <v>229</v>
      </c>
      <c r="O389" s="69" t="s">
        <v>229</v>
      </c>
      <c r="P389" s="69" t="s">
        <v>229</v>
      </c>
      <c r="Q389" s="69" t="s">
        <v>229</v>
      </c>
      <c r="R389" s="69" t="s">
        <v>229</v>
      </c>
      <c r="S389" s="69" t="s">
        <v>229</v>
      </c>
      <c r="T389" s="70" t="s">
        <v>229</v>
      </c>
      <c r="U389" s="71" t="s">
        <v>229</v>
      </c>
      <c r="V389" s="72" t="s">
        <v>229</v>
      </c>
      <c r="W389" s="73" t="s">
        <v>229</v>
      </c>
      <c r="X389" s="72" t="s">
        <v>229</v>
      </c>
      <c r="Y389" s="70" t="s">
        <v>229</v>
      </c>
      <c r="Z389" s="73" t="s">
        <v>229</v>
      </c>
    </row>
    <row r="390" ht="15.75" customHeight="1">
      <c r="A390" s="87"/>
      <c r="B390" s="88"/>
      <c r="C390" s="88"/>
      <c r="D390" s="87"/>
      <c r="E390" s="87"/>
      <c r="F390" s="87"/>
      <c r="G390" s="85"/>
      <c r="H390" s="85"/>
      <c r="I390" s="86"/>
      <c r="J390" s="86"/>
      <c r="K390" s="83"/>
      <c r="L390" s="87"/>
      <c r="M390" s="79"/>
      <c r="N390" s="69" t="s">
        <v>229</v>
      </c>
      <c r="O390" s="69" t="s">
        <v>229</v>
      </c>
      <c r="P390" s="69" t="s">
        <v>229</v>
      </c>
      <c r="Q390" s="69" t="s">
        <v>229</v>
      </c>
      <c r="R390" s="69" t="s">
        <v>229</v>
      </c>
      <c r="S390" s="69" t="s">
        <v>229</v>
      </c>
      <c r="T390" s="70" t="s">
        <v>229</v>
      </c>
      <c r="U390" s="71" t="s">
        <v>229</v>
      </c>
      <c r="V390" s="72" t="s">
        <v>229</v>
      </c>
      <c r="W390" s="73" t="s">
        <v>229</v>
      </c>
      <c r="X390" s="72" t="s">
        <v>229</v>
      </c>
      <c r="Y390" s="70" t="s">
        <v>229</v>
      </c>
      <c r="Z390" s="73" t="s">
        <v>229</v>
      </c>
    </row>
    <row r="391" ht="15.75" customHeight="1">
      <c r="A391" s="87"/>
      <c r="B391" s="88"/>
      <c r="C391" s="88"/>
      <c r="D391" s="87"/>
      <c r="E391" s="87"/>
      <c r="F391" s="87"/>
      <c r="G391" s="85"/>
      <c r="H391" s="85"/>
      <c r="I391" s="86"/>
      <c r="J391" s="86"/>
      <c r="K391" s="83"/>
      <c r="L391" s="87"/>
      <c r="M391" s="79"/>
      <c r="N391" s="69" t="s">
        <v>229</v>
      </c>
      <c r="O391" s="69" t="s">
        <v>229</v>
      </c>
      <c r="P391" s="69" t="s">
        <v>229</v>
      </c>
      <c r="Q391" s="69" t="s">
        <v>229</v>
      </c>
      <c r="R391" s="69" t="s">
        <v>229</v>
      </c>
      <c r="S391" s="69" t="s">
        <v>229</v>
      </c>
      <c r="T391" s="70" t="s">
        <v>229</v>
      </c>
      <c r="U391" s="71" t="s">
        <v>229</v>
      </c>
      <c r="V391" s="72" t="s">
        <v>229</v>
      </c>
      <c r="W391" s="73" t="s">
        <v>229</v>
      </c>
      <c r="X391" s="72" t="s">
        <v>229</v>
      </c>
      <c r="Y391" s="70" t="s">
        <v>229</v>
      </c>
      <c r="Z391" s="73" t="s">
        <v>229</v>
      </c>
    </row>
    <row r="392" ht="15.75" customHeight="1">
      <c r="A392" s="87"/>
      <c r="B392" s="88"/>
      <c r="C392" s="88"/>
      <c r="D392" s="87"/>
      <c r="E392" s="87"/>
      <c r="F392" s="87"/>
      <c r="G392" s="85"/>
      <c r="H392" s="85"/>
      <c r="I392" s="86"/>
      <c r="J392" s="86"/>
      <c r="K392" s="83"/>
      <c r="L392" s="87"/>
      <c r="M392" s="79"/>
      <c r="N392" s="69" t="s">
        <v>229</v>
      </c>
      <c r="O392" s="69" t="s">
        <v>229</v>
      </c>
      <c r="P392" s="69" t="s">
        <v>229</v>
      </c>
      <c r="Q392" s="69" t="s">
        <v>229</v>
      </c>
      <c r="R392" s="69" t="s">
        <v>229</v>
      </c>
      <c r="S392" s="69" t="s">
        <v>229</v>
      </c>
      <c r="T392" s="70" t="s">
        <v>229</v>
      </c>
      <c r="U392" s="71" t="s">
        <v>229</v>
      </c>
      <c r="V392" s="72" t="s">
        <v>229</v>
      </c>
      <c r="W392" s="73" t="s">
        <v>229</v>
      </c>
      <c r="X392" s="72" t="s">
        <v>229</v>
      </c>
      <c r="Y392" s="70" t="s">
        <v>229</v>
      </c>
      <c r="Z392" s="73" t="s">
        <v>229</v>
      </c>
    </row>
    <row r="393" ht="15.75" customHeight="1">
      <c r="A393" s="87"/>
      <c r="B393" s="88"/>
      <c r="C393" s="88"/>
      <c r="D393" s="87"/>
      <c r="E393" s="87"/>
      <c r="F393" s="87"/>
      <c r="G393" s="85"/>
      <c r="H393" s="85"/>
      <c r="I393" s="86"/>
      <c r="J393" s="86"/>
      <c r="K393" s="83"/>
      <c r="L393" s="87"/>
      <c r="M393" s="79"/>
      <c r="N393" s="69" t="s">
        <v>229</v>
      </c>
      <c r="O393" s="69" t="s">
        <v>229</v>
      </c>
      <c r="P393" s="69" t="s">
        <v>229</v>
      </c>
      <c r="Q393" s="69" t="s">
        <v>229</v>
      </c>
      <c r="R393" s="69" t="s">
        <v>229</v>
      </c>
      <c r="S393" s="69" t="s">
        <v>229</v>
      </c>
      <c r="T393" s="70" t="s">
        <v>229</v>
      </c>
      <c r="U393" s="71" t="s">
        <v>229</v>
      </c>
      <c r="V393" s="72" t="s">
        <v>229</v>
      </c>
      <c r="W393" s="73" t="s">
        <v>229</v>
      </c>
      <c r="X393" s="72" t="s">
        <v>229</v>
      </c>
      <c r="Y393" s="70" t="s">
        <v>229</v>
      </c>
      <c r="Z393" s="73" t="s">
        <v>229</v>
      </c>
    </row>
    <row r="394" ht="15.75" customHeight="1">
      <c r="A394" s="87"/>
      <c r="B394" s="88"/>
      <c r="C394" s="88"/>
      <c r="D394" s="87"/>
      <c r="E394" s="87"/>
      <c r="F394" s="87"/>
      <c r="G394" s="85"/>
      <c r="H394" s="85"/>
      <c r="I394" s="86"/>
      <c r="J394" s="86"/>
      <c r="K394" s="83"/>
      <c r="L394" s="87"/>
      <c r="M394" s="79"/>
      <c r="N394" s="69" t="s">
        <v>229</v>
      </c>
      <c r="O394" s="69" t="s">
        <v>229</v>
      </c>
      <c r="P394" s="69" t="s">
        <v>229</v>
      </c>
      <c r="Q394" s="69" t="s">
        <v>229</v>
      </c>
      <c r="R394" s="69" t="s">
        <v>229</v>
      </c>
      <c r="S394" s="69" t="s">
        <v>229</v>
      </c>
      <c r="T394" s="70" t="s">
        <v>229</v>
      </c>
      <c r="U394" s="71" t="s">
        <v>229</v>
      </c>
      <c r="V394" s="72" t="s">
        <v>229</v>
      </c>
      <c r="W394" s="73" t="s">
        <v>229</v>
      </c>
      <c r="X394" s="72" t="s">
        <v>229</v>
      </c>
      <c r="Y394" s="70" t="s">
        <v>229</v>
      </c>
      <c r="Z394" s="73" t="s">
        <v>229</v>
      </c>
    </row>
    <row r="395" ht="15.75" customHeight="1">
      <c r="A395" s="87"/>
      <c r="B395" s="88"/>
      <c r="C395" s="88"/>
      <c r="D395" s="87"/>
      <c r="E395" s="87"/>
      <c r="F395" s="87"/>
      <c r="G395" s="85"/>
      <c r="H395" s="85"/>
      <c r="I395" s="86"/>
      <c r="J395" s="86"/>
      <c r="K395" s="83"/>
      <c r="L395" s="87"/>
      <c r="M395" s="79"/>
      <c r="N395" s="69" t="s">
        <v>229</v>
      </c>
      <c r="O395" s="69" t="s">
        <v>229</v>
      </c>
      <c r="P395" s="69" t="s">
        <v>229</v>
      </c>
      <c r="Q395" s="69" t="s">
        <v>229</v>
      </c>
      <c r="R395" s="69" t="s">
        <v>229</v>
      </c>
      <c r="S395" s="69" t="s">
        <v>229</v>
      </c>
      <c r="T395" s="70" t="s">
        <v>229</v>
      </c>
      <c r="U395" s="71" t="s">
        <v>229</v>
      </c>
      <c r="V395" s="72" t="s">
        <v>229</v>
      </c>
      <c r="W395" s="73" t="s">
        <v>229</v>
      </c>
      <c r="X395" s="72" t="s">
        <v>229</v>
      </c>
      <c r="Y395" s="70" t="s">
        <v>229</v>
      </c>
      <c r="Z395" s="73" t="s">
        <v>229</v>
      </c>
    </row>
    <row r="396" ht="15.75" customHeight="1">
      <c r="A396" s="87"/>
      <c r="B396" s="88"/>
      <c r="C396" s="88"/>
      <c r="D396" s="87"/>
      <c r="E396" s="87"/>
      <c r="F396" s="87"/>
      <c r="G396" s="85"/>
      <c r="H396" s="85"/>
      <c r="I396" s="86"/>
      <c r="J396" s="86"/>
      <c r="K396" s="83"/>
      <c r="L396" s="87"/>
      <c r="M396" s="79"/>
      <c r="N396" s="69" t="s">
        <v>229</v>
      </c>
      <c r="O396" s="69" t="s">
        <v>229</v>
      </c>
      <c r="P396" s="69" t="s">
        <v>229</v>
      </c>
      <c r="Q396" s="69" t="s">
        <v>229</v>
      </c>
      <c r="R396" s="69" t="s">
        <v>229</v>
      </c>
      <c r="S396" s="69" t="s">
        <v>229</v>
      </c>
      <c r="T396" s="70" t="s">
        <v>229</v>
      </c>
      <c r="U396" s="71" t="s">
        <v>229</v>
      </c>
      <c r="V396" s="72" t="s">
        <v>229</v>
      </c>
      <c r="W396" s="73" t="s">
        <v>229</v>
      </c>
      <c r="X396" s="72" t="s">
        <v>229</v>
      </c>
      <c r="Y396" s="70" t="s">
        <v>229</v>
      </c>
      <c r="Z396" s="73" t="s">
        <v>229</v>
      </c>
    </row>
    <row r="397" ht="15.75" customHeight="1">
      <c r="A397" s="87"/>
      <c r="B397" s="88"/>
      <c r="C397" s="88"/>
      <c r="D397" s="87"/>
      <c r="E397" s="87"/>
      <c r="F397" s="87"/>
      <c r="G397" s="85"/>
      <c r="H397" s="85"/>
      <c r="I397" s="86"/>
      <c r="J397" s="86"/>
      <c r="K397" s="83"/>
      <c r="L397" s="87"/>
      <c r="M397" s="79"/>
      <c r="N397" s="69" t="s">
        <v>229</v>
      </c>
      <c r="O397" s="69" t="s">
        <v>229</v>
      </c>
      <c r="P397" s="69" t="s">
        <v>229</v>
      </c>
      <c r="Q397" s="69" t="s">
        <v>229</v>
      </c>
      <c r="R397" s="69" t="s">
        <v>229</v>
      </c>
      <c r="S397" s="69" t="s">
        <v>229</v>
      </c>
      <c r="T397" s="70" t="s">
        <v>229</v>
      </c>
      <c r="U397" s="71" t="s">
        <v>229</v>
      </c>
      <c r="V397" s="72" t="s">
        <v>229</v>
      </c>
      <c r="W397" s="73" t="s">
        <v>229</v>
      </c>
      <c r="X397" s="72" t="s">
        <v>229</v>
      </c>
      <c r="Y397" s="70" t="s">
        <v>229</v>
      </c>
      <c r="Z397" s="73" t="s">
        <v>229</v>
      </c>
    </row>
    <row r="398" ht="15.75" customHeight="1">
      <c r="A398" s="87"/>
      <c r="B398" s="88"/>
      <c r="C398" s="88"/>
      <c r="D398" s="87"/>
      <c r="E398" s="87"/>
      <c r="F398" s="87"/>
      <c r="G398" s="85"/>
      <c r="H398" s="85"/>
      <c r="I398" s="86"/>
      <c r="J398" s="86"/>
      <c r="K398" s="83"/>
      <c r="L398" s="87"/>
      <c r="M398" s="79"/>
      <c r="N398" s="69" t="s">
        <v>229</v>
      </c>
      <c r="O398" s="69" t="s">
        <v>229</v>
      </c>
      <c r="P398" s="69" t="s">
        <v>229</v>
      </c>
      <c r="Q398" s="69" t="s">
        <v>229</v>
      </c>
      <c r="R398" s="69" t="s">
        <v>229</v>
      </c>
      <c r="S398" s="69" t="s">
        <v>229</v>
      </c>
      <c r="T398" s="70" t="s">
        <v>229</v>
      </c>
      <c r="U398" s="71" t="s">
        <v>229</v>
      </c>
      <c r="V398" s="72" t="s">
        <v>229</v>
      </c>
      <c r="W398" s="73" t="s">
        <v>229</v>
      </c>
      <c r="X398" s="72" t="s">
        <v>229</v>
      </c>
      <c r="Y398" s="70" t="s">
        <v>229</v>
      </c>
      <c r="Z398" s="73" t="s">
        <v>229</v>
      </c>
    </row>
    <row r="399" ht="15.75" customHeight="1">
      <c r="A399" s="87"/>
      <c r="B399" s="88"/>
      <c r="C399" s="88"/>
      <c r="D399" s="87"/>
      <c r="E399" s="87"/>
      <c r="F399" s="87"/>
      <c r="G399" s="85"/>
      <c r="H399" s="85"/>
      <c r="I399" s="86"/>
      <c r="J399" s="86"/>
      <c r="K399" s="83"/>
      <c r="L399" s="87"/>
      <c r="M399" s="79"/>
      <c r="N399" s="69" t="s">
        <v>229</v>
      </c>
      <c r="O399" s="69" t="s">
        <v>229</v>
      </c>
      <c r="P399" s="69" t="s">
        <v>229</v>
      </c>
      <c r="Q399" s="69" t="s">
        <v>229</v>
      </c>
      <c r="R399" s="69" t="s">
        <v>229</v>
      </c>
      <c r="S399" s="69" t="s">
        <v>229</v>
      </c>
      <c r="T399" s="70" t="s">
        <v>229</v>
      </c>
      <c r="U399" s="71" t="s">
        <v>229</v>
      </c>
      <c r="V399" s="72" t="s">
        <v>229</v>
      </c>
      <c r="W399" s="73" t="s">
        <v>229</v>
      </c>
      <c r="X399" s="72" t="s">
        <v>229</v>
      </c>
      <c r="Y399" s="70" t="s">
        <v>229</v>
      </c>
      <c r="Z399" s="73" t="s">
        <v>229</v>
      </c>
    </row>
    <row r="400" ht="15.75" customHeight="1">
      <c r="A400" s="87"/>
      <c r="B400" s="88"/>
      <c r="C400" s="88"/>
      <c r="D400" s="87"/>
      <c r="E400" s="87"/>
      <c r="F400" s="87"/>
      <c r="G400" s="85"/>
      <c r="H400" s="85"/>
      <c r="I400" s="86"/>
      <c r="J400" s="86"/>
      <c r="K400" s="83"/>
      <c r="L400" s="87"/>
      <c r="M400" s="79"/>
      <c r="N400" s="69" t="s">
        <v>229</v>
      </c>
      <c r="O400" s="69" t="s">
        <v>229</v>
      </c>
      <c r="P400" s="69" t="s">
        <v>229</v>
      </c>
      <c r="Q400" s="69" t="s">
        <v>229</v>
      </c>
      <c r="R400" s="69" t="s">
        <v>229</v>
      </c>
      <c r="S400" s="69" t="s">
        <v>229</v>
      </c>
      <c r="T400" s="70" t="s">
        <v>229</v>
      </c>
      <c r="U400" s="71" t="s">
        <v>229</v>
      </c>
      <c r="V400" s="72" t="s">
        <v>229</v>
      </c>
      <c r="W400" s="73" t="s">
        <v>229</v>
      </c>
      <c r="X400" s="72" t="s">
        <v>229</v>
      </c>
      <c r="Y400" s="70" t="s">
        <v>229</v>
      </c>
      <c r="Z400" s="73" t="s">
        <v>229</v>
      </c>
    </row>
    <row r="401" ht="15.75" customHeight="1">
      <c r="A401" s="87"/>
      <c r="B401" s="88"/>
      <c r="C401" s="88"/>
      <c r="D401" s="87"/>
      <c r="E401" s="87"/>
      <c r="F401" s="87"/>
      <c r="G401" s="85"/>
      <c r="H401" s="85"/>
      <c r="I401" s="86"/>
      <c r="J401" s="86"/>
      <c r="K401" s="83"/>
      <c r="L401" s="87"/>
      <c r="M401" s="79"/>
      <c r="N401" s="69" t="s">
        <v>229</v>
      </c>
      <c r="O401" s="69" t="s">
        <v>229</v>
      </c>
      <c r="P401" s="69" t="s">
        <v>229</v>
      </c>
      <c r="Q401" s="69" t="s">
        <v>229</v>
      </c>
      <c r="R401" s="69" t="s">
        <v>229</v>
      </c>
      <c r="S401" s="69" t="s">
        <v>229</v>
      </c>
      <c r="T401" s="70" t="s">
        <v>229</v>
      </c>
      <c r="U401" s="71" t="s">
        <v>229</v>
      </c>
      <c r="V401" s="72" t="s">
        <v>229</v>
      </c>
      <c r="W401" s="73" t="s">
        <v>229</v>
      </c>
      <c r="X401" s="72" t="s">
        <v>229</v>
      </c>
      <c r="Y401" s="70" t="s">
        <v>229</v>
      </c>
      <c r="Z401" s="73" t="s">
        <v>229</v>
      </c>
    </row>
    <row r="402" ht="15.75" customHeight="1">
      <c r="A402" s="87"/>
      <c r="B402" s="88"/>
      <c r="C402" s="88"/>
      <c r="D402" s="87"/>
      <c r="E402" s="87"/>
      <c r="F402" s="87"/>
      <c r="G402" s="85"/>
      <c r="H402" s="85"/>
      <c r="I402" s="86"/>
      <c r="J402" s="86"/>
      <c r="K402" s="83"/>
      <c r="L402" s="87"/>
      <c r="M402" s="79"/>
      <c r="N402" s="69" t="s">
        <v>229</v>
      </c>
      <c r="O402" s="69" t="s">
        <v>229</v>
      </c>
      <c r="P402" s="69" t="s">
        <v>229</v>
      </c>
      <c r="Q402" s="69" t="s">
        <v>229</v>
      </c>
      <c r="R402" s="69" t="s">
        <v>229</v>
      </c>
      <c r="S402" s="69" t="s">
        <v>229</v>
      </c>
      <c r="T402" s="70" t="s">
        <v>229</v>
      </c>
      <c r="U402" s="71" t="s">
        <v>229</v>
      </c>
      <c r="V402" s="72" t="s">
        <v>229</v>
      </c>
      <c r="W402" s="73" t="s">
        <v>229</v>
      </c>
      <c r="X402" s="72" t="s">
        <v>229</v>
      </c>
      <c r="Y402" s="70" t="s">
        <v>229</v>
      </c>
      <c r="Z402" s="73" t="s">
        <v>229</v>
      </c>
    </row>
    <row r="403" ht="15.75" customHeight="1">
      <c r="A403" s="87"/>
      <c r="B403" s="88"/>
      <c r="C403" s="88"/>
      <c r="D403" s="87"/>
      <c r="E403" s="87"/>
      <c r="F403" s="87"/>
      <c r="G403" s="85"/>
      <c r="H403" s="85"/>
      <c r="I403" s="86"/>
      <c r="J403" s="86"/>
      <c r="K403" s="83"/>
      <c r="L403" s="87"/>
      <c r="M403" s="79"/>
      <c r="N403" s="69" t="s">
        <v>229</v>
      </c>
      <c r="O403" s="69" t="s">
        <v>229</v>
      </c>
      <c r="P403" s="69" t="s">
        <v>229</v>
      </c>
      <c r="Q403" s="69" t="s">
        <v>229</v>
      </c>
      <c r="R403" s="69" t="s">
        <v>229</v>
      </c>
      <c r="S403" s="69" t="s">
        <v>229</v>
      </c>
      <c r="T403" s="70" t="s">
        <v>229</v>
      </c>
      <c r="U403" s="71" t="s">
        <v>229</v>
      </c>
      <c r="V403" s="72" t="s">
        <v>229</v>
      </c>
      <c r="W403" s="73" t="s">
        <v>229</v>
      </c>
      <c r="X403" s="72" t="s">
        <v>229</v>
      </c>
      <c r="Y403" s="70" t="s">
        <v>229</v>
      </c>
      <c r="Z403" s="73" t="s">
        <v>229</v>
      </c>
    </row>
    <row r="404" ht="15.75" customHeight="1">
      <c r="A404" s="87"/>
      <c r="B404" s="88"/>
      <c r="C404" s="88"/>
      <c r="D404" s="87"/>
      <c r="E404" s="87"/>
      <c r="F404" s="87"/>
      <c r="G404" s="85"/>
      <c r="H404" s="85"/>
      <c r="I404" s="86"/>
      <c r="J404" s="86"/>
      <c r="K404" s="83"/>
      <c r="L404" s="87"/>
      <c r="M404" s="79"/>
      <c r="N404" s="69" t="s">
        <v>229</v>
      </c>
      <c r="O404" s="69" t="s">
        <v>229</v>
      </c>
      <c r="P404" s="69" t="s">
        <v>229</v>
      </c>
      <c r="Q404" s="69" t="s">
        <v>229</v>
      </c>
      <c r="R404" s="69" t="s">
        <v>229</v>
      </c>
      <c r="S404" s="69" t="s">
        <v>229</v>
      </c>
      <c r="T404" s="70" t="s">
        <v>229</v>
      </c>
      <c r="U404" s="71" t="s">
        <v>229</v>
      </c>
      <c r="V404" s="72" t="s">
        <v>229</v>
      </c>
      <c r="W404" s="73" t="s">
        <v>229</v>
      </c>
      <c r="X404" s="72" t="s">
        <v>229</v>
      </c>
      <c r="Y404" s="70" t="s">
        <v>229</v>
      </c>
      <c r="Z404" s="73" t="s">
        <v>229</v>
      </c>
    </row>
    <row r="405" ht="15.75" customHeight="1">
      <c r="A405" s="87"/>
      <c r="B405" s="88"/>
      <c r="C405" s="88"/>
      <c r="D405" s="87"/>
      <c r="E405" s="87"/>
      <c r="F405" s="87"/>
      <c r="G405" s="85"/>
      <c r="H405" s="85"/>
      <c r="I405" s="86"/>
      <c r="J405" s="86"/>
      <c r="K405" s="83"/>
      <c r="L405" s="87"/>
      <c r="M405" s="79"/>
      <c r="N405" s="69" t="s">
        <v>229</v>
      </c>
      <c r="O405" s="69" t="s">
        <v>229</v>
      </c>
      <c r="P405" s="69" t="s">
        <v>229</v>
      </c>
      <c r="Q405" s="69" t="s">
        <v>229</v>
      </c>
      <c r="R405" s="69" t="s">
        <v>229</v>
      </c>
      <c r="S405" s="69" t="s">
        <v>229</v>
      </c>
      <c r="T405" s="70" t="s">
        <v>229</v>
      </c>
      <c r="U405" s="71" t="s">
        <v>229</v>
      </c>
      <c r="V405" s="72" t="s">
        <v>229</v>
      </c>
      <c r="W405" s="73" t="s">
        <v>229</v>
      </c>
      <c r="X405" s="72" t="s">
        <v>229</v>
      </c>
      <c r="Y405" s="70" t="s">
        <v>229</v>
      </c>
      <c r="Z405" s="73" t="s">
        <v>229</v>
      </c>
    </row>
    <row r="406" ht="15.75" customHeight="1">
      <c r="A406" s="87"/>
      <c r="B406" s="88"/>
      <c r="C406" s="88"/>
      <c r="D406" s="87"/>
      <c r="E406" s="87"/>
      <c r="F406" s="87"/>
      <c r="G406" s="85"/>
      <c r="H406" s="85"/>
      <c r="I406" s="86"/>
      <c r="J406" s="86"/>
      <c r="K406" s="83"/>
      <c r="L406" s="87"/>
      <c r="M406" s="79"/>
      <c r="N406" s="69" t="s">
        <v>229</v>
      </c>
      <c r="O406" s="69" t="s">
        <v>229</v>
      </c>
      <c r="P406" s="69" t="s">
        <v>229</v>
      </c>
      <c r="Q406" s="69" t="s">
        <v>229</v>
      </c>
      <c r="R406" s="69" t="s">
        <v>229</v>
      </c>
      <c r="S406" s="69" t="s">
        <v>229</v>
      </c>
      <c r="T406" s="70" t="s">
        <v>229</v>
      </c>
      <c r="U406" s="71" t="s">
        <v>229</v>
      </c>
      <c r="V406" s="72" t="s">
        <v>229</v>
      </c>
      <c r="W406" s="73" t="s">
        <v>229</v>
      </c>
      <c r="X406" s="72" t="s">
        <v>229</v>
      </c>
      <c r="Y406" s="70" t="s">
        <v>229</v>
      </c>
      <c r="Z406" s="73" t="s">
        <v>229</v>
      </c>
    </row>
    <row r="407" ht="15.75" customHeight="1">
      <c r="A407" s="87"/>
      <c r="B407" s="88"/>
      <c r="C407" s="88"/>
      <c r="D407" s="87"/>
      <c r="E407" s="87"/>
      <c r="F407" s="87"/>
      <c r="G407" s="85"/>
      <c r="H407" s="85"/>
      <c r="I407" s="86"/>
      <c r="J407" s="86"/>
      <c r="K407" s="83"/>
      <c r="L407" s="87"/>
      <c r="M407" s="79"/>
      <c r="N407" s="69" t="s">
        <v>229</v>
      </c>
      <c r="O407" s="69" t="s">
        <v>229</v>
      </c>
      <c r="P407" s="69" t="s">
        <v>229</v>
      </c>
      <c r="Q407" s="69" t="s">
        <v>229</v>
      </c>
      <c r="R407" s="69" t="s">
        <v>229</v>
      </c>
      <c r="S407" s="69" t="s">
        <v>229</v>
      </c>
      <c r="T407" s="70" t="s">
        <v>229</v>
      </c>
      <c r="U407" s="71" t="s">
        <v>229</v>
      </c>
      <c r="V407" s="72" t="s">
        <v>229</v>
      </c>
      <c r="W407" s="73" t="s">
        <v>229</v>
      </c>
      <c r="X407" s="72" t="s">
        <v>229</v>
      </c>
      <c r="Y407" s="70" t="s">
        <v>229</v>
      </c>
      <c r="Z407" s="73" t="s">
        <v>229</v>
      </c>
    </row>
    <row r="408" ht="15.75" customHeight="1">
      <c r="A408" s="87"/>
      <c r="B408" s="88"/>
      <c r="C408" s="88"/>
      <c r="D408" s="87"/>
      <c r="E408" s="87"/>
      <c r="F408" s="87"/>
      <c r="G408" s="85"/>
      <c r="H408" s="85"/>
      <c r="I408" s="86"/>
      <c r="J408" s="86"/>
      <c r="K408" s="83"/>
      <c r="L408" s="87"/>
      <c r="M408" s="79"/>
      <c r="N408" s="69" t="s">
        <v>229</v>
      </c>
      <c r="O408" s="69" t="s">
        <v>229</v>
      </c>
      <c r="P408" s="69" t="s">
        <v>229</v>
      </c>
      <c r="Q408" s="69" t="s">
        <v>229</v>
      </c>
      <c r="R408" s="69" t="s">
        <v>229</v>
      </c>
      <c r="S408" s="69" t="s">
        <v>229</v>
      </c>
      <c r="T408" s="70" t="s">
        <v>229</v>
      </c>
      <c r="U408" s="71" t="s">
        <v>229</v>
      </c>
      <c r="V408" s="72" t="s">
        <v>229</v>
      </c>
      <c r="W408" s="73" t="s">
        <v>229</v>
      </c>
      <c r="X408" s="72" t="s">
        <v>229</v>
      </c>
      <c r="Y408" s="70" t="s">
        <v>229</v>
      </c>
      <c r="Z408" s="73" t="s">
        <v>229</v>
      </c>
    </row>
    <row r="409" ht="15.75" customHeight="1">
      <c r="A409" s="87"/>
      <c r="B409" s="88"/>
      <c r="C409" s="88"/>
      <c r="D409" s="87"/>
      <c r="E409" s="87"/>
      <c r="F409" s="87"/>
      <c r="G409" s="85"/>
      <c r="H409" s="85"/>
      <c r="I409" s="86"/>
      <c r="J409" s="86"/>
      <c r="K409" s="83"/>
      <c r="L409" s="87"/>
      <c r="M409" s="79"/>
      <c r="N409" s="69" t="s">
        <v>229</v>
      </c>
      <c r="O409" s="69" t="s">
        <v>229</v>
      </c>
      <c r="P409" s="69" t="s">
        <v>229</v>
      </c>
      <c r="Q409" s="69" t="s">
        <v>229</v>
      </c>
      <c r="R409" s="69" t="s">
        <v>229</v>
      </c>
      <c r="S409" s="69" t="s">
        <v>229</v>
      </c>
      <c r="T409" s="70" t="s">
        <v>229</v>
      </c>
      <c r="U409" s="71" t="s">
        <v>229</v>
      </c>
      <c r="V409" s="72" t="s">
        <v>229</v>
      </c>
      <c r="W409" s="73" t="s">
        <v>229</v>
      </c>
      <c r="X409" s="72" t="s">
        <v>229</v>
      </c>
      <c r="Y409" s="70" t="s">
        <v>229</v>
      </c>
      <c r="Z409" s="73" t="s">
        <v>229</v>
      </c>
    </row>
    <row r="410" ht="15.75" customHeight="1">
      <c r="A410" s="87"/>
      <c r="B410" s="88"/>
      <c r="C410" s="88"/>
      <c r="D410" s="87"/>
      <c r="E410" s="87"/>
      <c r="F410" s="87"/>
      <c r="G410" s="85"/>
      <c r="H410" s="85"/>
      <c r="I410" s="86"/>
      <c r="J410" s="86"/>
      <c r="K410" s="83"/>
      <c r="L410" s="87"/>
      <c r="M410" s="79"/>
      <c r="N410" s="69" t="s">
        <v>229</v>
      </c>
      <c r="O410" s="69" t="s">
        <v>229</v>
      </c>
      <c r="P410" s="69" t="s">
        <v>229</v>
      </c>
      <c r="Q410" s="69" t="s">
        <v>229</v>
      </c>
      <c r="R410" s="69" t="s">
        <v>229</v>
      </c>
      <c r="S410" s="69" t="s">
        <v>229</v>
      </c>
      <c r="T410" s="70" t="s">
        <v>229</v>
      </c>
      <c r="U410" s="71" t="s">
        <v>229</v>
      </c>
      <c r="V410" s="72" t="s">
        <v>229</v>
      </c>
      <c r="W410" s="73" t="s">
        <v>229</v>
      </c>
      <c r="X410" s="72" t="s">
        <v>229</v>
      </c>
      <c r="Y410" s="70" t="s">
        <v>229</v>
      </c>
      <c r="Z410" s="73" t="s">
        <v>229</v>
      </c>
    </row>
    <row r="411" ht="15.75" customHeight="1">
      <c r="A411" s="87"/>
      <c r="B411" s="88"/>
      <c r="C411" s="88"/>
      <c r="D411" s="87"/>
      <c r="E411" s="87"/>
      <c r="F411" s="87"/>
      <c r="G411" s="85"/>
      <c r="H411" s="85"/>
      <c r="I411" s="86"/>
      <c r="J411" s="86"/>
      <c r="K411" s="83"/>
      <c r="L411" s="87"/>
      <c r="M411" s="79"/>
      <c r="N411" s="69" t="s">
        <v>229</v>
      </c>
      <c r="O411" s="69" t="s">
        <v>229</v>
      </c>
      <c r="P411" s="69" t="s">
        <v>229</v>
      </c>
      <c r="Q411" s="69" t="s">
        <v>229</v>
      </c>
      <c r="R411" s="69" t="s">
        <v>229</v>
      </c>
      <c r="S411" s="69" t="s">
        <v>229</v>
      </c>
      <c r="T411" s="70" t="s">
        <v>229</v>
      </c>
      <c r="U411" s="71" t="s">
        <v>229</v>
      </c>
      <c r="V411" s="72" t="s">
        <v>229</v>
      </c>
      <c r="W411" s="73" t="s">
        <v>229</v>
      </c>
      <c r="X411" s="72" t="s">
        <v>229</v>
      </c>
      <c r="Y411" s="70" t="s">
        <v>229</v>
      </c>
      <c r="Z411" s="73" t="s">
        <v>229</v>
      </c>
    </row>
    <row r="412" ht="15.75" customHeight="1">
      <c r="A412" s="87"/>
      <c r="B412" s="88"/>
      <c r="C412" s="88"/>
      <c r="D412" s="87"/>
      <c r="E412" s="87"/>
      <c r="F412" s="87"/>
      <c r="G412" s="85"/>
      <c r="H412" s="85"/>
      <c r="I412" s="86"/>
      <c r="J412" s="86"/>
      <c r="K412" s="83"/>
      <c r="L412" s="87"/>
      <c r="M412" s="79"/>
      <c r="N412" s="69" t="s">
        <v>229</v>
      </c>
      <c r="O412" s="69" t="s">
        <v>229</v>
      </c>
      <c r="P412" s="69" t="s">
        <v>229</v>
      </c>
      <c r="Q412" s="69" t="s">
        <v>229</v>
      </c>
      <c r="R412" s="69" t="s">
        <v>229</v>
      </c>
      <c r="S412" s="69" t="s">
        <v>229</v>
      </c>
      <c r="T412" s="70" t="s">
        <v>229</v>
      </c>
      <c r="U412" s="71" t="s">
        <v>229</v>
      </c>
      <c r="V412" s="72" t="s">
        <v>229</v>
      </c>
      <c r="W412" s="73" t="s">
        <v>229</v>
      </c>
      <c r="X412" s="72" t="s">
        <v>229</v>
      </c>
      <c r="Y412" s="70" t="s">
        <v>229</v>
      </c>
      <c r="Z412" s="73" t="s">
        <v>229</v>
      </c>
    </row>
    <row r="413" ht="15.75" customHeight="1">
      <c r="A413" s="87"/>
      <c r="B413" s="88"/>
      <c r="C413" s="88"/>
      <c r="D413" s="87"/>
      <c r="E413" s="87"/>
      <c r="F413" s="87"/>
      <c r="G413" s="85"/>
      <c r="H413" s="85"/>
      <c r="I413" s="86"/>
      <c r="J413" s="86"/>
      <c r="K413" s="83"/>
      <c r="L413" s="87"/>
      <c r="M413" s="79"/>
      <c r="N413" s="69" t="s">
        <v>229</v>
      </c>
      <c r="O413" s="69" t="s">
        <v>229</v>
      </c>
      <c r="P413" s="69" t="s">
        <v>229</v>
      </c>
      <c r="Q413" s="69" t="s">
        <v>229</v>
      </c>
      <c r="R413" s="69" t="s">
        <v>229</v>
      </c>
      <c r="S413" s="69" t="s">
        <v>229</v>
      </c>
      <c r="T413" s="70" t="s">
        <v>229</v>
      </c>
      <c r="U413" s="71" t="s">
        <v>229</v>
      </c>
      <c r="V413" s="72" t="s">
        <v>229</v>
      </c>
      <c r="W413" s="73" t="s">
        <v>229</v>
      </c>
      <c r="X413" s="72" t="s">
        <v>229</v>
      </c>
      <c r="Y413" s="70" t="s">
        <v>229</v>
      </c>
      <c r="Z413" s="73" t="s">
        <v>229</v>
      </c>
    </row>
    <row r="414" ht="15.75" customHeight="1">
      <c r="A414" s="87"/>
      <c r="B414" s="88"/>
      <c r="C414" s="88"/>
      <c r="D414" s="87"/>
      <c r="E414" s="87"/>
      <c r="F414" s="87"/>
      <c r="G414" s="85"/>
      <c r="H414" s="85"/>
      <c r="I414" s="86"/>
      <c r="J414" s="86"/>
      <c r="K414" s="83"/>
      <c r="L414" s="87"/>
      <c r="M414" s="79"/>
      <c r="N414" s="69" t="s">
        <v>229</v>
      </c>
      <c r="O414" s="69" t="s">
        <v>229</v>
      </c>
      <c r="P414" s="69" t="s">
        <v>229</v>
      </c>
      <c r="Q414" s="69" t="s">
        <v>229</v>
      </c>
      <c r="R414" s="69" t="s">
        <v>229</v>
      </c>
      <c r="S414" s="69" t="s">
        <v>229</v>
      </c>
      <c r="T414" s="70" t="s">
        <v>229</v>
      </c>
      <c r="U414" s="71" t="s">
        <v>229</v>
      </c>
      <c r="V414" s="72" t="s">
        <v>229</v>
      </c>
      <c r="W414" s="73" t="s">
        <v>229</v>
      </c>
      <c r="X414" s="72" t="s">
        <v>229</v>
      </c>
      <c r="Y414" s="70" t="s">
        <v>229</v>
      </c>
      <c r="Z414" s="73" t="s">
        <v>229</v>
      </c>
    </row>
    <row r="415" ht="15.75" customHeight="1">
      <c r="A415" s="87"/>
      <c r="B415" s="88"/>
      <c r="C415" s="88"/>
      <c r="D415" s="87"/>
      <c r="E415" s="87"/>
      <c r="F415" s="87"/>
      <c r="G415" s="85"/>
      <c r="H415" s="85"/>
      <c r="I415" s="86"/>
      <c r="J415" s="86"/>
      <c r="K415" s="83"/>
      <c r="L415" s="87"/>
      <c r="M415" s="79"/>
      <c r="N415" s="69" t="s">
        <v>229</v>
      </c>
      <c r="O415" s="69" t="s">
        <v>229</v>
      </c>
      <c r="P415" s="69" t="s">
        <v>229</v>
      </c>
      <c r="Q415" s="69" t="s">
        <v>229</v>
      </c>
      <c r="R415" s="69" t="s">
        <v>229</v>
      </c>
      <c r="S415" s="69" t="s">
        <v>229</v>
      </c>
      <c r="T415" s="70" t="s">
        <v>229</v>
      </c>
      <c r="U415" s="71" t="s">
        <v>229</v>
      </c>
      <c r="V415" s="72" t="s">
        <v>229</v>
      </c>
      <c r="W415" s="73" t="s">
        <v>229</v>
      </c>
      <c r="X415" s="72" t="s">
        <v>229</v>
      </c>
      <c r="Y415" s="70" t="s">
        <v>229</v>
      </c>
      <c r="Z415" s="73" t="s">
        <v>229</v>
      </c>
    </row>
    <row r="416" ht="15.75" customHeight="1">
      <c r="A416" s="87"/>
      <c r="B416" s="88"/>
      <c r="C416" s="88"/>
      <c r="D416" s="87"/>
      <c r="E416" s="87"/>
      <c r="F416" s="87"/>
      <c r="G416" s="85"/>
      <c r="H416" s="85"/>
      <c r="I416" s="86"/>
      <c r="J416" s="86"/>
      <c r="K416" s="83"/>
      <c r="L416" s="87"/>
      <c r="M416" s="79"/>
      <c r="N416" s="69" t="s">
        <v>229</v>
      </c>
      <c r="O416" s="69" t="s">
        <v>229</v>
      </c>
      <c r="P416" s="69" t="s">
        <v>229</v>
      </c>
      <c r="Q416" s="69" t="s">
        <v>229</v>
      </c>
      <c r="R416" s="69" t="s">
        <v>229</v>
      </c>
      <c r="S416" s="69" t="s">
        <v>229</v>
      </c>
      <c r="T416" s="70" t="s">
        <v>229</v>
      </c>
      <c r="U416" s="71" t="s">
        <v>229</v>
      </c>
      <c r="V416" s="72" t="s">
        <v>229</v>
      </c>
      <c r="W416" s="73" t="s">
        <v>229</v>
      </c>
      <c r="X416" s="72" t="s">
        <v>229</v>
      </c>
      <c r="Y416" s="70" t="s">
        <v>229</v>
      </c>
      <c r="Z416" s="73" t="s">
        <v>229</v>
      </c>
    </row>
    <row r="417" ht="15.75" customHeight="1">
      <c r="A417" s="87"/>
      <c r="B417" s="88"/>
      <c r="C417" s="88"/>
      <c r="D417" s="87"/>
      <c r="E417" s="87"/>
      <c r="F417" s="87"/>
      <c r="G417" s="85"/>
      <c r="H417" s="85"/>
      <c r="I417" s="86"/>
      <c r="J417" s="86"/>
      <c r="K417" s="83"/>
      <c r="L417" s="87"/>
      <c r="M417" s="79"/>
      <c r="N417" s="69" t="s">
        <v>229</v>
      </c>
      <c r="O417" s="69" t="s">
        <v>229</v>
      </c>
      <c r="P417" s="69" t="s">
        <v>229</v>
      </c>
      <c r="Q417" s="69" t="s">
        <v>229</v>
      </c>
      <c r="R417" s="69" t="s">
        <v>229</v>
      </c>
      <c r="S417" s="69" t="s">
        <v>229</v>
      </c>
      <c r="T417" s="70" t="s">
        <v>229</v>
      </c>
      <c r="U417" s="71" t="s">
        <v>229</v>
      </c>
      <c r="V417" s="72" t="s">
        <v>229</v>
      </c>
      <c r="W417" s="73" t="s">
        <v>229</v>
      </c>
      <c r="X417" s="72" t="s">
        <v>229</v>
      </c>
      <c r="Y417" s="70" t="s">
        <v>229</v>
      </c>
      <c r="Z417" s="73" t="s">
        <v>229</v>
      </c>
    </row>
    <row r="418" ht="15.75" customHeight="1">
      <c r="A418" s="87"/>
      <c r="B418" s="88"/>
      <c r="C418" s="88"/>
      <c r="D418" s="87"/>
      <c r="E418" s="87"/>
      <c r="F418" s="87"/>
      <c r="G418" s="85"/>
      <c r="H418" s="85"/>
      <c r="I418" s="86"/>
      <c r="J418" s="86"/>
      <c r="K418" s="83"/>
      <c r="L418" s="87"/>
      <c r="M418" s="79"/>
      <c r="N418" s="69" t="s">
        <v>229</v>
      </c>
      <c r="O418" s="69" t="s">
        <v>229</v>
      </c>
      <c r="P418" s="69" t="s">
        <v>229</v>
      </c>
      <c r="Q418" s="69" t="s">
        <v>229</v>
      </c>
      <c r="R418" s="69" t="s">
        <v>229</v>
      </c>
      <c r="S418" s="69" t="s">
        <v>229</v>
      </c>
      <c r="T418" s="70" t="s">
        <v>229</v>
      </c>
      <c r="U418" s="71" t="s">
        <v>229</v>
      </c>
      <c r="V418" s="72" t="s">
        <v>229</v>
      </c>
      <c r="W418" s="73" t="s">
        <v>229</v>
      </c>
      <c r="X418" s="72" t="s">
        <v>229</v>
      </c>
      <c r="Y418" s="70" t="s">
        <v>229</v>
      </c>
      <c r="Z418" s="73" t="s">
        <v>229</v>
      </c>
    </row>
    <row r="419" ht="15.75" customHeight="1">
      <c r="A419" s="87"/>
      <c r="B419" s="88"/>
      <c r="C419" s="88"/>
      <c r="D419" s="87"/>
      <c r="E419" s="87"/>
      <c r="F419" s="87"/>
      <c r="G419" s="85"/>
      <c r="H419" s="85"/>
      <c r="I419" s="86"/>
      <c r="J419" s="86"/>
      <c r="K419" s="83"/>
      <c r="L419" s="87"/>
      <c r="M419" s="79"/>
      <c r="N419" s="69" t="s">
        <v>229</v>
      </c>
      <c r="O419" s="69" t="s">
        <v>229</v>
      </c>
      <c r="P419" s="69" t="s">
        <v>229</v>
      </c>
      <c r="Q419" s="69" t="s">
        <v>229</v>
      </c>
      <c r="R419" s="69" t="s">
        <v>229</v>
      </c>
      <c r="S419" s="69" t="s">
        <v>229</v>
      </c>
      <c r="T419" s="70" t="s">
        <v>229</v>
      </c>
      <c r="U419" s="71" t="s">
        <v>229</v>
      </c>
      <c r="V419" s="72" t="s">
        <v>229</v>
      </c>
      <c r="W419" s="73" t="s">
        <v>229</v>
      </c>
      <c r="X419" s="72" t="s">
        <v>229</v>
      </c>
      <c r="Y419" s="70" t="s">
        <v>229</v>
      </c>
      <c r="Z419" s="73" t="s">
        <v>229</v>
      </c>
    </row>
    <row r="420" ht="15.75" customHeight="1">
      <c r="A420" s="87"/>
      <c r="B420" s="88"/>
      <c r="C420" s="88"/>
      <c r="D420" s="87"/>
      <c r="E420" s="87"/>
      <c r="F420" s="87"/>
      <c r="G420" s="85"/>
      <c r="H420" s="85"/>
      <c r="I420" s="86"/>
      <c r="J420" s="86"/>
      <c r="K420" s="83"/>
      <c r="L420" s="87"/>
      <c r="M420" s="79"/>
      <c r="N420" s="69" t="s">
        <v>229</v>
      </c>
      <c r="O420" s="69" t="s">
        <v>229</v>
      </c>
      <c r="P420" s="69" t="s">
        <v>229</v>
      </c>
      <c r="Q420" s="69" t="s">
        <v>229</v>
      </c>
      <c r="R420" s="69" t="s">
        <v>229</v>
      </c>
      <c r="S420" s="69" t="s">
        <v>229</v>
      </c>
      <c r="T420" s="70" t="s">
        <v>229</v>
      </c>
      <c r="U420" s="71" t="s">
        <v>229</v>
      </c>
      <c r="V420" s="72" t="s">
        <v>229</v>
      </c>
      <c r="W420" s="73" t="s">
        <v>229</v>
      </c>
      <c r="X420" s="72" t="s">
        <v>229</v>
      </c>
      <c r="Y420" s="70" t="s">
        <v>229</v>
      </c>
      <c r="Z420" s="73" t="s">
        <v>229</v>
      </c>
    </row>
    <row r="421" ht="15.75" customHeight="1">
      <c r="A421" s="87"/>
      <c r="B421" s="88"/>
      <c r="C421" s="88"/>
      <c r="D421" s="87"/>
      <c r="E421" s="87"/>
      <c r="F421" s="87"/>
      <c r="G421" s="85"/>
      <c r="H421" s="85"/>
      <c r="I421" s="86"/>
      <c r="J421" s="86"/>
      <c r="K421" s="83"/>
      <c r="L421" s="87"/>
      <c r="M421" s="79"/>
      <c r="N421" s="69" t="s">
        <v>229</v>
      </c>
      <c r="O421" s="69" t="s">
        <v>229</v>
      </c>
      <c r="P421" s="69" t="s">
        <v>229</v>
      </c>
      <c r="Q421" s="69" t="s">
        <v>229</v>
      </c>
      <c r="R421" s="69" t="s">
        <v>229</v>
      </c>
      <c r="S421" s="69" t="s">
        <v>229</v>
      </c>
      <c r="T421" s="70" t="s">
        <v>229</v>
      </c>
      <c r="U421" s="71" t="s">
        <v>229</v>
      </c>
      <c r="V421" s="72" t="s">
        <v>229</v>
      </c>
      <c r="W421" s="73" t="s">
        <v>229</v>
      </c>
      <c r="X421" s="72" t="s">
        <v>229</v>
      </c>
      <c r="Y421" s="70" t="s">
        <v>229</v>
      </c>
      <c r="Z421" s="73" t="s">
        <v>229</v>
      </c>
    </row>
    <row r="422" ht="15.75" customHeight="1">
      <c r="A422" s="87"/>
      <c r="B422" s="88"/>
      <c r="C422" s="88"/>
      <c r="D422" s="87"/>
      <c r="E422" s="87"/>
      <c r="F422" s="87"/>
      <c r="G422" s="85"/>
      <c r="H422" s="85"/>
      <c r="I422" s="86"/>
      <c r="J422" s="86"/>
      <c r="K422" s="83"/>
      <c r="L422" s="87"/>
      <c r="M422" s="79"/>
      <c r="N422" s="69" t="s">
        <v>229</v>
      </c>
      <c r="O422" s="69" t="s">
        <v>229</v>
      </c>
      <c r="P422" s="69" t="s">
        <v>229</v>
      </c>
      <c r="Q422" s="69" t="s">
        <v>229</v>
      </c>
      <c r="R422" s="69" t="s">
        <v>229</v>
      </c>
      <c r="S422" s="69" t="s">
        <v>229</v>
      </c>
      <c r="T422" s="70" t="s">
        <v>229</v>
      </c>
      <c r="U422" s="71" t="s">
        <v>229</v>
      </c>
      <c r="V422" s="72" t="s">
        <v>229</v>
      </c>
      <c r="W422" s="73" t="s">
        <v>229</v>
      </c>
      <c r="X422" s="72" t="s">
        <v>229</v>
      </c>
      <c r="Y422" s="70" t="s">
        <v>229</v>
      </c>
      <c r="Z422" s="73" t="s">
        <v>229</v>
      </c>
    </row>
    <row r="423" ht="15.75" customHeight="1">
      <c r="A423" s="87"/>
      <c r="B423" s="88"/>
      <c r="C423" s="88"/>
      <c r="D423" s="87"/>
      <c r="E423" s="87"/>
      <c r="F423" s="87"/>
      <c r="G423" s="85"/>
      <c r="H423" s="85"/>
      <c r="I423" s="86"/>
      <c r="J423" s="86"/>
      <c r="K423" s="83"/>
      <c r="L423" s="87"/>
      <c r="M423" s="79"/>
      <c r="N423" s="69" t="s">
        <v>229</v>
      </c>
      <c r="O423" s="69" t="s">
        <v>229</v>
      </c>
      <c r="P423" s="69" t="s">
        <v>229</v>
      </c>
      <c r="Q423" s="69" t="s">
        <v>229</v>
      </c>
      <c r="R423" s="69" t="s">
        <v>229</v>
      </c>
      <c r="S423" s="69" t="s">
        <v>229</v>
      </c>
      <c r="T423" s="70" t="s">
        <v>229</v>
      </c>
      <c r="U423" s="71" t="s">
        <v>229</v>
      </c>
      <c r="V423" s="72" t="s">
        <v>229</v>
      </c>
      <c r="W423" s="73" t="s">
        <v>229</v>
      </c>
      <c r="X423" s="72" t="s">
        <v>229</v>
      </c>
      <c r="Y423" s="70" t="s">
        <v>229</v>
      </c>
      <c r="Z423" s="73" t="s">
        <v>229</v>
      </c>
    </row>
    <row r="424" ht="15.75" customHeight="1">
      <c r="A424" s="87"/>
      <c r="B424" s="88"/>
      <c r="C424" s="88"/>
      <c r="D424" s="87"/>
      <c r="E424" s="87"/>
      <c r="F424" s="87"/>
      <c r="G424" s="85"/>
      <c r="H424" s="85"/>
      <c r="I424" s="86"/>
      <c r="J424" s="86"/>
      <c r="K424" s="83"/>
      <c r="L424" s="87"/>
      <c r="M424" s="79"/>
      <c r="N424" s="69" t="s">
        <v>229</v>
      </c>
      <c r="O424" s="69" t="s">
        <v>229</v>
      </c>
      <c r="P424" s="69" t="s">
        <v>229</v>
      </c>
      <c r="Q424" s="69" t="s">
        <v>229</v>
      </c>
      <c r="R424" s="69" t="s">
        <v>229</v>
      </c>
      <c r="S424" s="69" t="s">
        <v>229</v>
      </c>
      <c r="T424" s="70" t="s">
        <v>229</v>
      </c>
      <c r="U424" s="71" t="s">
        <v>229</v>
      </c>
      <c r="V424" s="72" t="s">
        <v>229</v>
      </c>
      <c r="W424" s="73" t="s">
        <v>229</v>
      </c>
      <c r="X424" s="72" t="s">
        <v>229</v>
      </c>
      <c r="Y424" s="70" t="s">
        <v>229</v>
      </c>
      <c r="Z424" s="73" t="s">
        <v>229</v>
      </c>
    </row>
    <row r="425" ht="15.75" customHeight="1">
      <c r="A425" s="87"/>
      <c r="B425" s="88"/>
      <c r="C425" s="88"/>
      <c r="D425" s="87"/>
      <c r="E425" s="87"/>
      <c r="F425" s="87"/>
      <c r="G425" s="85"/>
      <c r="H425" s="85"/>
      <c r="I425" s="86"/>
      <c r="J425" s="86"/>
      <c r="K425" s="83"/>
      <c r="L425" s="87"/>
      <c r="M425" s="79"/>
      <c r="N425" s="69" t="s">
        <v>229</v>
      </c>
      <c r="O425" s="69" t="s">
        <v>229</v>
      </c>
      <c r="P425" s="69" t="s">
        <v>229</v>
      </c>
      <c r="Q425" s="69" t="s">
        <v>229</v>
      </c>
      <c r="R425" s="69" t="s">
        <v>229</v>
      </c>
      <c r="S425" s="69" t="s">
        <v>229</v>
      </c>
      <c r="T425" s="70" t="s">
        <v>229</v>
      </c>
      <c r="U425" s="71" t="s">
        <v>229</v>
      </c>
      <c r="V425" s="72" t="s">
        <v>229</v>
      </c>
      <c r="W425" s="73" t="s">
        <v>229</v>
      </c>
      <c r="X425" s="72" t="s">
        <v>229</v>
      </c>
      <c r="Y425" s="70" t="s">
        <v>229</v>
      </c>
      <c r="Z425" s="73" t="s">
        <v>229</v>
      </c>
    </row>
    <row r="426" ht="15.75" customHeight="1">
      <c r="A426" s="87"/>
      <c r="B426" s="88"/>
      <c r="C426" s="88"/>
      <c r="D426" s="87"/>
      <c r="E426" s="87"/>
      <c r="F426" s="87"/>
      <c r="G426" s="85"/>
      <c r="H426" s="85"/>
      <c r="I426" s="86"/>
      <c r="J426" s="86"/>
      <c r="K426" s="83"/>
      <c r="L426" s="87"/>
      <c r="M426" s="79"/>
      <c r="N426" s="69" t="s">
        <v>229</v>
      </c>
      <c r="O426" s="69" t="s">
        <v>229</v>
      </c>
      <c r="P426" s="69" t="s">
        <v>229</v>
      </c>
      <c r="Q426" s="69" t="s">
        <v>229</v>
      </c>
      <c r="R426" s="69" t="s">
        <v>229</v>
      </c>
      <c r="S426" s="69" t="s">
        <v>229</v>
      </c>
      <c r="T426" s="70" t="s">
        <v>229</v>
      </c>
      <c r="U426" s="71" t="s">
        <v>229</v>
      </c>
      <c r="V426" s="72" t="s">
        <v>229</v>
      </c>
      <c r="W426" s="73" t="s">
        <v>229</v>
      </c>
      <c r="X426" s="72" t="s">
        <v>229</v>
      </c>
      <c r="Y426" s="70" t="s">
        <v>229</v>
      </c>
      <c r="Z426" s="73" t="s">
        <v>229</v>
      </c>
    </row>
    <row r="427" ht="15.75" customHeight="1">
      <c r="A427" s="87"/>
      <c r="B427" s="88"/>
      <c r="C427" s="88"/>
      <c r="D427" s="87"/>
      <c r="E427" s="87"/>
      <c r="F427" s="87"/>
      <c r="G427" s="85"/>
      <c r="H427" s="85"/>
      <c r="I427" s="86"/>
      <c r="J427" s="86"/>
      <c r="K427" s="83"/>
      <c r="L427" s="87"/>
      <c r="M427" s="79"/>
      <c r="N427" s="69" t="s">
        <v>229</v>
      </c>
      <c r="O427" s="69" t="s">
        <v>229</v>
      </c>
      <c r="P427" s="69" t="s">
        <v>229</v>
      </c>
      <c r="Q427" s="69" t="s">
        <v>229</v>
      </c>
      <c r="R427" s="69" t="s">
        <v>229</v>
      </c>
      <c r="S427" s="69" t="s">
        <v>229</v>
      </c>
      <c r="T427" s="70" t="s">
        <v>229</v>
      </c>
      <c r="U427" s="71" t="s">
        <v>229</v>
      </c>
      <c r="V427" s="72" t="s">
        <v>229</v>
      </c>
      <c r="W427" s="73" t="s">
        <v>229</v>
      </c>
      <c r="X427" s="72" t="s">
        <v>229</v>
      </c>
      <c r="Y427" s="70" t="s">
        <v>229</v>
      </c>
      <c r="Z427" s="73" t="s">
        <v>229</v>
      </c>
    </row>
    <row r="428" ht="15.75" customHeight="1">
      <c r="A428" s="87"/>
      <c r="B428" s="88"/>
      <c r="C428" s="88"/>
      <c r="D428" s="87"/>
      <c r="E428" s="87"/>
      <c r="F428" s="87"/>
      <c r="G428" s="85"/>
      <c r="H428" s="85"/>
      <c r="I428" s="86"/>
      <c r="J428" s="86"/>
      <c r="K428" s="83"/>
      <c r="L428" s="87"/>
      <c r="M428" s="79"/>
      <c r="N428" s="69" t="s">
        <v>229</v>
      </c>
      <c r="O428" s="69" t="s">
        <v>229</v>
      </c>
      <c r="P428" s="69" t="s">
        <v>229</v>
      </c>
      <c r="Q428" s="69" t="s">
        <v>229</v>
      </c>
      <c r="R428" s="69" t="s">
        <v>229</v>
      </c>
      <c r="S428" s="69" t="s">
        <v>229</v>
      </c>
      <c r="T428" s="70" t="s">
        <v>229</v>
      </c>
      <c r="U428" s="71" t="s">
        <v>229</v>
      </c>
      <c r="V428" s="72" t="s">
        <v>229</v>
      </c>
      <c r="W428" s="73" t="s">
        <v>229</v>
      </c>
      <c r="X428" s="72" t="s">
        <v>229</v>
      </c>
      <c r="Y428" s="70" t="s">
        <v>229</v>
      </c>
      <c r="Z428" s="73" t="s">
        <v>229</v>
      </c>
    </row>
    <row r="429" ht="15.75" customHeight="1">
      <c r="A429" s="87"/>
      <c r="B429" s="88"/>
      <c r="C429" s="88"/>
      <c r="D429" s="87"/>
      <c r="E429" s="87"/>
      <c r="F429" s="87"/>
      <c r="G429" s="85"/>
      <c r="H429" s="85"/>
      <c r="I429" s="86"/>
      <c r="J429" s="86"/>
      <c r="K429" s="83"/>
      <c r="L429" s="87"/>
      <c r="M429" s="79"/>
      <c r="N429" s="69" t="s">
        <v>229</v>
      </c>
      <c r="O429" s="69" t="s">
        <v>229</v>
      </c>
      <c r="P429" s="69" t="s">
        <v>229</v>
      </c>
      <c r="Q429" s="69" t="s">
        <v>229</v>
      </c>
      <c r="R429" s="69" t="s">
        <v>229</v>
      </c>
      <c r="S429" s="69" t="s">
        <v>229</v>
      </c>
      <c r="T429" s="70" t="s">
        <v>229</v>
      </c>
      <c r="U429" s="71" t="s">
        <v>229</v>
      </c>
      <c r="V429" s="72" t="s">
        <v>229</v>
      </c>
      <c r="W429" s="73" t="s">
        <v>229</v>
      </c>
      <c r="X429" s="72" t="s">
        <v>229</v>
      </c>
      <c r="Y429" s="70" t="s">
        <v>229</v>
      </c>
      <c r="Z429" s="73" t="s">
        <v>229</v>
      </c>
    </row>
    <row r="430" ht="15.75" customHeight="1">
      <c r="A430" s="87"/>
      <c r="B430" s="88"/>
      <c r="C430" s="88"/>
      <c r="D430" s="87"/>
      <c r="E430" s="87"/>
      <c r="F430" s="87"/>
      <c r="G430" s="85"/>
      <c r="H430" s="85"/>
      <c r="I430" s="86"/>
      <c r="J430" s="86"/>
      <c r="K430" s="83"/>
      <c r="L430" s="87"/>
      <c r="M430" s="79"/>
      <c r="N430" s="69" t="s">
        <v>229</v>
      </c>
      <c r="O430" s="69" t="s">
        <v>229</v>
      </c>
      <c r="P430" s="69" t="s">
        <v>229</v>
      </c>
      <c r="Q430" s="69" t="s">
        <v>229</v>
      </c>
      <c r="R430" s="69" t="s">
        <v>229</v>
      </c>
      <c r="S430" s="69" t="s">
        <v>229</v>
      </c>
      <c r="T430" s="70" t="s">
        <v>229</v>
      </c>
      <c r="U430" s="71" t="s">
        <v>229</v>
      </c>
      <c r="V430" s="72" t="s">
        <v>229</v>
      </c>
      <c r="W430" s="73" t="s">
        <v>229</v>
      </c>
      <c r="X430" s="72" t="s">
        <v>229</v>
      </c>
      <c r="Y430" s="70" t="s">
        <v>229</v>
      </c>
      <c r="Z430" s="73" t="s">
        <v>229</v>
      </c>
    </row>
    <row r="431" ht="15.75" customHeight="1">
      <c r="A431" s="87"/>
      <c r="B431" s="88"/>
      <c r="C431" s="88"/>
      <c r="D431" s="87"/>
      <c r="E431" s="87"/>
      <c r="F431" s="87"/>
      <c r="G431" s="85"/>
      <c r="H431" s="85"/>
      <c r="I431" s="86"/>
      <c r="J431" s="86"/>
      <c r="K431" s="83"/>
      <c r="L431" s="87"/>
      <c r="M431" s="79"/>
      <c r="N431" s="69" t="s">
        <v>229</v>
      </c>
      <c r="O431" s="69" t="s">
        <v>229</v>
      </c>
      <c r="P431" s="69" t="s">
        <v>229</v>
      </c>
      <c r="Q431" s="69" t="s">
        <v>229</v>
      </c>
      <c r="R431" s="69" t="s">
        <v>229</v>
      </c>
      <c r="S431" s="69" t="s">
        <v>229</v>
      </c>
      <c r="T431" s="70" t="s">
        <v>229</v>
      </c>
      <c r="U431" s="71" t="s">
        <v>229</v>
      </c>
      <c r="V431" s="72" t="s">
        <v>229</v>
      </c>
      <c r="W431" s="73" t="s">
        <v>229</v>
      </c>
      <c r="X431" s="72" t="s">
        <v>229</v>
      </c>
      <c r="Y431" s="70" t="s">
        <v>229</v>
      </c>
      <c r="Z431" s="73" t="s">
        <v>229</v>
      </c>
    </row>
    <row r="432" ht="15.75" customHeight="1">
      <c r="A432" s="87"/>
      <c r="B432" s="88"/>
      <c r="C432" s="88"/>
      <c r="D432" s="87"/>
      <c r="E432" s="87"/>
      <c r="F432" s="87"/>
      <c r="G432" s="85"/>
      <c r="H432" s="85"/>
      <c r="I432" s="86"/>
      <c r="J432" s="86"/>
      <c r="K432" s="83"/>
      <c r="L432" s="87"/>
      <c r="M432" s="79"/>
      <c r="N432" s="69" t="s">
        <v>229</v>
      </c>
      <c r="O432" s="69" t="s">
        <v>229</v>
      </c>
      <c r="P432" s="69" t="s">
        <v>229</v>
      </c>
      <c r="Q432" s="69" t="s">
        <v>229</v>
      </c>
      <c r="R432" s="69" t="s">
        <v>229</v>
      </c>
      <c r="S432" s="69" t="s">
        <v>229</v>
      </c>
      <c r="T432" s="70" t="s">
        <v>229</v>
      </c>
      <c r="U432" s="71" t="s">
        <v>229</v>
      </c>
      <c r="V432" s="72" t="s">
        <v>229</v>
      </c>
      <c r="W432" s="73" t="s">
        <v>229</v>
      </c>
      <c r="X432" s="72" t="s">
        <v>229</v>
      </c>
      <c r="Y432" s="70" t="s">
        <v>229</v>
      </c>
      <c r="Z432" s="73" t="s">
        <v>229</v>
      </c>
    </row>
    <row r="433" ht="15.75" customHeight="1">
      <c r="A433" s="87"/>
      <c r="B433" s="88"/>
      <c r="C433" s="88"/>
      <c r="D433" s="87"/>
      <c r="E433" s="87"/>
      <c r="F433" s="87"/>
      <c r="G433" s="85"/>
      <c r="H433" s="85"/>
      <c r="I433" s="86"/>
      <c r="J433" s="86"/>
      <c r="K433" s="83"/>
      <c r="L433" s="87"/>
      <c r="M433" s="79"/>
      <c r="N433" s="69" t="s">
        <v>229</v>
      </c>
      <c r="O433" s="69" t="s">
        <v>229</v>
      </c>
      <c r="P433" s="69" t="s">
        <v>229</v>
      </c>
      <c r="Q433" s="69" t="s">
        <v>229</v>
      </c>
      <c r="R433" s="69" t="s">
        <v>229</v>
      </c>
      <c r="S433" s="69" t="s">
        <v>229</v>
      </c>
      <c r="T433" s="70" t="s">
        <v>229</v>
      </c>
      <c r="U433" s="71" t="s">
        <v>229</v>
      </c>
      <c r="V433" s="72" t="s">
        <v>229</v>
      </c>
      <c r="W433" s="73" t="s">
        <v>229</v>
      </c>
      <c r="X433" s="72" t="s">
        <v>229</v>
      </c>
      <c r="Y433" s="70" t="s">
        <v>229</v>
      </c>
      <c r="Z433" s="73" t="s">
        <v>229</v>
      </c>
    </row>
    <row r="434" ht="15.75" customHeight="1">
      <c r="A434" s="87"/>
      <c r="B434" s="88"/>
      <c r="C434" s="88"/>
      <c r="D434" s="87"/>
      <c r="E434" s="87"/>
      <c r="F434" s="87"/>
      <c r="G434" s="85"/>
      <c r="H434" s="85"/>
      <c r="I434" s="86"/>
      <c r="J434" s="86"/>
      <c r="K434" s="83"/>
      <c r="L434" s="87"/>
      <c r="M434" s="79"/>
      <c r="N434" s="69" t="s">
        <v>229</v>
      </c>
      <c r="O434" s="69" t="s">
        <v>229</v>
      </c>
      <c r="P434" s="69" t="s">
        <v>229</v>
      </c>
      <c r="Q434" s="69" t="s">
        <v>229</v>
      </c>
      <c r="R434" s="69" t="s">
        <v>229</v>
      </c>
      <c r="S434" s="69" t="s">
        <v>229</v>
      </c>
      <c r="T434" s="70" t="s">
        <v>229</v>
      </c>
      <c r="U434" s="71" t="s">
        <v>229</v>
      </c>
      <c r="V434" s="72" t="s">
        <v>229</v>
      </c>
      <c r="W434" s="73" t="s">
        <v>229</v>
      </c>
      <c r="X434" s="72" t="s">
        <v>229</v>
      </c>
      <c r="Y434" s="70" t="s">
        <v>229</v>
      </c>
      <c r="Z434" s="73" t="s">
        <v>229</v>
      </c>
    </row>
    <row r="435" ht="15.75" customHeight="1">
      <c r="A435" s="87"/>
      <c r="B435" s="88"/>
      <c r="C435" s="88"/>
      <c r="D435" s="87"/>
      <c r="E435" s="87"/>
      <c r="F435" s="87"/>
      <c r="G435" s="85"/>
      <c r="H435" s="85"/>
      <c r="I435" s="86"/>
      <c r="J435" s="86"/>
      <c r="K435" s="83"/>
      <c r="L435" s="87"/>
      <c r="M435" s="79"/>
      <c r="N435" s="69" t="s">
        <v>229</v>
      </c>
      <c r="O435" s="69" t="s">
        <v>229</v>
      </c>
      <c r="P435" s="69" t="s">
        <v>229</v>
      </c>
      <c r="Q435" s="69" t="s">
        <v>229</v>
      </c>
      <c r="R435" s="69" t="s">
        <v>229</v>
      </c>
      <c r="S435" s="69" t="s">
        <v>229</v>
      </c>
      <c r="T435" s="70" t="s">
        <v>229</v>
      </c>
      <c r="U435" s="71" t="s">
        <v>229</v>
      </c>
      <c r="V435" s="72" t="s">
        <v>229</v>
      </c>
      <c r="W435" s="73" t="s">
        <v>229</v>
      </c>
      <c r="X435" s="72" t="s">
        <v>229</v>
      </c>
      <c r="Y435" s="70" t="s">
        <v>229</v>
      </c>
      <c r="Z435" s="73" t="s">
        <v>229</v>
      </c>
    </row>
    <row r="436" ht="15.75" customHeight="1">
      <c r="A436" s="87"/>
      <c r="B436" s="88"/>
      <c r="C436" s="88"/>
      <c r="D436" s="87"/>
      <c r="E436" s="87"/>
      <c r="F436" s="87"/>
      <c r="G436" s="85"/>
      <c r="H436" s="85"/>
      <c r="I436" s="86"/>
      <c r="J436" s="86"/>
      <c r="K436" s="83"/>
      <c r="L436" s="87"/>
      <c r="M436" s="79"/>
      <c r="N436" s="69" t="s">
        <v>229</v>
      </c>
      <c r="O436" s="69" t="s">
        <v>229</v>
      </c>
      <c r="P436" s="69" t="s">
        <v>229</v>
      </c>
      <c r="Q436" s="69" t="s">
        <v>229</v>
      </c>
      <c r="R436" s="69" t="s">
        <v>229</v>
      </c>
      <c r="S436" s="69" t="s">
        <v>229</v>
      </c>
      <c r="T436" s="70" t="s">
        <v>229</v>
      </c>
      <c r="U436" s="71" t="s">
        <v>229</v>
      </c>
      <c r="V436" s="72" t="s">
        <v>229</v>
      </c>
      <c r="W436" s="73" t="s">
        <v>229</v>
      </c>
      <c r="X436" s="72" t="s">
        <v>229</v>
      </c>
      <c r="Y436" s="70" t="s">
        <v>229</v>
      </c>
      <c r="Z436" s="73" t="s">
        <v>229</v>
      </c>
    </row>
    <row r="437" ht="15.75" customHeight="1">
      <c r="A437" s="87"/>
      <c r="B437" s="88"/>
      <c r="C437" s="88"/>
      <c r="D437" s="87"/>
      <c r="E437" s="87"/>
      <c r="F437" s="87"/>
      <c r="G437" s="85"/>
      <c r="H437" s="85"/>
      <c r="I437" s="86"/>
      <c r="J437" s="86"/>
      <c r="K437" s="83"/>
      <c r="L437" s="87"/>
      <c r="M437" s="79"/>
      <c r="N437" s="69" t="s">
        <v>229</v>
      </c>
      <c r="O437" s="69" t="s">
        <v>229</v>
      </c>
      <c r="P437" s="69" t="s">
        <v>229</v>
      </c>
      <c r="Q437" s="69" t="s">
        <v>229</v>
      </c>
      <c r="R437" s="69" t="s">
        <v>229</v>
      </c>
      <c r="S437" s="69" t="s">
        <v>229</v>
      </c>
      <c r="T437" s="70" t="s">
        <v>229</v>
      </c>
      <c r="U437" s="71" t="s">
        <v>229</v>
      </c>
      <c r="V437" s="72" t="s">
        <v>229</v>
      </c>
      <c r="W437" s="73" t="s">
        <v>229</v>
      </c>
      <c r="X437" s="72" t="s">
        <v>229</v>
      </c>
      <c r="Y437" s="70" t="s">
        <v>229</v>
      </c>
      <c r="Z437" s="73" t="s">
        <v>229</v>
      </c>
    </row>
    <row r="438" ht="15.75" customHeight="1">
      <c r="A438" s="87"/>
      <c r="B438" s="88"/>
      <c r="C438" s="88"/>
      <c r="D438" s="87"/>
      <c r="E438" s="87"/>
      <c r="F438" s="87"/>
      <c r="G438" s="85"/>
      <c r="H438" s="85"/>
      <c r="I438" s="86"/>
      <c r="J438" s="86"/>
      <c r="K438" s="83"/>
      <c r="L438" s="87"/>
      <c r="M438" s="79"/>
      <c r="N438" s="69" t="s">
        <v>229</v>
      </c>
      <c r="O438" s="69" t="s">
        <v>229</v>
      </c>
      <c r="P438" s="69" t="s">
        <v>229</v>
      </c>
      <c r="Q438" s="69" t="s">
        <v>229</v>
      </c>
      <c r="R438" s="69" t="s">
        <v>229</v>
      </c>
      <c r="S438" s="69" t="s">
        <v>229</v>
      </c>
      <c r="T438" s="70" t="s">
        <v>229</v>
      </c>
      <c r="U438" s="71" t="s">
        <v>229</v>
      </c>
      <c r="V438" s="72" t="s">
        <v>229</v>
      </c>
      <c r="W438" s="73" t="s">
        <v>229</v>
      </c>
      <c r="X438" s="72" t="s">
        <v>229</v>
      </c>
      <c r="Y438" s="70" t="s">
        <v>229</v>
      </c>
      <c r="Z438" s="73" t="s">
        <v>229</v>
      </c>
    </row>
    <row r="439" ht="15.75" customHeight="1">
      <c r="A439" s="87"/>
      <c r="B439" s="88"/>
      <c r="C439" s="88"/>
      <c r="D439" s="87"/>
      <c r="E439" s="87"/>
      <c r="F439" s="87"/>
      <c r="G439" s="85"/>
      <c r="H439" s="85"/>
      <c r="I439" s="86"/>
      <c r="J439" s="86"/>
      <c r="K439" s="83"/>
      <c r="L439" s="87"/>
      <c r="M439" s="79"/>
      <c r="N439" s="69" t="s">
        <v>229</v>
      </c>
      <c r="O439" s="69" t="s">
        <v>229</v>
      </c>
      <c r="P439" s="69" t="s">
        <v>229</v>
      </c>
      <c r="Q439" s="69" t="s">
        <v>229</v>
      </c>
      <c r="R439" s="69" t="s">
        <v>229</v>
      </c>
      <c r="S439" s="69" t="s">
        <v>229</v>
      </c>
      <c r="T439" s="70" t="s">
        <v>229</v>
      </c>
      <c r="U439" s="71" t="s">
        <v>229</v>
      </c>
      <c r="V439" s="72" t="s">
        <v>229</v>
      </c>
      <c r="W439" s="73" t="s">
        <v>229</v>
      </c>
      <c r="X439" s="72" t="s">
        <v>229</v>
      </c>
      <c r="Y439" s="70" t="s">
        <v>229</v>
      </c>
      <c r="Z439" s="73" t="s">
        <v>229</v>
      </c>
    </row>
    <row r="440" ht="15.75" customHeight="1">
      <c r="A440" s="87"/>
      <c r="B440" s="88"/>
      <c r="C440" s="88"/>
      <c r="D440" s="87"/>
      <c r="E440" s="87"/>
      <c r="F440" s="87"/>
      <c r="G440" s="85"/>
      <c r="H440" s="85"/>
      <c r="I440" s="86"/>
      <c r="J440" s="86"/>
      <c r="K440" s="83"/>
      <c r="L440" s="87"/>
      <c r="M440" s="79"/>
      <c r="N440" s="69" t="s">
        <v>229</v>
      </c>
      <c r="O440" s="69" t="s">
        <v>229</v>
      </c>
      <c r="P440" s="69" t="s">
        <v>229</v>
      </c>
      <c r="Q440" s="69" t="s">
        <v>229</v>
      </c>
      <c r="R440" s="69" t="s">
        <v>229</v>
      </c>
      <c r="S440" s="69" t="s">
        <v>229</v>
      </c>
      <c r="T440" s="70" t="s">
        <v>229</v>
      </c>
      <c r="U440" s="71" t="s">
        <v>229</v>
      </c>
      <c r="V440" s="72" t="s">
        <v>229</v>
      </c>
      <c r="W440" s="73" t="s">
        <v>229</v>
      </c>
      <c r="X440" s="72" t="s">
        <v>229</v>
      </c>
      <c r="Y440" s="70" t="s">
        <v>229</v>
      </c>
      <c r="Z440" s="73" t="s">
        <v>229</v>
      </c>
    </row>
    <row r="441" ht="15.75" customHeight="1">
      <c r="A441" s="87"/>
      <c r="B441" s="88"/>
      <c r="C441" s="88"/>
      <c r="D441" s="87"/>
      <c r="E441" s="87"/>
      <c r="F441" s="87"/>
      <c r="G441" s="85"/>
      <c r="H441" s="85"/>
      <c r="I441" s="86"/>
      <c r="J441" s="86"/>
      <c r="K441" s="83"/>
      <c r="L441" s="87"/>
      <c r="M441" s="79"/>
      <c r="N441" s="69" t="s">
        <v>229</v>
      </c>
      <c r="O441" s="69" t="s">
        <v>229</v>
      </c>
      <c r="P441" s="69" t="s">
        <v>229</v>
      </c>
      <c r="Q441" s="69" t="s">
        <v>229</v>
      </c>
      <c r="R441" s="69" t="s">
        <v>229</v>
      </c>
      <c r="S441" s="69" t="s">
        <v>229</v>
      </c>
      <c r="T441" s="70" t="s">
        <v>229</v>
      </c>
      <c r="U441" s="71" t="s">
        <v>229</v>
      </c>
      <c r="V441" s="72" t="s">
        <v>229</v>
      </c>
      <c r="W441" s="73" t="s">
        <v>229</v>
      </c>
      <c r="X441" s="72" t="s">
        <v>229</v>
      </c>
      <c r="Y441" s="70" t="s">
        <v>229</v>
      </c>
      <c r="Z441" s="73" t="s">
        <v>229</v>
      </c>
    </row>
    <row r="442" ht="15.75" customHeight="1">
      <c r="A442" s="87"/>
      <c r="B442" s="88"/>
      <c r="C442" s="88"/>
      <c r="D442" s="87"/>
      <c r="E442" s="87"/>
      <c r="F442" s="87"/>
      <c r="G442" s="85"/>
      <c r="H442" s="85"/>
      <c r="I442" s="86"/>
      <c r="J442" s="86"/>
      <c r="K442" s="83"/>
      <c r="L442" s="87"/>
      <c r="M442" s="79"/>
      <c r="N442" s="69" t="s">
        <v>229</v>
      </c>
      <c r="O442" s="69" t="s">
        <v>229</v>
      </c>
      <c r="P442" s="69" t="s">
        <v>229</v>
      </c>
      <c r="Q442" s="69" t="s">
        <v>229</v>
      </c>
      <c r="R442" s="69" t="s">
        <v>229</v>
      </c>
      <c r="S442" s="69" t="s">
        <v>229</v>
      </c>
      <c r="T442" s="70" t="s">
        <v>229</v>
      </c>
      <c r="U442" s="71" t="s">
        <v>229</v>
      </c>
      <c r="V442" s="72" t="s">
        <v>229</v>
      </c>
      <c r="W442" s="73" t="s">
        <v>229</v>
      </c>
      <c r="X442" s="72" t="s">
        <v>229</v>
      </c>
      <c r="Y442" s="70" t="s">
        <v>229</v>
      </c>
      <c r="Z442" s="73" t="s">
        <v>229</v>
      </c>
    </row>
    <row r="443" ht="15.75" customHeight="1">
      <c r="A443" s="87"/>
      <c r="B443" s="88"/>
      <c r="C443" s="88"/>
      <c r="D443" s="87"/>
      <c r="E443" s="87"/>
      <c r="F443" s="87"/>
      <c r="G443" s="85"/>
      <c r="H443" s="85"/>
      <c r="I443" s="86"/>
      <c r="J443" s="86"/>
      <c r="K443" s="83"/>
      <c r="L443" s="87"/>
      <c r="M443" s="79"/>
      <c r="N443" s="69" t="s">
        <v>229</v>
      </c>
      <c r="O443" s="69" t="s">
        <v>229</v>
      </c>
      <c r="P443" s="69" t="s">
        <v>229</v>
      </c>
      <c r="Q443" s="69" t="s">
        <v>229</v>
      </c>
      <c r="R443" s="69" t="s">
        <v>229</v>
      </c>
      <c r="S443" s="69" t="s">
        <v>229</v>
      </c>
      <c r="T443" s="70" t="s">
        <v>229</v>
      </c>
      <c r="U443" s="71" t="s">
        <v>229</v>
      </c>
      <c r="V443" s="72" t="s">
        <v>229</v>
      </c>
      <c r="W443" s="73" t="s">
        <v>229</v>
      </c>
      <c r="X443" s="72" t="s">
        <v>229</v>
      </c>
      <c r="Y443" s="70" t="s">
        <v>229</v>
      </c>
      <c r="Z443" s="73" t="s">
        <v>229</v>
      </c>
    </row>
    <row r="444" ht="15.75" customHeight="1">
      <c r="A444" s="87"/>
      <c r="B444" s="88"/>
      <c r="C444" s="88"/>
      <c r="D444" s="87"/>
      <c r="E444" s="87"/>
      <c r="F444" s="87"/>
      <c r="G444" s="85"/>
      <c r="H444" s="85"/>
      <c r="I444" s="86"/>
      <c r="J444" s="86"/>
      <c r="K444" s="83"/>
      <c r="L444" s="87"/>
      <c r="M444" s="79"/>
      <c r="N444" s="69" t="s">
        <v>229</v>
      </c>
      <c r="O444" s="69" t="s">
        <v>229</v>
      </c>
      <c r="P444" s="69" t="s">
        <v>229</v>
      </c>
      <c r="Q444" s="69" t="s">
        <v>229</v>
      </c>
      <c r="R444" s="69" t="s">
        <v>229</v>
      </c>
      <c r="S444" s="69" t="s">
        <v>229</v>
      </c>
      <c r="T444" s="70" t="s">
        <v>229</v>
      </c>
      <c r="U444" s="71" t="s">
        <v>229</v>
      </c>
      <c r="V444" s="72" t="s">
        <v>229</v>
      </c>
      <c r="W444" s="73" t="s">
        <v>229</v>
      </c>
      <c r="X444" s="72" t="s">
        <v>229</v>
      </c>
      <c r="Y444" s="70" t="s">
        <v>229</v>
      </c>
      <c r="Z444" s="73" t="s">
        <v>229</v>
      </c>
    </row>
    <row r="445" ht="15.75" customHeight="1">
      <c r="A445" s="87"/>
      <c r="B445" s="88"/>
      <c r="C445" s="88"/>
      <c r="D445" s="87"/>
      <c r="E445" s="87"/>
      <c r="F445" s="87"/>
      <c r="G445" s="85"/>
      <c r="H445" s="85"/>
      <c r="I445" s="86"/>
      <c r="J445" s="86"/>
      <c r="K445" s="83"/>
      <c r="L445" s="87"/>
      <c r="M445" s="79"/>
      <c r="N445" s="69" t="s">
        <v>229</v>
      </c>
      <c r="O445" s="69" t="s">
        <v>229</v>
      </c>
      <c r="P445" s="69" t="s">
        <v>229</v>
      </c>
      <c r="Q445" s="69" t="s">
        <v>229</v>
      </c>
      <c r="R445" s="69" t="s">
        <v>229</v>
      </c>
      <c r="S445" s="69" t="s">
        <v>229</v>
      </c>
      <c r="T445" s="70" t="s">
        <v>229</v>
      </c>
      <c r="U445" s="71" t="s">
        <v>229</v>
      </c>
      <c r="V445" s="72" t="s">
        <v>229</v>
      </c>
      <c r="W445" s="73" t="s">
        <v>229</v>
      </c>
      <c r="X445" s="72" t="s">
        <v>229</v>
      </c>
      <c r="Y445" s="70" t="s">
        <v>229</v>
      </c>
      <c r="Z445" s="73" t="s">
        <v>229</v>
      </c>
    </row>
    <row r="446" ht="15.75" customHeight="1">
      <c r="A446" s="87"/>
      <c r="B446" s="88"/>
      <c r="C446" s="88"/>
      <c r="D446" s="87"/>
      <c r="E446" s="87"/>
      <c r="F446" s="87"/>
      <c r="G446" s="85"/>
      <c r="H446" s="85"/>
      <c r="I446" s="86"/>
      <c r="J446" s="86"/>
      <c r="K446" s="83"/>
      <c r="L446" s="87"/>
      <c r="M446" s="79"/>
      <c r="N446" s="69" t="s">
        <v>229</v>
      </c>
      <c r="O446" s="69" t="s">
        <v>229</v>
      </c>
      <c r="P446" s="69" t="s">
        <v>229</v>
      </c>
      <c r="Q446" s="69" t="s">
        <v>229</v>
      </c>
      <c r="R446" s="69" t="s">
        <v>229</v>
      </c>
      <c r="S446" s="69" t="s">
        <v>229</v>
      </c>
      <c r="T446" s="70" t="s">
        <v>229</v>
      </c>
      <c r="U446" s="71" t="s">
        <v>229</v>
      </c>
      <c r="V446" s="72" t="s">
        <v>229</v>
      </c>
      <c r="W446" s="73" t="s">
        <v>229</v>
      </c>
      <c r="X446" s="72" t="s">
        <v>229</v>
      </c>
      <c r="Y446" s="70" t="s">
        <v>229</v>
      </c>
      <c r="Z446" s="73" t="s">
        <v>229</v>
      </c>
    </row>
    <row r="447" ht="15.75" customHeight="1">
      <c r="A447" s="87"/>
      <c r="B447" s="88"/>
      <c r="C447" s="88"/>
      <c r="D447" s="87"/>
      <c r="E447" s="87"/>
      <c r="F447" s="87"/>
      <c r="G447" s="85"/>
      <c r="H447" s="85"/>
      <c r="I447" s="86"/>
      <c r="J447" s="86"/>
      <c r="K447" s="83"/>
      <c r="L447" s="87"/>
      <c r="M447" s="79"/>
      <c r="N447" s="69" t="s">
        <v>229</v>
      </c>
      <c r="O447" s="69" t="s">
        <v>229</v>
      </c>
      <c r="P447" s="69" t="s">
        <v>229</v>
      </c>
      <c r="Q447" s="69" t="s">
        <v>229</v>
      </c>
      <c r="R447" s="69" t="s">
        <v>229</v>
      </c>
      <c r="S447" s="69" t="s">
        <v>229</v>
      </c>
      <c r="T447" s="70" t="s">
        <v>229</v>
      </c>
      <c r="U447" s="71" t="s">
        <v>229</v>
      </c>
      <c r="V447" s="72" t="s">
        <v>229</v>
      </c>
      <c r="W447" s="73" t="s">
        <v>229</v>
      </c>
      <c r="X447" s="72" t="s">
        <v>229</v>
      </c>
      <c r="Y447" s="70" t="s">
        <v>229</v>
      </c>
      <c r="Z447" s="73" t="s">
        <v>229</v>
      </c>
    </row>
    <row r="448" ht="15.75" customHeight="1">
      <c r="A448" s="87"/>
      <c r="B448" s="88"/>
      <c r="C448" s="88"/>
      <c r="D448" s="87"/>
      <c r="E448" s="87"/>
      <c r="F448" s="87"/>
      <c r="G448" s="85"/>
      <c r="H448" s="85"/>
      <c r="I448" s="86"/>
      <c r="J448" s="86"/>
      <c r="K448" s="83"/>
      <c r="L448" s="87"/>
      <c r="M448" s="79"/>
      <c r="N448" s="69" t="s">
        <v>229</v>
      </c>
      <c r="O448" s="69" t="s">
        <v>229</v>
      </c>
      <c r="P448" s="69" t="s">
        <v>229</v>
      </c>
      <c r="Q448" s="69" t="s">
        <v>229</v>
      </c>
      <c r="R448" s="69" t="s">
        <v>229</v>
      </c>
      <c r="S448" s="69" t="s">
        <v>229</v>
      </c>
      <c r="T448" s="70" t="s">
        <v>229</v>
      </c>
      <c r="U448" s="71" t="s">
        <v>229</v>
      </c>
      <c r="V448" s="72" t="s">
        <v>229</v>
      </c>
      <c r="W448" s="73" t="s">
        <v>229</v>
      </c>
      <c r="X448" s="72" t="s">
        <v>229</v>
      </c>
      <c r="Y448" s="70" t="s">
        <v>229</v>
      </c>
      <c r="Z448" s="73" t="s">
        <v>229</v>
      </c>
    </row>
    <row r="449" ht="15.75" customHeight="1">
      <c r="A449" s="87"/>
      <c r="B449" s="88"/>
      <c r="C449" s="88"/>
      <c r="D449" s="87"/>
      <c r="E449" s="87"/>
      <c r="F449" s="87"/>
      <c r="G449" s="85"/>
      <c r="H449" s="85"/>
      <c r="I449" s="86"/>
      <c r="J449" s="86"/>
      <c r="K449" s="83"/>
      <c r="L449" s="87"/>
      <c r="M449" s="79"/>
      <c r="N449" s="69" t="s">
        <v>229</v>
      </c>
      <c r="O449" s="69" t="s">
        <v>229</v>
      </c>
      <c r="P449" s="69" t="s">
        <v>229</v>
      </c>
      <c r="Q449" s="69" t="s">
        <v>229</v>
      </c>
      <c r="R449" s="69" t="s">
        <v>229</v>
      </c>
      <c r="S449" s="69" t="s">
        <v>229</v>
      </c>
      <c r="T449" s="70" t="s">
        <v>229</v>
      </c>
      <c r="U449" s="71" t="s">
        <v>229</v>
      </c>
      <c r="V449" s="72" t="s">
        <v>229</v>
      </c>
      <c r="W449" s="73" t="s">
        <v>229</v>
      </c>
      <c r="X449" s="72" t="s">
        <v>229</v>
      </c>
      <c r="Y449" s="70" t="s">
        <v>229</v>
      </c>
      <c r="Z449" s="73" t="s">
        <v>229</v>
      </c>
    </row>
    <row r="450" ht="15.75" customHeight="1">
      <c r="A450" s="87"/>
      <c r="B450" s="88"/>
      <c r="C450" s="88"/>
      <c r="D450" s="87"/>
      <c r="E450" s="87"/>
      <c r="F450" s="87"/>
      <c r="G450" s="85"/>
      <c r="H450" s="85"/>
      <c r="I450" s="86"/>
      <c r="J450" s="86"/>
      <c r="K450" s="83"/>
      <c r="L450" s="87"/>
      <c r="M450" s="79"/>
      <c r="N450" s="69" t="s">
        <v>229</v>
      </c>
      <c r="O450" s="69" t="s">
        <v>229</v>
      </c>
      <c r="P450" s="69" t="s">
        <v>229</v>
      </c>
      <c r="Q450" s="69" t="s">
        <v>229</v>
      </c>
      <c r="R450" s="69" t="s">
        <v>229</v>
      </c>
      <c r="S450" s="69" t="s">
        <v>229</v>
      </c>
      <c r="T450" s="70" t="s">
        <v>229</v>
      </c>
      <c r="U450" s="71" t="s">
        <v>229</v>
      </c>
      <c r="V450" s="72" t="s">
        <v>229</v>
      </c>
      <c r="W450" s="73" t="s">
        <v>229</v>
      </c>
      <c r="X450" s="72" t="s">
        <v>229</v>
      </c>
      <c r="Y450" s="70" t="s">
        <v>229</v>
      </c>
      <c r="Z450" s="73" t="s">
        <v>229</v>
      </c>
    </row>
    <row r="451" ht="15.75" customHeight="1">
      <c r="A451" s="87"/>
      <c r="B451" s="88"/>
      <c r="C451" s="88"/>
      <c r="D451" s="87"/>
      <c r="E451" s="87"/>
      <c r="F451" s="87"/>
      <c r="G451" s="85"/>
      <c r="H451" s="85"/>
      <c r="I451" s="86"/>
      <c r="J451" s="86"/>
      <c r="K451" s="83"/>
      <c r="L451" s="87"/>
      <c r="M451" s="79"/>
      <c r="N451" s="69" t="s">
        <v>229</v>
      </c>
      <c r="O451" s="69" t="s">
        <v>229</v>
      </c>
      <c r="P451" s="69" t="s">
        <v>229</v>
      </c>
      <c r="Q451" s="69" t="s">
        <v>229</v>
      </c>
      <c r="R451" s="69" t="s">
        <v>229</v>
      </c>
      <c r="S451" s="69" t="s">
        <v>229</v>
      </c>
      <c r="T451" s="70" t="s">
        <v>229</v>
      </c>
      <c r="U451" s="71" t="s">
        <v>229</v>
      </c>
      <c r="V451" s="72" t="s">
        <v>229</v>
      </c>
      <c r="W451" s="73" t="s">
        <v>229</v>
      </c>
      <c r="X451" s="72" t="s">
        <v>229</v>
      </c>
      <c r="Y451" s="70" t="s">
        <v>229</v>
      </c>
      <c r="Z451" s="73" t="s">
        <v>229</v>
      </c>
    </row>
    <row r="452" ht="15.75" customHeight="1">
      <c r="A452" s="87"/>
      <c r="B452" s="88"/>
      <c r="C452" s="88"/>
      <c r="D452" s="87"/>
      <c r="E452" s="87"/>
      <c r="F452" s="87"/>
      <c r="G452" s="85"/>
      <c r="H452" s="85"/>
      <c r="I452" s="86"/>
      <c r="J452" s="86"/>
      <c r="K452" s="83"/>
      <c r="L452" s="87"/>
      <c r="M452" s="79"/>
      <c r="N452" s="69" t="s">
        <v>229</v>
      </c>
      <c r="O452" s="69" t="s">
        <v>229</v>
      </c>
      <c r="P452" s="69" t="s">
        <v>229</v>
      </c>
      <c r="Q452" s="69" t="s">
        <v>229</v>
      </c>
      <c r="R452" s="69" t="s">
        <v>229</v>
      </c>
      <c r="S452" s="69" t="s">
        <v>229</v>
      </c>
      <c r="T452" s="70" t="s">
        <v>229</v>
      </c>
      <c r="U452" s="71" t="s">
        <v>229</v>
      </c>
      <c r="V452" s="72" t="s">
        <v>229</v>
      </c>
      <c r="W452" s="73" t="s">
        <v>229</v>
      </c>
      <c r="X452" s="72" t="s">
        <v>229</v>
      </c>
      <c r="Y452" s="70" t="s">
        <v>229</v>
      </c>
      <c r="Z452" s="73" t="s">
        <v>229</v>
      </c>
    </row>
    <row r="453" ht="15.75" customHeight="1">
      <c r="A453" s="87"/>
      <c r="B453" s="88"/>
      <c r="C453" s="88"/>
      <c r="D453" s="87"/>
      <c r="E453" s="87"/>
      <c r="F453" s="87"/>
      <c r="G453" s="85"/>
      <c r="H453" s="85"/>
      <c r="I453" s="86"/>
      <c r="J453" s="86"/>
      <c r="K453" s="83"/>
      <c r="L453" s="87"/>
      <c r="M453" s="79"/>
      <c r="N453" s="69" t="s">
        <v>229</v>
      </c>
      <c r="O453" s="69" t="s">
        <v>229</v>
      </c>
      <c r="P453" s="69" t="s">
        <v>229</v>
      </c>
      <c r="Q453" s="69" t="s">
        <v>229</v>
      </c>
      <c r="R453" s="69" t="s">
        <v>229</v>
      </c>
      <c r="S453" s="69" t="s">
        <v>229</v>
      </c>
      <c r="T453" s="70" t="s">
        <v>229</v>
      </c>
      <c r="U453" s="71" t="s">
        <v>229</v>
      </c>
      <c r="V453" s="72" t="s">
        <v>229</v>
      </c>
      <c r="W453" s="73" t="s">
        <v>229</v>
      </c>
      <c r="X453" s="72" t="s">
        <v>229</v>
      </c>
      <c r="Y453" s="70" t="s">
        <v>229</v>
      </c>
      <c r="Z453" s="73" t="s">
        <v>229</v>
      </c>
    </row>
    <row r="454" ht="15.75" customHeight="1">
      <c r="A454" s="87"/>
      <c r="B454" s="88"/>
      <c r="C454" s="88"/>
      <c r="D454" s="87"/>
      <c r="E454" s="87"/>
      <c r="F454" s="87"/>
      <c r="G454" s="85"/>
      <c r="H454" s="85"/>
      <c r="I454" s="86"/>
      <c r="J454" s="86"/>
      <c r="K454" s="83"/>
      <c r="L454" s="87"/>
      <c r="M454" s="79"/>
      <c r="N454" s="69" t="s">
        <v>229</v>
      </c>
      <c r="O454" s="69" t="s">
        <v>229</v>
      </c>
      <c r="P454" s="69" t="s">
        <v>229</v>
      </c>
      <c r="Q454" s="69" t="s">
        <v>229</v>
      </c>
      <c r="R454" s="69" t="s">
        <v>229</v>
      </c>
      <c r="S454" s="69" t="s">
        <v>229</v>
      </c>
      <c r="T454" s="70" t="s">
        <v>229</v>
      </c>
      <c r="U454" s="71" t="s">
        <v>229</v>
      </c>
      <c r="V454" s="72" t="s">
        <v>229</v>
      </c>
      <c r="W454" s="73" t="s">
        <v>229</v>
      </c>
      <c r="X454" s="72" t="s">
        <v>229</v>
      </c>
      <c r="Y454" s="70" t="s">
        <v>229</v>
      </c>
      <c r="Z454" s="73" t="s">
        <v>229</v>
      </c>
    </row>
    <row r="455" ht="15.75" customHeight="1">
      <c r="A455" s="87"/>
      <c r="B455" s="88"/>
      <c r="C455" s="88"/>
      <c r="D455" s="87"/>
      <c r="E455" s="87"/>
      <c r="F455" s="87"/>
      <c r="G455" s="85"/>
      <c r="H455" s="85"/>
      <c r="I455" s="86"/>
      <c r="J455" s="86"/>
      <c r="K455" s="83"/>
      <c r="L455" s="87"/>
      <c r="M455" s="79"/>
      <c r="N455" s="69" t="s">
        <v>229</v>
      </c>
      <c r="O455" s="69" t="s">
        <v>229</v>
      </c>
      <c r="P455" s="69" t="s">
        <v>229</v>
      </c>
      <c r="Q455" s="69" t="s">
        <v>229</v>
      </c>
      <c r="R455" s="69" t="s">
        <v>229</v>
      </c>
      <c r="S455" s="69" t="s">
        <v>229</v>
      </c>
      <c r="T455" s="70" t="s">
        <v>229</v>
      </c>
      <c r="U455" s="71" t="s">
        <v>229</v>
      </c>
      <c r="V455" s="72" t="s">
        <v>229</v>
      </c>
      <c r="W455" s="73" t="s">
        <v>229</v>
      </c>
      <c r="X455" s="72" t="s">
        <v>229</v>
      </c>
      <c r="Y455" s="70" t="s">
        <v>229</v>
      </c>
      <c r="Z455" s="73" t="s">
        <v>229</v>
      </c>
    </row>
    <row r="456" ht="15.75" customHeight="1">
      <c r="A456" s="87"/>
      <c r="B456" s="88"/>
      <c r="C456" s="88"/>
      <c r="D456" s="87"/>
      <c r="E456" s="87"/>
      <c r="F456" s="87"/>
      <c r="G456" s="85"/>
      <c r="H456" s="85"/>
      <c r="I456" s="86"/>
      <c r="J456" s="86"/>
      <c r="K456" s="83"/>
      <c r="L456" s="87"/>
      <c r="M456" s="79"/>
      <c r="N456" s="69" t="s">
        <v>229</v>
      </c>
      <c r="O456" s="69" t="s">
        <v>229</v>
      </c>
      <c r="P456" s="69" t="s">
        <v>229</v>
      </c>
      <c r="Q456" s="69" t="s">
        <v>229</v>
      </c>
      <c r="R456" s="69" t="s">
        <v>229</v>
      </c>
      <c r="S456" s="69" t="s">
        <v>229</v>
      </c>
      <c r="T456" s="70" t="s">
        <v>229</v>
      </c>
      <c r="U456" s="71" t="s">
        <v>229</v>
      </c>
      <c r="V456" s="72" t="s">
        <v>229</v>
      </c>
      <c r="W456" s="73" t="s">
        <v>229</v>
      </c>
      <c r="X456" s="72" t="s">
        <v>229</v>
      </c>
      <c r="Y456" s="70" t="s">
        <v>229</v>
      </c>
      <c r="Z456" s="73" t="s">
        <v>229</v>
      </c>
    </row>
    <row r="457" ht="15.75" customHeight="1">
      <c r="A457" s="87"/>
      <c r="B457" s="88"/>
      <c r="C457" s="88"/>
      <c r="D457" s="87"/>
      <c r="E457" s="87"/>
      <c r="F457" s="87"/>
      <c r="G457" s="85"/>
      <c r="H457" s="85"/>
      <c r="I457" s="86"/>
      <c r="J457" s="86"/>
      <c r="K457" s="83"/>
      <c r="L457" s="87"/>
      <c r="M457" s="79"/>
      <c r="N457" s="69" t="s">
        <v>229</v>
      </c>
      <c r="O457" s="69" t="s">
        <v>229</v>
      </c>
      <c r="P457" s="69" t="s">
        <v>229</v>
      </c>
      <c r="Q457" s="69" t="s">
        <v>229</v>
      </c>
      <c r="R457" s="69" t="s">
        <v>229</v>
      </c>
      <c r="S457" s="69" t="s">
        <v>229</v>
      </c>
      <c r="T457" s="70" t="s">
        <v>229</v>
      </c>
      <c r="U457" s="71" t="s">
        <v>229</v>
      </c>
      <c r="V457" s="72" t="s">
        <v>229</v>
      </c>
      <c r="W457" s="73" t="s">
        <v>229</v>
      </c>
      <c r="X457" s="72" t="s">
        <v>229</v>
      </c>
      <c r="Y457" s="70" t="s">
        <v>229</v>
      </c>
      <c r="Z457" s="73" t="s">
        <v>229</v>
      </c>
    </row>
    <row r="458" ht="15.75" customHeight="1">
      <c r="A458" s="87"/>
      <c r="B458" s="88"/>
      <c r="C458" s="88"/>
      <c r="D458" s="87"/>
      <c r="E458" s="87"/>
      <c r="F458" s="87"/>
      <c r="G458" s="85"/>
      <c r="H458" s="85"/>
      <c r="I458" s="86"/>
      <c r="J458" s="86"/>
      <c r="K458" s="83"/>
      <c r="L458" s="87"/>
      <c r="M458" s="79"/>
      <c r="N458" s="69" t="s">
        <v>229</v>
      </c>
      <c r="O458" s="69" t="s">
        <v>229</v>
      </c>
      <c r="P458" s="69" t="s">
        <v>229</v>
      </c>
      <c r="Q458" s="69" t="s">
        <v>229</v>
      </c>
      <c r="R458" s="69" t="s">
        <v>229</v>
      </c>
      <c r="S458" s="69" t="s">
        <v>229</v>
      </c>
      <c r="T458" s="70" t="s">
        <v>229</v>
      </c>
      <c r="U458" s="71" t="s">
        <v>229</v>
      </c>
      <c r="V458" s="72" t="s">
        <v>229</v>
      </c>
      <c r="W458" s="73" t="s">
        <v>229</v>
      </c>
      <c r="X458" s="72" t="s">
        <v>229</v>
      </c>
      <c r="Y458" s="70" t="s">
        <v>229</v>
      </c>
      <c r="Z458" s="73" t="s">
        <v>229</v>
      </c>
    </row>
    <row r="459" ht="15.75" customHeight="1">
      <c r="A459" s="87"/>
      <c r="B459" s="88"/>
      <c r="C459" s="88"/>
      <c r="D459" s="87"/>
      <c r="E459" s="87"/>
      <c r="F459" s="87"/>
      <c r="G459" s="85"/>
      <c r="H459" s="85"/>
      <c r="I459" s="86"/>
      <c r="J459" s="86"/>
      <c r="K459" s="83"/>
      <c r="L459" s="87"/>
      <c r="M459" s="79"/>
      <c r="N459" s="69" t="s">
        <v>229</v>
      </c>
      <c r="O459" s="69" t="s">
        <v>229</v>
      </c>
      <c r="P459" s="69" t="s">
        <v>229</v>
      </c>
      <c r="Q459" s="69" t="s">
        <v>229</v>
      </c>
      <c r="R459" s="69" t="s">
        <v>229</v>
      </c>
      <c r="S459" s="69" t="s">
        <v>229</v>
      </c>
      <c r="T459" s="70" t="s">
        <v>229</v>
      </c>
      <c r="U459" s="71" t="s">
        <v>229</v>
      </c>
      <c r="V459" s="72" t="s">
        <v>229</v>
      </c>
      <c r="W459" s="73" t="s">
        <v>229</v>
      </c>
      <c r="X459" s="72" t="s">
        <v>229</v>
      </c>
      <c r="Y459" s="70" t="s">
        <v>229</v>
      </c>
      <c r="Z459" s="73" t="s">
        <v>229</v>
      </c>
    </row>
    <row r="460" ht="15.75" customHeight="1">
      <c r="A460" s="87"/>
      <c r="B460" s="88"/>
      <c r="C460" s="88"/>
      <c r="D460" s="87"/>
      <c r="E460" s="87"/>
      <c r="F460" s="87"/>
      <c r="G460" s="85"/>
      <c r="H460" s="85"/>
      <c r="I460" s="86"/>
      <c r="J460" s="86"/>
      <c r="K460" s="83"/>
      <c r="L460" s="87"/>
      <c r="M460" s="79"/>
      <c r="N460" s="69" t="s">
        <v>229</v>
      </c>
      <c r="O460" s="69" t="s">
        <v>229</v>
      </c>
      <c r="P460" s="69" t="s">
        <v>229</v>
      </c>
      <c r="Q460" s="69" t="s">
        <v>229</v>
      </c>
      <c r="R460" s="69" t="s">
        <v>229</v>
      </c>
      <c r="S460" s="69" t="s">
        <v>229</v>
      </c>
      <c r="T460" s="70" t="s">
        <v>229</v>
      </c>
      <c r="U460" s="71" t="s">
        <v>229</v>
      </c>
      <c r="V460" s="72" t="s">
        <v>229</v>
      </c>
      <c r="W460" s="73" t="s">
        <v>229</v>
      </c>
      <c r="X460" s="72" t="s">
        <v>229</v>
      </c>
      <c r="Y460" s="70" t="s">
        <v>229</v>
      </c>
      <c r="Z460" s="73" t="s">
        <v>229</v>
      </c>
    </row>
    <row r="461" ht="15.75" customHeight="1">
      <c r="A461" s="87"/>
      <c r="B461" s="88"/>
      <c r="C461" s="88"/>
      <c r="D461" s="87"/>
      <c r="E461" s="87"/>
      <c r="F461" s="87"/>
      <c r="G461" s="85"/>
      <c r="H461" s="85"/>
      <c r="I461" s="86"/>
      <c r="J461" s="86"/>
      <c r="K461" s="83"/>
      <c r="L461" s="87"/>
      <c r="M461" s="79"/>
      <c r="N461" s="69" t="s">
        <v>229</v>
      </c>
      <c r="O461" s="69" t="s">
        <v>229</v>
      </c>
      <c r="P461" s="69" t="s">
        <v>229</v>
      </c>
      <c r="Q461" s="69" t="s">
        <v>229</v>
      </c>
      <c r="R461" s="69" t="s">
        <v>229</v>
      </c>
      <c r="S461" s="69" t="s">
        <v>229</v>
      </c>
      <c r="T461" s="70" t="s">
        <v>229</v>
      </c>
      <c r="U461" s="71" t="s">
        <v>229</v>
      </c>
      <c r="V461" s="72" t="s">
        <v>229</v>
      </c>
      <c r="W461" s="73" t="s">
        <v>229</v>
      </c>
      <c r="X461" s="72" t="s">
        <v>229</v>
      </c>
      <c r="Y461" s="70" t="s">
        <v>229</v>
      </c>
      <c r="Z461" s="73" t="s">
        <v>229</v>
      </c>
    </row>
    <row r="462" ht="15.75" customHeight="1">
      <c r="A462" s="87"/>
      <c r="B462" s="88"/>
      <c r="C462" s="88"/>
      <c r="D462" s="87"/>
      <c r="E462" s="87"/>
      <c r="F462" s="87"/>
      <c r="G462" s="85"/>
      <c r="H462" s="85"/>
      <c r="I462" s="86"/>
      <c r="J462" s="86"/>
      <c r="K462" s="83"/>
      <c r="L462" s="87"/>
      <c r="M462" s="79"/>
      <c r="N462" s="69" t="s">
        <v>229</v>
      </c>
      <c r="O462" s="69" t="s">
        <v>229</v>
      </c>
      <c r="P462" s="69" t="s">
        <v>229</v>
      </c>
      <c r="Q462" s="69" t="s">
        <v>229</v>
      </c>
      <c r="R462" s="69" t="s">
        <v>229</v>
      </c>
      <c r="S462" s="69" t="s">
        <v>229</v>
      </c>
      <c r="T462" s="70" t="s">
        <v>229</v>
      </c>
      <c r="U462" s="71" t="s">
        <v>229</v>
      </c>
      <c r="V462" s="72" t="s">
        <v>229</v>
      </c>
      <c r="W462" s="73" t="s">
        <v>229</v>
      </c>
      <c r="X462" s="72" t="s">
        <v>229</v>
      </c>
      <c r="Y462" s="70" t="s">
        <v>229</v>
      </c>
      <c r="Z462" s="73" t="s">
        <v>229</v>
      </c>
    </row>
    <row r="463" ht="15.75" customHeight="1">
      <c r="A463" s="87"/>
      <c r="B463" s="88"/>
      <c r="C463" s="88"/>
      <c r="D463" s="87"/>
      <c r="E463" s="87"/>
      <c r="F463" s="87"/>
      <c r="G463" s="85"/>
      <c r="H463" s="85"/>
      <c r="I463" s="86"/>
      <c r="J463" s="86"/>
      <c r="K463" s="83"/>
      <c r="L463" s="87"/>
      <c r="M463" s="79"/>
      <c r="N463" s="69" t="s">
        <v>229</v>
      </c>
      <c r="O463" s="69" t="s">
        <v>229</v>
      </c>
      <c r="P463" s="69" t="s">
        <v>229</v>
      </c>
      <c r="Q463" s="69" t="s">
        <v>229</v>
      </c>
      <c r="R463" s="69" t="s">
        <v>229</v>
      </c>
      <c r="S463" s="69" t="s">
        <v>229</v>
      </c>
      <c r="T463" s="70" t="s">
        <v>229</v>
      </c>
      <c r="U463" s="71" t="s">
        <v>229</v>
      </c>
      <c r="V463" s="72" t="s">
        <v>229</v>
      </c>
      <c r="W463" s="73" t="s">
        <v>229</v>
      </c>
      <c r="X463" s="72" t="s">
        <v>229</v>
      </c>
      <c r="Y463" s="70" t="s">
        <v>229</v>
      </c>
      <c r="Z463" s="73" t="s">
        <v>229</v>
      </c>
    </row>
    <row r="464" ht="15.75" customHeight="1">
      <c r="A464" s="87"/>
      <c r="B464" s="88"/>
      <c r="C464" s="88"/>
      <c r="D464" s="87"/>
      <c r="E464" s="87"/>
      <c r="F464" s="87"/>
      <c r="G464" s="85"/>
      <c r="H464" s="85"/>
      <c r="I464" s="86"/>
      <c r="J464" s="86"/>
      <c r="K464" s="83"/>
      <c r="L464" s="87"/>
      <c r="M464" s="79"/>
      <c r="N464" s="69" t="s">
        <v>229</v>
      </c>
      <c r="O464" s="69" t="s">
        <v>229</v>
      </c>
      <c r="P464" s="69" t="s">
        <v>229</v>
      </c>
      <c r="Q464" s="69" t="s">
        <v>229</v>
      </c>
      <c r="R464" s="69" t="s">
        <v>229</v>
      </c>
      <c r="S464" s="69" t="s">
        <v>229</v>
      </c>
      <c r="T464" s="70" t="s">
        <v>229</v>
      </c>
      <c r="U464" s="71" t="s">
        <v>229</v>
      </c>
      <c r="V464" s="72" t="s">
        <v>229</v>
      </c>
      <c r="W464" s="73" t="s">
        <v>229</v>
      </c>
      <c r="X464" s="72" t="s">
        <v>229</v>
      </c>
      <c r="Y464" s="70" t="s">
        <v>229</v>
      </c>
      <c r="Z464" s="73" t="s">
        <v>229</v>
      </c>
    </row>
    <row r="465" ht="15.75" customHeight="1">
      <c r="A465" s="87"/>
      <c r="B465" s="88"/>
      <c r="C465" s="88"/>
      <c r="D465" s="87"/>
      <c r="E465" s="87"/>
      <c r="F465" s="87"/>
      <c r="G465" s="85"/>
      <c r="H465" s="85"/>
      <c r="I465" s="86"/>
      <c r="J465" s="86"/>
      <c r="K465" s="83"/>
      <c r="L465" s="87"/>
      <c r="M465" s="79"/>
      <c r="N465" s="69" t="s">
        <v>229</v>
      </c>
      <c r="O465" s="69" t="s">
        <v>229</v>
      </c>
      <c r="P465" s="69" t="s">
        <v>229</v>
      </c>
      <c r="Q465" s="69" t="s">
        <v>229</v>
      </c>
      <c r="R465" s="69" t="s">
        <v>229</v>
      </c>
      <c r="S465" s="69" t="s">
        <v>229</v>
      </c>
      <c r="T465" s="70" t="s">
        <v>229</v>
      </c>
      <c r="U465" s="71" t="s">
        <v>229</v>
      </c>
      <c r="V465" s="72" t="s">
        <v>229</v>
      </c>
      <c r="W465" s="73" t="s">
        <v>229</v>
      </c>
      <c r="X465" s="72" t="s">
        <v>229</v>
      </c>
      <c r="Y465" s="70" t="s">
        <v>229</v>
      </c>
      <c r="Z465" s="73" t="s">
        <v>229</v>
      </c>
    </row>
    <row r="466" ht="15.75" customHeight="1">
      <c r="A466" s="87"/>
      <c r="B466" s="88"/>
      <c r="C466" s="88"/>
      <c r="D466" s="87"/>
      <c r="E466" s="87"/>
      <c r="F466" s="87"/>
      <c r="G466" s="85"/>
      <c r="H466" s="85"/>
      <c r="I466" s="86"/>
      <c r="J466" s="86"/>
      <c r="K466" s="83"/>
      <c r="L466" s="87"/>
      <c r="M466" s="79"/>
      <c r="N466" s="69" t="s">
        <v>229</v>
      </c>
      <c r="O466" s="69" t="s">
        <v>229</v>
      </c>
      <c r="P466" s="69" t="s">
        <v>229</v>
      </c>
      <c r="Q466" s="69" t="s">
        <v>229</v>
      </c>
      <c r="R466" s="69" t="s">
        <v>229</v>
      </c>
      <c r="S466" s="69" t="s">
        <v>229</v>
      </c>
      <c r="T466" s="70" t="s">
        <v>229</v>
      </c>
      <c r="U466" s="71" t="s">
        <v>229</v>
      </c>
      <c r="V466" s="72" t="s">
        <v>229</v>
      </c>
      <c r="W466" s="73" t="s">
        <v>229</v>
      </c>
      <c r="X466" s="72" t="s">
        <v>229</v>
      </c>
      <c r="Y466" s="70" t="s">
        <v>229</v>
      </c>
      <c r="Z466" s="73" t="s">
        <v>229</v>
      </c>
    </row>
    <row r="467" ht="15.75" customHeight="1">
      <c r="A467" s="87"/>
      <c r="B467" s="88"/>
      <c r="C467" s="88"/>
      <c r="D467" s="87"/>
      <c r="E467" s="87"/>
      <c r="F467" s="87"/>
      <c r="G467" s="85"/>
      <c r="H467" s="85"/>
      <c r="I467" s="86"/>
      <c r="J467" s="86"/>
      <c r="K467" s="83"/>
      <c r="L467" s="87"/>
      <c r="M467" s="79"/>
      <c r="N467" s="69" t="s">
        <v>229</v>
      </c>
      <c r="O467" s="69" t="s">
        <v>229</v>
      </c>
      <c r="P467" s="69" t="s">
        <v>229</v>
      </c>
      <c r="Q467" s="69" t="s">
        <v>229</v>
      </c>
      <c r="R467" s="69" t="s">
        <v>229</v>
      </c>
      <c r="S467" s="69" t="s">
        <v>229</v>
      </c>
      <c r="T467" s="70" t="s">
        <v>229</v>
      </c>
      <c r="U467" s="71" t="s">
        <v>229</v>
      </c>
      <c r="V467" s="72" t="s">
        <v>229</v>
      </c>
      <c r="W467" s="73" t="s">
        <v>229</v>
      </c>
      <c r="X467" s="72" t="s">
        <v>229</v>
      </c>
      <c r="Y467" s="70" t="s">
        <v>229</v>
      </c>
      <c r="Z467" s="73" t="s">
        <v>229</v>
      </c>
    </row>
    <row r="468" ht="15.75" customHeight="1">
      <c r="A468" s="87"/>
      <c r="B468" s="88"/>
      <c r="C468" s="88"/>
      <c r="D468" s="87"/>
      <c r="E468" s="87"/>
      <c r="F468" s="87"/>
      <c r="G468" s="85"/>
      <c r="H468" s="85"/>
      <c r="I468" s="86"/>
      <c r="J468" s="86"/>
      <c r="K468" s="83"/>
      <c r="L468" s="87"/>
      <c r="M468" s="79"/>
      <c r="N468" s="69" t="s">
        <v>229</v>
      </c>
      <c r="O468" s="69" t="s">
        <v>229</v>
      </c>
      <c r="P468" s="69" t="s">
        <v>229</v>
      </c>
      <c r="Q468" s="69" t="s">
        <v>229</v>
      </c>
      <c r="R468" s="69" t="s">
        <v>229</v>
      </c>
      <c r="S468" s="69" t="s">
        <v>229</v>
      </c>
      <c r="T468" s="70" t="s">
        <v>229</v>
      </c>
      <c r="U468" s="71" t="s">
        <v>229</v>
      </c>
      <c r="V468" s="72" t="s">
        <v>229</v>
      </c>
      <c r="W468" s="73" t="s">
        <v>229</v>
      </c>
      <c r="X468" s="72" t="s">
        <v>229</v>
      </c>
      <c r="Y468" s="70" t="s">
        <v>229</v>
      </c>
      <c r="Z468" s="73" t="s">
        <v>229</v>
      </c>
    </row>
    <row r="469" ht="15.75" customHeight="1">
      <c r="A469" s="87"/>
      <c r="B469" s="88"/>
      <c r="C469" s="88"/>
      <c r="D469" s="87"/>
      <c r="E469" s="87"/>
      <c r="F469" s="87"/>
      <c r="G469" s="85"/>
      <c r="H469" s="85"/>
      <c r="I469" s="86"/>
      <c r="J469" s="86"/>
      <c r="K469" s="83"/>
      <c r="L469" s="87"/>
      <c r="M469" s="79"/>
      <c r="N469" s="69" t="s">
        <v>229</v>
      </c>
      <c r="O469" s="69" t="s">
        <v>229</v>
      </c>
      <c r="P469" s="69" t="s">
        <v>229</v>
      </c>
      <c r="Q469" s="69" t="s">
        <v>229</v>
      </c>
      <c r="R469" s="69" t="s">
        <v>229</v>
      </c>
      <c r="S469" s="69" t="s">
        <v>229</v>
      </c>
      <c r="T469" s="70" t="s">
        <v>229</v>
      </c>
      <c r="U469" s="71" t="s">
        <v>229</v>
      </c>
      <c r="V469" s="72" t="s">
        <v>229</v>
      </c>
      <c r="W469" s="73" t="s">
        <v>229</v>
      </c>
      <c r="X469" s="72" t="s">
        <v>229</v>
      </c>
      <c r="Y469" s="70" t="s">
        <v>229</v>
      </c>
      <c r="Z469" s="73" t="s">
        <v>229</v>
      </c>
    </row>
    <row r="470" ht="15.75" customHeight="1">
      <c r="A470" s="87"/>
      <c r="B470" s="88"/>
      <c r="C470" s="88"/>
      <c r="D470" s="87"/>
      <c r="E470" s="87"/>
      <c r="F470" s="87"/>
      <c r="G470" s="85"/>
      <c r="H470" s="85"/>
      <c r="I470" s="86"/>
      <c r="J470" s="86"/>
      <c r="K470" s="83"/>
      <c r="L470" s="87"/>
      <c r="M470" s="79"/>
      <c r="N470" s="69" t="s">
        <v>229</v>
      </c>
      <c r="O470" s="69" t="s">
        <v>229</v>
      </c>
      <c r="P470" s="69" t="s">
        <v>229</v>
      </c>
      <c r="Q470" s="69" t="s">
        <v>229</v>
      </c>
      <c r="R470" s="69" t="s">
        <v>229</v>
      </c>
      <c r="S470" s="69" t="s">
        <v>229</v>
      </c>
      <c r="T470" s="70" t="s">
        <v>229</v>
      </c>
      <c r="U470" s="71" t="s">
        <v>229</v>
      </c>
      <c r="V470" s="72" t="s">
        <v>229</v>
      </c>
      <c r="W470" s="73" t="s">
        <v>229</v>
      </c>
      <c r="X470" s="72" t="s">
        <v>229</v>
      </c>
      <c r="Y470" s="70" t="s">
        <v>229</v>
      </c>
      <c r="Z470" s="73" t="s">
        <v>229</v>
      </c>
    </row>
    <row r="471" ht="15.75" customHeight="1">
      <c r="A471" s="87"/>
      <c r="B471" s="88"/>
      <c r="C471" s="88"/>
      <c r="D471" s="87"/>
      <c r="E471" s="87"/>
      <c r="F471" s="87"/>
      <c r="G471" s="85"/>
      <c r="H471" s="85"/>
      <c r="I471" s="86"/>
      <c r="J471" s="86"/>
      <c r="K471" s="83"/>
      <c r="L471" s="87"/>
      <c r="M471" s="79"/>
      <c r="N471" s="69" t="s">
        <v>229</v>
      </c>
      <c r="O471" s="69" t="s">
        <v>229</v>
      </c>
      <c r="P471" s="69" t="s">
        <v>229</v>
      </c>
      <c r="Q471" s="69" t="s">
        <v>229</v>
      </c>
      <c r="R471" s="69" t="s">
        <v>229</v>
      </c>
      <c r="S471" s="69" t="s">
        <v>229</v>
      </c>
      <c r="T471" s="70" t="s">
        <v>229</v>
      </c>
      <c r="U471" s="71" t="s">
        <v>229</v>
      </c>
      <c r="V471" s="72" t="s">
        <v>229</v>
      </c>
      <c r="W471" s="73" t="s">
        <v>229</v>
      </c>
      <c r="X471" s="72" t="s">
        <v>229</v>
      </c>
      <c r="Y471" s="70" t="s">
        <v>229</v>
      </c>
      <c r="Z471" s="73" t="s">
        <v>229</v>
      </c>
    </row>
    <row r="472" ht="15.75" customHeight="1">
      <c r="A472" s="87"/>
      <c r="B472" s="88"/>
      <c r="C472" s="88"/>
      <c r="D472" s="87"/>
      <c r="E472" s="87"/>
      <c r="F472" s="87"/>
      <c r="G472" s="85"/>
      <c r="H472" s="85"/>
      <c r="I472" s="86"/>
      <c r="J472" s="86"/>
      <c r="K472" s="83"/>
      <c r="L472" s="87"/>
      <c r="M472" s="79"/>
      <c r="N472" s="69" t="s">
        <v>229</v>
      </c>
      <c r="O472" s="69" t="s">
        <v>229</v>
      </c>
      <c r="P472" s="69" t="s">
        <v>229</v>
      </c>
      <c r="Q472" s="69" t="s">
        <v>229</v>
      </c>
      <c r="R472" s="69" t="s">
        <v>229</v>
      </c>
      <c r="S472" s="69" t="s">
        <v>229</v>
      </c>
      <c r="T472" s="70" t="s">
        <v>229</v>
      </c>
      <c r="U472" s="71" t="s">
        <v>229</v>
      </c>
      <c r="V472" s="72" t="s">
        <v>229</v>
      </c>
      <c r="W472" s="73" t="s">
        <v>229</v>
      </c>
      <c r="X472" s="72" t="s">
        <v>229</v>
      </c>
      <c r="Y472" s="70" t="s">
        <v>229</v>
      </c>
      <c r="Z472" s="73" t="s">
        <v>229</v>
      </c>
    </row>
    <row r="473" ht="15.75" customHeight="1">
      <c r="A473" s="87"/>
      <c r="B473" s="88"/>
      <c r="C473" s="88"/>
      <c r="D473" s="87"/>
      <c r="E473" s="87"/>
      <c r="F473" s="87"/>
      <c r="G473" s="85"/>
      <c r="H473" s="85"/>
      <c r="I473" s="86"/>
      <c r="J473" s="86"/>
      <c r="K473" s="83"/>
      <c r="L473" s="87"/>
      <c r="M473" s="79"/>
      <c r="N473" s="69" t="s">
        <v>229</v>
      </c>
      <c r="O473" s="69" t="s">
        <v>229</v>
      </c>
      <c r="P473" s="69" t="s">
        <v>229</v>
      </c>
      <c r="Q473" s="69" t="s">
        <v>229</v>
      </c>
      <c r="R473" s="69" t="s">
        <v>229</v>
      </c>
      <c r="S473" s="69" t="s">
        <v>229</v>
      </c>
      <c r="T473" s="70" t="s">
        <v>229</v>
      </c>
      <c r="U473" s="71" t="s">
        <v>229</v>
      </c>
      <c r="V473" s="72" t="s">
        <v>229</v>
      </c>
      <c r="W473" s="73" t="s">
        <v>229</v>
      </c>
      <c r="X473" s="72" t="s">
        <v>229</v>
      </c>
      <c r="Y473" s="70" t="s">
        <v>229</v>
      </c>
      <c r="Z473" s="73" t="s">
        <v>229</v>
      </c>
    </row>
    <row r="474" ht="15.75" customHeight="1">
      <c r="A474" s="87"/>
      <c r="B474" s="88"/>
      <c r="C474" s="88"/>
      <c r="D474" s="87"/>
      <c r="E474" s="87"/>
      <c r="F474" s="87"/>
      <c r="G474" s="85"/>
      <c r="H474" s="85"/>
      <c r="I474" s="86"/>
      <c r="J474" s="86"/>
      <c r="K474" s="83"/>
      <c r="L474" s="87"/>
      <c r="M474" s="79"/>
      <c r="N474" s="69" t="s">
        <v>229</v>
      </c>
      <c r="O474" s="69" t="s">
        <v>229</v>
      </c>
      <c r="P474" s="69" t="s">
        <v>229</v>
      </c>
      <c r="Q474" s="69" t="s">
        <v>229</v>
      </c>
      <c r="R474" s="69" t="s">
        <v>229</v>
      </c>
      <c r="S474" s="69" t="s">
        <v>229</v>
      </c>
      <c r="T474" s="70" t="s">
        <v>229</v>
      </c>
      <c r="U474" s="71" t="s">
        <v>229</v>
      </c>
      <c r="V474" s="72" t="s">
        <v>229</v>
      </c>
      <c r="W474" s="73" t="s">
        <v>229</v>
      </c>
      <c r="X474" s="72" t="s">
        <v>229</v>
      </c>
      <c r="Y474" s="70" t="s">
        <v>229</v>
      </c>
      <c r="Z474" s="73" t="s">
        <v>229</v>
      </c>
    </row>
    <row r="475" ht="15.75" customHeight="1">
      <c r="A475" s="87"/>
      <c r="B475" s="88"/>
      <c r="C475" s="88"/>
      <c r="D475" s="87"/>
      <c r="E475" s="87"/>
      <c r="F475" s="87"/>
      <c r="G475" s="85"/>
      <c r="H475" s="85"/>
      <c r="I475" s="86"/>
      <c r="J475" s="86"/>
      <c r="K475" s="83"/>
      <c r="L475" s="87"/>
      <c r="M475" s="79"/>
      <c r="N475" s="69" t="s">
        <v>229</v>
      </c>
      <c r="O475" s="69" t="s">
        <v>229</v>
      </c>
      <c r="P475" s="69" t="s">
        <v>229</v>
      </c>
      <c r="Q475" s="69" t="s">
        <v>229</v>
      </c>
      <c r="R475" s="69" t="s">
        <v>229</v>
      </c>
      <c r="S475" s="69" t="s">
        <v>229</v>
      </c>
      <c r="T475" s="70" t="s">
        <v>229</v>
      </c>
      <c r="U475" s="71" t="s">
        <v>229</v>
      </c>
      <c r="V475" s="72" t="s">
        <v>229</v>
      </c>
      <c r="W475" s="73" t="s">
        <v>229</v>
      </c>
      <c r="X475" s="72" t="s">
        <v>229</v>
      </c>
      <c r="Y475" s="70" t="s">
        <v>229</v>
      </c>
      <c r="Z475" s="73" t="s">
        <v>229</v>
      </c>
    </row>
    <row r="476" ht="15.75" customHeight="1">
      <c r="A476" s="87"/>
      <c r="B476" s="88"/>
      <c r="C476" s="88"/>
      <c r="D476" s="87"/>
      <c r="E476" s="87"/>
      <c r="F476" s="87"/>
      <c r="G476" s="85"/>
      <c r="H476" s="85"/>
      <c r="I476" s="86"/>
      <c r="J476" s="86"/>
      <c r="K476" s="83"/>
      <c r="L476" s="87"/>
      <c r="M476" s="79"/>
      <c r="N476" s="69" t="s">
        <v>229</v>
      </c>
      <c r="O476" s="69" t="s">
        <v>229</v>
      </c>
      <c r="P476" s="69" t="s">
        <v>229</v>
      </c>
      <c r="Q476" s="69" t="s">
        <v>229</v>
      </c>
      <c r="R476" s="69" t="s">
        <v>229</v>
      </c>
      <c r="S476" s="69" t="s">
        <v>229</v>
      </c>
      <c r="T476" s="70" t="s">
        <v>229</v>
      </c>
      <c r="U476" s="71" t="s">
        <v>229</v>
      </c>
      <c r="V476" s="72" t="s">
        <v>229</v>
      </c>
      <c r="W476" s="73" t="s">
        <v>229</v>
      </c>
      <c r="X476" s="72" t="s">
        <v>229</v>
      </c>
      <c r="Y476" s="70" t="s">
        <v>229</v>
      </c>
      <c r="Z476" s="73" t="s">
        <v>229</v>
      </c>
    </row>
    <row r="477" ht="15.75" customHeight="1">
      <c r="A477" s="87"/>
      <c r="B477" s="88"/>
      <c r="C477" s="88"/>
      <c r="D477" s="87"/>
      <c r="E477" s="87"/>
      <c r="F477" s="87"/>
      <c r="G477" s="85"/>
      <c r="H477" s="85"/>
      <c r="I477" s="86"/>
      <c r="J477" s="86"/>
      <c r="K477" s="83"/>
      <c r="L477" s="87"/>
      <c r="M477" s="79"/>
      <c r="N477" s="69" t="s">
        <v>229</v>
      </c>
      <c r="O477" s="69" t="s">
        <v>229</v>
      </c>
      <c r="P477" s="69" t="s">
        <v>229</v>
      </c>
      <c r="Q477" s="69" t="s">
        <v>229</v>
      </c>
      <c r="R477" s="69" t="s">
        <v>229</v>
      </c>
      <c r="S477" s="69" t="s">
        <v>229</v>
      </c>
      <c r="T477" s="70" t="s">
        <v>229</v>
      </c>
      <c r="U477" s="71" t="s">
        <v>229</v>
      </c>
      <c r="V477" s="72" t="s">
        <v>229</v>
      </c>
      <c r="W477" s="73" t="s">
        <v>229</v>
      </c>
      <c r="X477" s="72" t="s">
        <v>229</v>
      </c>
      <c r="Y477" s="70" t="s">
        <v>229</v>
      </c>
      <c r="Z477" s="73" t="s">
        <v>229</v>
      </c>
    </row>
    <row r="478" ht="15.75" customHeight="1">
      <c r="A478" s="87"/>
      <c r="B478" s="88"/>
      <c r="C478" s="88"/>
      <c r="D478" s="87"/>
      <c r="E478" s="87"/>
      <c r="F478" s="87"/>
      <c r="G478" s="85"/>
      <c r="H478" s="85"/>
      <c r="I478" s="86"/>
      <c r="J478" s="86"/>
      <c r="K478" s="83"/>
      <c r="L478" s="87"/>
      <c r="M478" s="79"/>
      <c r="N478" s="69" t="s">
        <v>229</v>
      </c>
      <c r="O478" s="69" t="s">
        <v>229</v>
      </c>
      <c r="P478" s="69" t="s">
        <v>229</v>
      </c>
      <c r="Q478" s="69" t="s">
        <v>229</v>
      </c>
      <c r="R478" s="69" t="s">
        <v>229</v>
      </c>
      <c r="S478" s="69" t="s">
        <v>229</v>
      </c>
      <c r="T478" s="70" t="s">
        <v>229</v>
      </c>
      <c r="U478" s="71" t="s">
        <v>229</v>
      </c>
      <c r="V478" s="72" t="s">
        <v>229</v>
      </c>
      <c r="W478" s="73" t="s">
        <v>229</v>
      </c>
      <c r="X478" s="72" t="s">
        <v>229</v>
      </c>
      <c r="Y478" s="70" t="s">
        <v>229</v>
      </c>
      <c r="Z478" s="73" t="s">
        <v>229</v>
      </c>
    </row>
    <row r="479" ht="15.75" customHeight="1">
      <c r="A479" s="87"/>
      <c r="B479" s="88"/>
      <c r="C479" s="88"/>
      <c r="D479" s="87"/>
      <c r="E479" s="87"/>
      <c r="F479" s="87"/>
      <c r="G479" s="85"/>
      <c r="H479" s="85"/>
      <c r="I479" s="86"/>
      <c r="J479" s="86"/>
      <c r="K479" s="83"/>
      <c r="L479" s="87"/>
      <c r="M479" s="79"/>
      <c r="N479" s="69" t="s">
        <v>229</v>
      </c>
      <c r="O479" s="69" t="s">
        <v>229</v>
      </c>
      <c r="P479" s="69" t="s">
        <v>229</v>
      </c>
      <c r="Q479" s="69" t="s">
        <v>229</v>
      </c>
      <c r="R479" s="69" t="s">
        <v>229</v>
      </c>
      <c r="S479" s="69" t="s">
        <v>229</v>
      </c>
      <c r="T479" s="70" t="s">
        <v>229</v>
      </c>
      <c r="U479" s="71" t="s">
        <v>229</v>
      </c>
      <c r="V479" s="72" t="s">
        <v>229</v>
      </c>
      <c r="W479" s="73" t="s">
        <v>229</v>
      </c>
      <c r="X479" s="72" t="s">
        <v>229</v>
      </c>
      <c r="Y479" s="70" t="s">
        <v>229</v>
      </c>
      <c r="Z479" s="73" t="s">
        <v>229</v>
      </c>
    </row>
    <row r="480" ht="15.75" customHeight="1">
      <c r="A480" s="87"/>
      <c r="B480" s="88"/>
      <c r="C480" s="88"/>
      <c r="D480" s="87"/>
      <c r="E480" s="87"/>
      <c r="F480" s="87"/>
      <c r="G480" s="85"/>
      <c r="H480" s="85"/>
      <c r="I480" s="86"/>
      <c r="J480" s="86"/>
      <c r="K480" s="83"/>
      <c r="L480" s="87"/>
      <c r="M480" s="79"/>
      <c r="N480" s="69" t="s">
        <v>229</v>
      </c>
      <c r="O480" s="69" t="s">
        <v>229</v>
      </c>
      <c r="P480" s="69" t="s">
        <v>229</v>
      </c>
      <c r="Q480" s="69" t="s">
        <v>229</v>
      </c>
      <c r="R480" s="69" t="s">
        <v>229</v>
      </c>
      <c r="S480" s="69" t="s">
        <v>229</v>
      </c>
      <c r="T480" s="70" t="s">
        <v>229</v>
      </c>
      <c r="U480" s="71" t="s">
        <v>229</v>
      </c>
      <c r="V480" s="72" t="s">
        <v>229</v>
      </c>
      <c r="W480" s="73" t="s">
        <v>229</v>
      </c>
      <c r="X480" s="72" t="s">
        <v>229</v>
      </c>
      <c r="Y480" s="70" t="s">
        <v>229</v>
      </c>
      <c r="Z480" s="73" t="s">
        <v>229</v>
      </c>
    </row>
    <row r="481" ht="15.75" customHeight="1">
      <c r="A481" s="87"/>
      <c r="B481" s="88"/>
      <c r="C481" s="88"/>
      <c r="D481" s="87"/>
      <c r="E481" s="87"/>
      <c r="F481" s="87"/>
      <c r="G481" s="85"/>
      <c r="H481" s="85"/>
      <c r="I481" s="86"/>
      <c r="J481" s="86"/>
      <c r="K481" s="83"/>
      <c r="L481" s="87"/>
      <c r="M481" s="79"/>
      <c r="N481" s="69" t="s">
        <v>229</v>
      </c>
      <c r="O481" s="69" t="s">
        <v>229</v>
      </c>
      <c r="P481" s="69" t="s">
        <v>229</v>
      </c>
      <c r="Q481" s="69" t="s">
        <v>229</v>
      </c>
      <c r="R481" s="69" t="s">
        <v>229</v>
      </c>
      <c r="S481" s="69" t="s">
        <v>229</v>
      </c>
      <c r="T481" s="70" t="s">
        <v>229</v>
      </c>
      <c r="U481" s="71" t="s">
        <v>229</v>
      </c>
      <c r="V481" s="72" t="s">
        <v>229</v>
      </c>
      <c r="W481" s="73" t="s">
        <v>229</v>
      </c>
      <c r="X481" s="72" t="s">
        <v>229</v>
      </c>
      <c r="Y481" s="70" t="s">
        <v>229</v>
      </c>
      <c r="Z481" s="73" t="s">
        <v>229</v>
      </c>
    </row>
    <row r="482" ht="15.75" customHeight="1">
      <c r="A482" s="87"/>
      <c r="B482" s="88"/>
      <c r="C482" s="88"/>
      <c r="D482" s="87"/>
      <c r="E482" s="87"/>
      <c r="F482" s="87"/>
      <c r="G482" s="85"/>
      <c r="H482" s="85"/>
      <c r="I482" s="86"/>
      <c r="J482" s="86"/>
      <c r="K482" s="83"/>
      <c r="L482" s="87"/>
      <c r="M482" s="79"/>
      <c r="N482" s="69" t="s">
        <v>229</v>
      </c>
      <c r="O482" s="69" t="s">
        <v>229</v>
      </c>
      <c r="P482" s="69" t="s">
        <v>229</v>
      </c>
      <c r="Q482" s="69" t="s">
        <v>229</v>
      </c>
      <c r="R482" s="69" t="s">
        <v>229</v>
      </c>
      <c r="S482" s="69" t="s">
        <v>229</v>
      </c>
      <c r="T482" s="70" t="s">
        <v>229</v>
      </c>
      <c r="U482" s="71" t="s">
        <v>229</v>
      </c>
      <c r="V482" s="72" t="s">
        <v>229</v>
      </c>
      <c r="W482" s="73" t="s">
        <v>229</v>
      </c>
      <c r="X482" s="72" t="s">
        <v>229</v>
      </c>
      <c r="Y482" s="70" t="s">
        <v>229</v>
      </c>
      <c r="Z482" s="73" t="s">
        <v>229</v>
      </c>
    </row>
    <row r="483" ht="15.75" customHeight="1">
      <c r="A483" s="87"/>
      <c r="B483" s="88"/>
      <c r="C483" s="88"/>
      <c r="D483" s="87"/>
      <c r="E483" s="87"/>
      <c r="F483" s="87"/>
      <c r="G483" s="85"/>
      <c r="H483" s="85"/>
      <c r="I483" s="86"/>
      <c r="J483" s="86"/>
      <c r="K483" s="83"/>
      <c r="L483" s="87"/>
      <c r="M483" s="79"/>
      <c r="N483" s="69" t="s">
        <v>229</v>
      </c>
      <c r="O483" s="69" t="s">
        <v>229</v>
      </c>
      <c r="P483" s="69" t="s">
        <v>229</v>
      </c>
      <c r="Q483" s="69" t="s">
        <v>229</v>
      </c>
      <c r="R483" s="69" t="s">
        <v>229</v>
      </c>
      <c r="S483" s="69" t="s">
        <v>229</v>
      </c>
      <c r="T483" s="70" t="s">
        <v>229</v>
      </c>
      <c r="U483" s="71" t="s">
        <v>229</v>
      </c>
      <c r="V483" s="72" t="s">
        <v>229</v>
      </c>
      <c r="W483" s="73" t="s">
        <v>229</v>
      </c>
      <c r="X483" s="72" t="s">
        <v>229</v>
      </c>
      <c r="Y483" s="70" t="s">
        <v>229</v>
      </c>
      <c r="Z483" s="73" t="s">
        <v>229</v>
      </c>
    </row>
    <row r="484" ht="15.75" customHeight="1">
      <c r="A484" s="87"/>
      <c r="B484" s="88"/>
      <c r="C484" s="88"/>
      <c r="D484" s="87"/>
      <c r="E484" s="87"/>
      <c r="F484" s="87"/>
      <c r="G484" s="85"/>
      <c r="H484" s="85"/>
      <c r="I484" s="86"/>
      <c r="J484" s="86"/>
      <c r="K484" s="83"/>
      <c r="L484" s="87"/>
      <c r="M484" s="79"/>
      <c r="N484" s="69" t="s">
        <v>229</v>
      </c>
      <c r="O484" s="69" t="s">
        <v>229</v>
      </c>
      <c r="P484" s="69" t="s">
        <v>229</v>
      </c>
      <c r="Q484" s="69" t="s">
        <v>229</v>
      </c>
      <c r="R484" s="69" t="s">
        <v>229</v>
      </c>
      <c r="S484" s="69" t="s">
        <v>229</v>
      </c>
      <c r="T484" s="70" t="s">
        <v>229</v>
      </c>
      <c r="U484" s="71" t="s">
        <v>229</v>
      </c>
      <c r="V484" s="72" t="s">
        <v>229</v>
      </c>
      <c r="W484" s="73" t="s">
        <v>229</v>
      </c>
      <c r="X484" s="72" t="s">
        <v>229</v>
      </c>
      <c r="Y484" s="70" t="s">
        <v>229</v>
      </c>
      <c r="Z484" s="73" t="s">
        <v>229</v>
      </c>
    </row>
    <row r="485" ht="15.75" customHeight="1">
      <c r="A485" s="87"/>
      <c r="B485" s="88"/>
      <c r="C485" s="88"/>
      <c r="D485" s="87"/>
      <c r="E485" s="87"/>
      <c r="F485" s="87"/>
      <c r="G485" s="85"/>
      <c r="H485" s="85"/>
      <c r="I485" s="86"/>
      <c r="J485" s="86"/>
      <c r="K485" s="83"/>
      <c r="L485" s="87"/>
      <c r="M485" s="79"/>
      <c r="N485" s="69" t="s">
        <v>229</v>
      </c>
      <c r="O485" s="69" t="s">
        <v>229</v>
      </c>
      <c r="P485" s="69" t="s">
        <v>229</v>
      </c>
      <c r="Q485" s="69" t="s">
        <v>229</v>
      </c>
      <c r="R485" s="69" t="s">
        <v>229</v>
      </c>
      <c r="S485" s="69" t="s">
        <v>229</v>
      </c>
      <c r="T485" s="70" t="s">
        <v>229</v>
      </c>
      <c r="U485" s="71" t="s">
        <v>229</v>
      </c>
      <c r="V485" s="72" t="s">
        <v>229</v>
      </c>
      <c r="W485" s="73" t="s">
        <v>229</v>
      </c>
      <c r="X485" s="72" t="s">
        <v>229</v>
      </c>
      <c r="Y485" s="70" t="s">
        <v>229</v>
      </c>
      <c r="Z485" s="73" t="s">
        <v>229</v>
      </c>
    </row>
    <row r="486" ht="15.75" customHeight="1">
      <c r="A486" s="87"/>
      <c r="B486" s="88"/>
      <c r="C486" s="88"/>
      <c r="D486" s="87"/>
      <c r="E486" s="87"/>
      <c r="F486" s="87"/>
      <c r="G486" s="85"/>
      <c r="H486" s="85"/>
      <c r="I486" s="86"/>
      <c r="J486" s="86"/>
      <c r="K486" s="83"/>
      <c r="L486" s="87"/>
      <c r="M486" s="79"/>
      <c r="N486" s="69" t="s">
        <v>229</v>
      </c>
      <c r="O486" s="69" t="s">
        <v>229</v>
      </c>
      <c r="P486" s="69" t="s">
        <v>229</v>
      </c>
      <c r="Q486" s="69" t="s">
        <v>229</v>
      </c>
      <c r="R486" s="69" t="s">
        <v>229</v>
      </c>
      <c r="S486" s="69" t="s">
        <v>229</v>
      </c>
      <c r="T486" s="70" t="s">
        <v>229</v>
      </c>
      <c r="U486" s="71" t="s">
        <v>229</v>
      </c>
      <c r="V486" s="72" t="s">
        <v>229</v>
      </c>
      <c r="W486" s="73" t="s">
        <v>229</v>
      </c>
      <c r="X486" s="72" t="s">
        <v>229</v>
      </c>
      <c r="Y486" s="70" t="s">
        <v>229</v>
      </c>
      <c r="Z486" s="73" t="s">
        <v>229</v>
      </c>
    </row>
    <row r="487" ht="15.75" customHeight="1">
      <c r="A487" s="87"/>
      <c r="B487" s="88"/>
      <c r="C487" s="88"/>
      <c r="D487" s="87"/>
      <c r="E487" s="87"/>
      <c r="F487" s="87"/>
      <c r="G487" s="85"/>
      <c r="H487" s="85"/>
      <c r="I487" s="86"/>
      <c r="J487" s="86"/>
      <c r="K487" s="83"/>
      <c r="L487" s="87"/>
      <c r="M487" s="79"/>
      <c r="N487" s="69" t="s">
        <v>229</v>
      </c>
      <c r="O487" s="69" t="s">
        <v>229</v>
      </c>
      <c r="P487" s="69" t="s">
        <v>229</v>
      </c>
      <c r="Q487" s="69" t="s">
        <v>229</v>
      </c>
      <c r="R487" s="69" t="s">
        <v>229</v>
      </c>
      <c r="S487" s="69" t="s">
        <v>229</v>
      </c>
      <c r="T487" s="70" t="s">
        <v>229</v>
      </c>
      <c r="U487" s="71" t="s">
        <v>229</v>
      </c>
      <c r="V487" s="72" t="s">
        <v>229</v>
      </c>
      <c r="W487" s="73" t="s">
        <v>229</v>
      </c>
      <c r="X487" s="72" t="s">
        <v>229</v>
      </c>
      <c r="Y487" s="70" t="s">
        <v>229</v>
      </c>
      <c r="Z487" s="73" t="s">
        <v>229</v>
      </c>
    </row>
    <row r="488" ht="15.75" customHeight="1">
      <c r="A488" s="87"/>
      <c r="B488" s="88"/>
      <c r="C488" s="88"/>
      <c r="D488" s="87"/>
      <c r="E488" s="87"/>
      <c r="F488" s="87"/>
      <c r="G488" s="85"/>
      <c r="H488" s="85"/>
      <c r="I488" s="86"/>
      <c r="J488" s="86"/>
      <c r="K488" s="83"/>
      <c r="L488" s="87"/>
      <c r="M488" s="79"/>
      <c r="N488" s="69" t="s">
        <v>229</v>
      </c>
      <c r="O488" s="69" t="s">
        <v>229</v>
      </c>
      <c r="P488" s="69" t="s">
        <v>229</v>
      </c>
      <c r="Q488" s="69" t="s">
        <v>229</v>
      </c>
      <c r="R488" s="69" t="s">
        <v>229</v>
      </c>
      <c r="S488" s="69" t="s">
        <v>229</v>
      </c>
      <c r="T488" s="70" t="s">
        <v>229</v>
      </c>
      <c r="U488" s="71" t="s">
        <v>229</v>
      </c>
      <c r="V488" s="72" t="s">
        <v>229</v>
      </c>
      <c r="W488" s="73" t="s">
        <v>229</v>
      </c>
      <c r="X488" s="72" t="s">
        <v>229</v>
      </c>
      <c r="Y488" s="70" t="s">
        <v>229</v>
      </c>
      <c r="Z488" s="73" t="s">
        <v>229</v>
      </c>
    </row>
    <row r="489" ht="15.75" customHeight="1">
      <c r="A489" s="87"/>
      <c r="B489" s="88"/>
      <c r="C489" s="88"/>
      <c r="D489" s="87"/>
      <c r="E489" s="87"/>
      <c r="F489" s="87"/>
      <c r="G489" s="85"/>
      <c r="H489" s="85"/>
      <c r="I489" s="86"/>
      <c r="J489" s="86"/>
      <c r="K489" s="83"/>
      <c r="L489" s="87"/>
      <c r="M489" s="79"/>
      <c r="N489" s="69" t="s">
        <v>229</v>
      </c>
      <c r="O489" s="69" t="s">
        <v>229</v>
      </c>
      <c r="P489" s="69" t="s">
        <v>229</v>
      </c>
      <c r="Q489" s="69" t="s">
        <v>229</v>
      </c>
      <c r="R489" s="69" t="s">
        <v>229</v>
      </c>
      <c r="S489" s="69" t="s">
        <v>229</v>
      </c>
      <c r="T489" s="70" t="s">
        <v>229</v>
      </c>
      <c r="U489" s="71" t="s">
        <v>229</v>
      </c>
      <c r="V489" s="72" t="s">
        <v>229</v>
      </c>
      <c r="W489" s="73" t="s">
        <v>229</v>
      </c>
      <c r="X489" s="72" t="s">
        <v>229</v>
      </c>
      <c r="Y489" s="70" t="s">
        <v>229</v>
      </c>
      <c r="Z489" s="73" t="s">
        <v>229</v>
      </c>
    </row>
    <row r="490" ht="15.75" customHeight="1">
      <c r="A490" s="87"/>
      <c r="B490" s="88"/>
      <c r="C490" s="88"/>
      <c r="D490" s="87"/>
      <c r="E490" s="87"/>
      <c r="F490" s="87"/>
      <c r="G490" s="85"/>
      <c r="H490" s="85"/>
      <c r="I490" s="86"/>
      <c r="J490" s="86"/>
      <c r="K490" s="83"/>
      <c r="L490" s="87"/>
      <c r="M490" s="79"/>
      <c r="N490" s="69" t="s">
        <v>229</v>
      </c>
      <c r="O490" s="69" t="s">
        <v>229</v>
      </c>
      <c r="P490" s="69" t="s">
        <v>229</v>
      </c>
      <c r="Q490" s="69" t="s">
        <v>229</v>
      </c>
      <c r="R490" s="69" t="s">
        <v>229</v>
      </c>
      <c r="S490" s="69" t="s">
        <v>229</v>
      </c>
      <c r="T490" s="70" t="s">
        <v>229</v>
      </c>
      <c r="U490" s="71" t="s">
        <v>229</v>
      </c>
      <c r="V490" s="72" t="s">
        <v>229</v>
      </c>
      <c r="W490" s="73" t="s">
        <v>229</v>
      </c>
      <c r="X490" s="72" t="s">
        <v>229</v>
      </c>
      <c r="Y490" s="70" t="s">
        <v>229</v>
      </c>
      <c r="Z490" s="73" t="s">
        <v>229</v>
      </c>
    </row>
    <row r="491" ht="15.75" customHeight="1">
      <c r="A491" s="87"/>
      <c r="B491" s="88"/>
      <c r="C491" s="88"/>
      <c r="D491" s="87"/>
      <c r="E491" s="87"/>
      <c r="F491" s="87"/>
      <c r="G491" s="85"/>
      <c r="H491" s="85"/>
      <c r="I491" s="86"/>
      <c r="J491" s="86"/>
      <c r="K491" s="83"/>
      <c r="L491" s="87"/>
      <c r="M491" s="79"/>
      <c r="N491" s="69" t="s">
        <v>229</v>
      </c>
      <c r="O491" s="69" t="s">
        <v>229</v>
      </c>
      <c r="P491" s="69" t="s">
        <v>229</v>
      </c>
      <c r="Q491" s="69" t="s">
        <v>229</v>
      </c>
      <c r="R491" s="69" t="s">
        <v>229</v>
      </c>
      <c r="S491" s="69" t="s">
        <v>229</v>
      </c>
      <c r="T491" s="70" t="s">
        <v>229</v>
      </c>
      <c r="U491" s="71" t="s">
        <v>229</v>
      </c>
      <c r="V491" s="72" t="s">
        <v>229</v>
      </c>
      <c r="W491" s="73" t="s">
        <v>229</v>
      </c>
      <c r="X491" s="72" t="s">
        <v>229</v>
      </c>
      <c r="Y491" s="70" t="s">
        <v>229</v>
      </c>
      <c r="Z491" s="73" t="s">
        <v>229</v>
      </c>
    </row>
    <row r="492" ht="15.75" customHeight="1">
      <c r="A492" s="87"/>
      <c r="B492" s="88"/>
      <c r="C492" s="88"/>
      <c r="D492" s="87"/>
      <c r="E492" s="87"/>
      <c r="F492" s="87"/>
      <c r="G492" s="85"/>
      <c r="H492" s="85"/>
      <c r="I492" s="86"/>
      <c r="J492" s="86"/>
      <c r="K492" s="83"/>
      <c r="L492" s="87"/>
      <c r="M492" s="79"/>
      <c r="N492" s="69" t="s">
        <v>229</v>
      </c>
      <c r="O492" s="69" t="s">
        <v>229</v>
      </c>
      <c r="P492" s="69" t="s">
        <v>229</v>
      </c>
      <c r="Q492" s="69" t="s">
        <v>229</v>
      </c>
      <c r="R492" s="69" t="s">
        <v>229</v>
      </c>
      <c r="S492" s="69" t="s">
        <v>229</v>
      </c>
      <c r="T492" s="70" t="s">
        <v>229</v>
      </c>
      <c r="U492" s="71" t="s">
        <v>229</v>
      </c>
      <c r="V492" s="72" t="s">
        <v>229</v>
      </c>
      <c r="W492" s="73" t="s">
        <v>229</v>
      </c>
      <c r="X492" s="72" t="s">
        <v>229</v>
      </c>
      <c r="Y492" s="70" t="s">
        <v>229</v>
      </c>
      <c r="Z492" s="73" t="s">
        <v>229</v>
      </c>
    </row>
    <row r="493" ht="15.75" customHeight="1">
      <c r="A493" s="87"/>
      <c r="B493" s="88"/>
      <c r="C493" s="88"/>
      <c r="D493" s="87"/>
      <c r="E493" s="87"/>
      <c r="F493" s="87"/>
      <c r="G493" s="85"/>
      <c r="H493" s="85"/>
      <c r="I493" s="86"/>
      <c r="J493" s="86"/>
      <c r="K493" s="83"/>
      <c r="L493" s="87"/>
      <c r="M493" s="79"/>
      <c r="N493" s="69" t="s">
        <v>229</v>
      </c>
      <c r="O493" s="69" t="s">
        <v>229</v>
      </c>
      <c r="P493" s="69" t="s">
        <v>229</v>
      </c>
      <c r="Q493" s="69" t="s">
        <v>229</v>
      </c>
      <c r="R493" s="69" t="s">
        <v>229</v>
      </c>
      <c r="S493" s="69" t="s">
        <v>229</v>
      </c>
      <c r="T493" s="70" t="s">
        <v>229</v>
      </c>
      <c r="U493" s="71" t="s">
        <v>229</v>
      </c>
      <c r="V493" s="72" t="s">
        <v>229</v>
      </c>
      <c r="W493" s="73" t="s">
        <v>229</v>
      </c>
      <c r="X493" s="72" t="s">
        <v>229</v>
      </c>
      <c r="Y493" s="70" t="s">
        <v>229</v>
      </c>
      <c r="Z493" s="73" t="s">
        <v>229</v>
      </c>
    </row>
    <row r="494" ht="15.75" customHeight="1">
      <c r="A494" s="87"/>
      <c r="B494" s="88"/>
      <c r="C494" s="88"/>
      <c r="D494" s="87"/>
      <c r="E494" s="87"/>
      <c r="F494" s="87"/>
      <c r="G494" s="85"/>
      <c r="H494" s="85"/>
      <c r="I494" s="86"/>
      <c r="J494" s="86"/>
      <c r="K494" s="83"/>
      <c r="L494" s="87"/>
      <c r="M494" s="79"/>
      <c r="N494" s="69" t="s">
        <v>229</v>
      </c>
      <c r="O494" s="69" t="s">
        <v>229</v>
      </c>
      <c r="P494" s="69" t="s">
        <v>229</v>
      </c>
      <c r="Q494" s="69" t="s">
        <v>229</v>
      </c>
      <c r="R494" s="69" t="s">
        <v>229</v>
      </c>
      <c r="S494" s="69" t="s">
        <v>229</v>
      </c>
      <c r="T494" s="70" t="s">
        <v>229</v>
      </c>
      <c r="U494" s="71" t="s">
        <v>229</v>
      </c>
      <c r="V494" s="72" t="s">
        <v>229</v>
      </c>
      <c r="W494" s="73" t="s">
        <v>229</v>
      </c>
      <c r="X494" s="72" t="s">
        <v>229</v>
      </c>
      <c r="Y494" s="70" t="s">
        <v>229</v>
      </c>
      <c r="Z494" s="73" t="s">
        <v>229</v>
      </c>
    </row>
    <row r="495" ht="15.75" customHeight="1">
      <c r="A495" s="87"/>
      <c r="B495" s="88"/>
      <c r="C495" s="88"/>
      <c r="D495" s="87"/>
      <c r="E495" s="87"/>
      <c r="F495" s="87"/>
      <c r="G495" s="85"/>
      <c r="H495" s="85"/>
      <c r="I495" s="86"/>
      <c r="J495" s="86"/>
      <c r="K495" s="83"/>
      <c r="L495" s="87"/>
      <c r="M495" s="79"/>
      <c r="N495" s="69" t="s">
        <v>229</v>
      </c>
      <c r="O495" s="69" t="s">
        <v>229</v>
      </c>
      <c r="P495" s="69" t="s">
        <v>229</v>
      </c>
      <c r="Q495" s="69" t="s">
        <v>229</v>
      </c>
      <c r="R495" s="69" t="s">
        <v>229</v>
      </c>
      <c r="S495" s="69" t="s">
        <v>229</v>
      </c>
      <c r="T495" s="70" t="s">
        <v>229</v>
      </c>
      <c r="U495" s="71" t="s">
        <v>229</v>
      </c>
      <c r="V495" s="72" t="s">
        <v>229</v>
      </c>
      <c r="W495" s="73" t="s">
        <v>229</v>
      </c>
      <c r="X495" s="72" t="s">
        <v>229</v>
      </c>
      <c r="Y495" s="70" t="s">
        <v>229</v>
      </c>
      <c r="Z495" s="73" t="s">
        <v>229</v>
      </c>
    </row>
    <row r="496" ht="15.75" customHeight="1">
      <c r="A496" s="87"/>
      <c r="B496" s="88"/>
      <c r="C496" s="88"/>
      <c r="D496" s="87"/>
      <c r="E496" s="87"/>
      <c r="F496" s="87"/>
      <c r="G496" s="85"/>
      <c r="H496" s="85"/>
      <c r="I496" s="86"/>
      <c r="J496" s="86"/>
      <c r="K496" s="83"/>
      <c r="L496" s="87"/>
      <c r="M496" s="79"/>
      <c r="N496" s="69" t="s">
        <v>229</v>
      </c>
      <c r="O496" s="69" t="s">
        <v>229</v>
      </c>
      <c r="P496" s="69" t="s">
        <v>229</v>
      </c>
      <c r="Q496" s="69" t="s">
        <v>229</v>
      </c>
      <c r="R496" s="69" t="s">
        <v>229</v>
      </c>
      <c r="S496" s="69" t="s">
        <v>229</v>
      </c>
      <c r="T496" s="70" t="s">
        <v>229</v>
      </c>
      <c r="U496" s="71" t="s">
        <v>229</v>
      </c>
      <c r="V496" s="72" t="s">
        <v>229</v>
      </c>
      <c r="W496" s="73" t="s">
        <v>229</v>
      </c>
      <c r="X496" s="72" t="s">
        <v>229</v>
      </c>
      <c r="Y496" s="70" t="s">
        <v>229</v>
      </c>
      <c r="Z496" s="73" t="s">
        <v>229</v>
      </c>
    </row>
    <row r="497" ht="15.75" customHeight="1">
      <c r="A497" s="87"/>
      <c r="B497" s="88"/>
      <c r="C497" s="88"/>
      <c r="D497" s="87"/>
      <c r="E497" s="87"/>
      <c r="F497" s="87"/>
      <c r="G497" s="85"/>
      <c r="H497" s="85"/>
      <c r="I497" s="86"/>
      <c r="J497" s="86"/>
      <c r="K497" s="83"/>
      <c r="L497" s="87"/>
      <c r="M497" s="79"/>
      <c r="N497" s="69" t="s">
        <v>229</v>
      </c>
      <c r="O497" s="69" t="s">
        <v>229</v>
      </c>
      <c r="P497" s="69" t="s">
        <v>229</v>
      </c>
      <c r="Q497" s="69" t="s">
        <v>229</v>
      </c>
      <c r="R497" s="69" t="s">
        <v>229</v>
      </c>
      <c r="S497" s="69" t="s">
        <v>229</v>
      </c>
      <c r="T497" s="70" t="s">
        <v>229</v>
      </c>
      <c r="U497" s="71" t="s">
        <v>229</v>
      </c>
      <c r="V497" s="72" t="s">
        <v>229</v>
      </c>
      <c r="W497" s="73" t="s">
        <v>229</v>
      </c>
      <c r="X497" s="72" t="s">
        <v>229</v>
      </c>
      <c r="Y497" s="70" t="s">
        <v>229</v>
      </c>
      <c r="Z497" s="73" t="s">
        <v>229</v>
      </c>
    </row>
    <row r="498" ht="15.75" customHeight="1">
      <c r="A498" s="87"/>
      <c r="B498" s="88"/>
      <c r="C498" s="88"/>
      <c r="D498" s="87"/>
      <c r="E498" s="87"/>
      <c r="F498" s="87"/>
      <c r="G498" s="85"/>
      <c r="H498" s="85"/>
      <c r="I498" s="86"/>
      <c r="J498" s="86"/>
      <c r="K498" s="83"/>
      <c r="L498" s="87"/>
      <c r="M498" s="79"/>
      <c r="N498" s="69" t="s">
        <v>229</v>
      </c>
      <c r="O498" s="69" t="s">
        <v>229</v>
      </c>
      <c r="P498" s="69" t="s">
        <v>229</v>
      </c>
      <c r="Q498" s="69" t="s">
        <v>229</v>
      </c>
      <c r="R498" s="69" t="s">
        <v>229</v>
      </c>
      <c r="S498" s="69" t="s">
        <v>229</v>
      </c>
      <c r="T498" s="70" t="s">
        <v>229</v>
      </c>
      <c r="U498" s="71" t="s">
        <v>229</v>
      </c>
      <c r="V498" s="72" t="s">
        <v>229</v>
      </c>
      <c r="W498" s="73" t="s">
        <v>229</v>
      </c>
      <c r="X498" s="72" t="s">
        <v>229</v>
      </c>
      <c r="Y498" s="70" t="s">
        <v>229</v>
      </c>
      <c r="Z498" s="73" t="s">
        <v>229</v>
      </c>
    </row>
    <row r="499" ht="15.75" customHeight="1">
      <c r="A499" s="87"/>
      <c r="B499" s="88"/>
      <c r="C499" s="88"/>
      <c r="D499" s="87"/>
      <c r="E499" s="87"/>
      <c r="F499" s="87"/>
      <c r="G499" s="85"/>
      <c r="H499" s="85"/>
      <c r="I499" s="86"/>
      <c r="J499" s="86"/>
      <c r="K499" s="83"/>
      <c r="L499" s="87"/>
      <c r="M499" s="79"/>
      <c r="N499" s="69" t="s">
        <v>229</v>
      </c>
      <c r="O499" s="69" t="s">
        <v>229</v>
      </c>
      <c r="P499" s="69" t="s">
        <v>229</v>
      </c>
      <c r="Q499" s="69" t="s">
        <v>229</v>
      </c>
      <c r="R499" s="69" t="s">
        <v>229</v>
      </c>
      <c r="S499" s="69" t="s">
        <v>229</v>
      </c>
      <c r="T499" s="70" t="s">
        <v>229</v>
      </c>
      <c r="U499" s="71" t="s">
        <v>229</v>
      </c>
      <c r="V499" s="72" t="s">
        <v>229</v>
      </c>
      <c r="W499" s="73" t="s">
        <v>229</v>
      </c>
      <c r="X499" s="72" t="s">
        <v>229</v>
      </c>
      <c r="Y499" s="70" t="s">
        <v>229</v>
      </c>
      <c r="Z499" s="73" t="s">
        <v>229</v>
      </c>
    </row>
    <row r="500" ht="15.75" customHeight="1">
      <c r="A500" s="87"/>
      <c r="B500" s="88"/>
      <c r="C500" s="88"/>
      <c r="D500" s="87"/>
      <c r="E500" s="87"/>
      <c r="F500" s="87"/>
      <c r="G500" s="85"/>
      <c r="H500" s="85"/>
      <c r="I500" s="86"/>
      <c r="J500" s="86"/>
      <c r="K500" s="83"/>
      <c r="L500" s="87"/>
      <c r="M500" s="79"/>
      <c r="N500" s="69" t="s">
        <v>229</v>
      </c>
      <c r="O500" s="69" t="s">
        <v>229</v>
      </c>
      <c r="P500" s="69" t="s">
        <v>229</v>
      </c>
      <c r="Q500" s="69" t="s">
        <v>229</v>
      </c>
      <c r="R500" s="69" t="s">
        <v>229</v>
      </c>
      <c r="S500" s="69" t="s">
        <v>229</v>
      </c>
      <c r="T500" s="70" t="s">
        <v>229</v>
      </c>
      <c r="U500" s="71" t="s">
        <v>229</v>
      </c>
      <c r="V500" s="72" t="s">
        <v>229</v>
      </c>
      <c r="W500" s="73" t="s">
        <v>229</v>
      </c>
      <c r="X500" s="72" t="s">
        <v>229</v>
      </c>
      <c r="Y500" s="70" t="s">
        <v>229</v>
      </c>
      <c r="Z500" s="73" t="s">
        <v>229</v>
      </c>
    </row>
    <row r="501" ht="15.75" customHeight="1">
      <c r="A501" s="87"/>
      <c r="B501" s="88"/>
      <c r="C501" s="88"/>
      <c r="D501" s="87"/>
      <c r="E501" s="87"/>
      <c r="F501" s="87"/>
      <c r="G501" s="85"/>
      <c r="H501" s="85"/>
      <c r="I501" s="86"/>
      <c r="J501" s="86"/>
      <c r="K501" s="83"/>
      <c r="L501" s="87"/>
      <c r="M501" s="79"/>
      <c r="N501" s="69" t="s">
        <v>229</v>
      </c>
      <c r="O501" s="69" t="s">
        <v>229</v>
      </c>
      <c r="P501" s="69" t="s">
        <v>229</v>
      </c>
      <c r="Q501" s="69" t="s">
        <v>229</v>
      </c>
      <c r="R501" s="69" t="s">
        <v>229</v>
      </c>
      <c r="S501" s="69" t="s">
        <v>229</v>
      </c>
      <c r="T501" s="70" t="s">
        <v>229</v>
      </c>
      <c r="U501" s="71" t="s">
        <v>229</v>
      </c>
      <c r="V501" s="72" t="s">
        <v>229</v>
      </c>
      <c r="W501" s="73" t="s">
        <v>229</v>
      </c>
      <c r="X501" s="72" t="s">
        <v>229</v>
      </c>
      <c r="Y501" s="70" t="s">
        <v>229</v>
      </c>
      <c r="Z501" s="73" t="s">
        <v>229</v>
      </c>
    </row>
    <row r="502" ht="15.75" customHeight="1">
      <c r="A502" s="87"/>
      <c r="B502" s="88"/>
      <c r="C502" s="88"/>
      <c r="D502" s="87"/>
      <c r="E502" s="87"/>
      <c r="F502" s="87"/>
      <c r="G502" s="85"/>
      <c r="H502" s="85"/>
      <c r="I502" s="86"/>
      <c r="J502" s="86"/>
      <c r="K502" s="83"/>
      <c r="L502" s="87"/>
      <c r="M502" s="79"/>
      <c r="N502" s="69" t="s">
        <v>229</v>
      </c>
      <c r="O502" s="69" t="s">
        <v>229</v>
      </c>
      <c r="P502" s="69" t="s">
        <v>229</v>
      </c>
      <c r="Q502" s="69" t="s">
        <v>229</v>
      </c>
      <c r="R502" s="69" t="s">
        <v>229</v>
      </c>
      <c r="S502" s="69" t="s">
        <v>229</v>
      </c>
      <c r="T502" s="70" t="s">
        <v>229</v>
      </c>
      <c r="U502" s="71" t="s">
        <v>229</v>
      </c>
      <c r="V502" s="72" t="s">
        <v>229</v>
      </c>
      <c r="W502" s="73" t="s">
        <v>229</v>
      </c>
      <c r="X502" s="72" t="s">
        <v>229</v>
      </c>
      <c r="Y502" s="70" t="s">
        <v>229</v>
      </c>
      <c r="Z502" s="73" t="s">
        <v>229</v>
      </c>
    </row>
    <row r="503" ht="15.75" customHeight="1">
      <c r="A503" s="87"/>
      <c r="B503" s="88"/>
      <c r="C503" s="88"/>
      <c r="D503" s="87"/>
      <c r="E503" s="87"/>
      <c r="F503" s="87"/>
      <c r="G503" s="85"/>
      <c r="H503" s="85"/>
      <c r="I503" s="86"/>
      <c r="J503" s="86"/>
      <c r="K503" s="83"/>
      <c r="L503" s="87"/>
      <c r="M503" s="79"/>
      <c r="N503" s="69" t="s">
        <v>229</v>
      </c>
      <c r="O503" s="69" t="s">
        <v>229</v>
      </c>
      <c r="P503" s="69" t="s">
        <v>229</v>
      </c>
      <c r="Q503" s="69" t="s">
        <v>229</v>
      </c>
      <c r="R503" s="69" t="s">
        <v>229</v>
      </c>
      <c r="S503" s="69" t="s">
        <v>229</v>
      </c>
      <c r="T503" s="70" t="s">
        <v>229</v>
      </c>
      <c r="U503" s="71" t="s">
        <v>229</v>
      </c>
      <c r="V503" s="72" t="s">
        <v>229</v>
      </c>
      <c r="W503" s="73" t="s">
        <v>229</v>
      </c>
      <c r="X503" s="72" t="s">
        <v>229</v>
      </c>
      <c r="Y503" s="70" t="s">
        <v>229</v>
      </c>
      <c r="Z503" s="73" t="s">
        <v>229</v>
      </c>
    </row>
    <row r="504" ht="15.75" customHeight="1">
      <c r="A504" s="89"/>
      <c r="B504" s="90"/>
      <c r="C504" s="90"/>
      <c r="D504" s="89"/>
      <c r="E504" s="89"/>
      <c r="F504" s="89"/>
      <c r="G504" s="91"/>
      <c r="H504" s="91"/>
      <c r="I504" s="92"/>
      <c r="J504" s="92"/>
      <c r="K504" s="93"/>
      <c r="L504" s="89"/>
      <c r="M504" s="94"/>
      <c r="N504" s="69" t="s">
        <v>229</v>
      </c>
      <c r="O504" s="69" t="s">
        <v>229</v>
      </c>
      <c r="P504" s="69" t="s">
        <v>229</v>
      </c>
      <c r="Q504" s="69" t="s">
        <v>229</v>
      </c>
      <c r="R504" s="69" t="s">
        <v>229</v>
      </c>
      <c r="S504" s="69" t="s">
        <v>229</v>
      </c>
      <c r="T504" s="70" t="s">
        <v>229</v>
      </c>
      <c r="U504" s="71" t="s">
        <v>229</v>
      </c>
      <c r="V504" s="72" t="s">
        <v>229</v>
      </c>
      <c r="W504" s="73" t="s">
        <v>229</v>
      </c>
      <c r="X504" s="72" t="s">
        <v>229</v>
      </c>
      <c r="Y504" s="70" t="s">
        <v>229</v>
      </c>
      <c r="Z504" s="73" t="s">
        <v>229</v>
      </c>
    </row>
    <row r="505" ht="25.5" customHeight="1">
      <c r="A505" s="95" t="s">
        <v>236</v>
      </c>
      <c r="B505" s="96"/>
      <c r="C505" s="96"/>
      <c r="D505" s="96"/>
      <c r="E505" s="96"/>
      <c r="F505" s="96"/>
      <c r="G505" s="96"/>
      <c r="H505" s="96"/>
      <c r="I505" s="96"/>
      <c r="J505" s="96"/>
      <c r="K505" s="96"/>
      <c r="L505" s="96"/>
      <c r="M505" s="96"/>
      <c r="N505" s="97" t="s">
        <v>229</v>
      </c>
      <c r="O505" s="97" t="s">
        <v>229</v>
      </c>
      <c r="P505" s="97" t="s">
        <v>229</v>
      </c>
      <c r="Q505" s="97" t="s">
        <v>229</v>
      </c>
      <c r="R505" s="97" t="s">
        <v>229</v>
      </c>
      <c r="S505" s="97" t="s">
        <v>229</v>
      </c>
      <c r="T505" s="98" t="s">
        <v>229</v>
      </c>
      <c r="U505" s="99" t="s">
        <v>229</v>
      </c>
      <c r="V505" s="100" t="s">
        <v>229</v>
      </c>
      <c r="W505" s="101" t="s">
        <v>229</v>
      </c>
      <c r="X505" s="100" t="s">
        <v>229</v>
      </c>
      <c r="Y505" s="98" t="s">
        <v>229</v>
      </c>
      <c r="Z505" s="101">
        <v>0.0</v>
      </c>
    </row>
    <row r="506" ht="15.75" customHeight="1">
      <c r="A506" s="102"/>
      <c r="B506" s="103"/>
      <c r="C506" s="103"/>
      <c r="D506" s="102"/>
      <c r="E506" s="102"/>
      <c r="F506" s="102"/>
      <c r="G506" s="104"/>
      <c r="H506" s="104"/>
      <c r="I506" s="105"/>
      <c r="J506" s="105"/>
      <c r="K506" s="106"/>
      <c r="L506" s="102"/>
      <c r="M506" s="102"/>
      <c r="N506" s="106" t="s">
        <v>229</v>
      </c>
      <c r="O506" s="106" t="s">
        <v>229</v>
      </c>
      <c r="P506" s="106" t="s">
        <v>229</v>
      </c>
      <c r="Q506" s="106" t="s">
        <v>229</v>
      </c>
      <c r="R506" s="106" t="s">
        <v>229</v>
      </c>
      <c r="S506" s="106" t="s">
        <v>229</v>
      </c>
      <c r="T506" s="107" t="s">
        <v>229</v>
      </c>
      <c r="U506" s="102" t="s">
        <v>229</v>
      </c>
      <c r="V506" s="105" t="s">
        <v>229</v>
      </c>
      <c r="W506" s="104" t="s">
        <v>229</v>
      </c>
      <c r="X506" s="105" t="s">
        <v>229</v>
      </c>
      <c r="Y506" s="107" t="s">
        <v>229</v>
      </c>
      <c r="Z506" s="104" t="s">
        <v>229</v>
      </c>
    </row>
    <row r="507" ht="15.75" customHeight="1">
      <c r="A507" s="102"/>
      <c r="B507" s="103"/>
      <c r="C507" s="103"/>
      <c r="D507" s="102"/>
      <c r="E507" s="102"/>
      <c r="F507" s="102"/>
      <c r="G507" s="104"/>
      <c r="H507" s="104"/>
      <c r="I507" s="105"/>
      <c r="J507" s="105"/>
      <c r="K507" s="106"/>
      <c r="L507" s="102"/>
      <c r="M507" s="102"/>
      <c r="N507" s="106" t="s">
        <v>229</v>
      </c>
      <c r="O507" s="106" t="s">
        <v>229</v>
      </c>
      <c r="P507" s="106" t="s">
        <v>229</v>
      </c>
      <c r="Q507" s="106" t="s">
        <v>229</v>
      </c>
      <c r="R507" s="106" t="s">
        <v>229</v>
      </c>
      <c r="S507" s="106" t="s">
        <v>229</v>
      </c>
      <c r="T507" s="107" t="s">
        <v>229</v>
      </c>
      <c r="U507" s="102" t="s">
        <v>229</v>
      </c>
      <c r="V507" s="105" t="s">
        <v>229</v>
      </c>
      <c r="W507" s="104" t="s">
        <v>229</v>
      </c>
      <c r="X507" s="105" t="s">
        <v>229</v>
      </c>
      <c r="Y507" s="107" t="s">
        <v>229</v>
      </c>
      <c r="Z507" s="104" t="s">
        <v>229</v>
      </c>
    </row>
    <row r="508" ht="43.5" customHeight="1">
      <c r="A508" s="108"/>
      <c r="B508" s="108"/>
      <c r="C508" s="108"/>
      <c r="D508" s="108"/>
      <c r="E508" s="108"/>
      <c r="F508" s="108"/>
      <c r="G508" s="108"/>
      <c r="H508" s="108"/>
      <c r="I508" s="108"/>
      <c r="J508" s="108"/>
      <c r="K508" s="108"/>
      <c r="L508" s="108"/>
      <c r="M508" s="108"/>
      <c r="N508" s="108" t="s">
        <v>229</v>
      </c>
      <c r="O508" s="108" t="s">
        <v>229</v>
      </c>
      <c r="P508" s="108" t="s">
        <v>229</v>
      </c>
      <c r="Q508" s="108" t="s">
        <v>229</v>
      </c>
      <c r="R508" s="108" t="s">
        <v>229</v>
      </c>
      <c r="S508" s="108" t="s">
        <v>229</v>
      </c>
      <c r="T508" s="108" t="s">
        <v>229</v>
      </c>
      <c r="U508" s="108" t="s">
        <v>229</v>
      </c>
      <c r="V508" s="108" t="s">
        <v>229</v>
      </c>
      <c r="W508" s="108" t="s">
        <v>229</v>
      </c>
      <c r="X508" s="108" t="s">
        <v>229</v>
      </c>
      <c r="Y508" s="108" t="s">
        <v>229</v>
      </c>
      <c r="Z508" s="108" t="s">
        <v>229</v>
      </c>
    </row>
    <row r="509" ht="15.75" customHeight="1">
      <c r="A509" s="109"/>
      <c r="B509" s="110"/>
      <c r="C509" s="110"/>
      <c r="D509" s="109"/>
      <c r="E509" s="109"/>
      <c r="F509" s="109"/>
      <c r="G509" s="111"/>
      <c r="H509" s="111"/>
      <c r="I509" s="112"/>
      <c r="J509" s="112"/>
      <c r="K509" s="113"/>
      <c r="L509" s="109"/>
      <c r="M509" s="109"/>
      <c r="N509" s="113" t="s">
        <v>229</v>
      </c>
      <c r="O509" s="113" t="s">
        <v>229</v>
      </c>
      <c r="P509" s="113" t="s">
        <v>229</v>
      </c>
      <c r="Q509" s="113" t="s">
        <v>229</v>
      </c>
      <c r="R509" s="113" t="s">
        <v>229</v>
      </c>
      <c r="S509" s="113" t="s">
        <v>229</v>
      </c>
      <c r="T509" s="114" t="s">
        <v>229</v>
      </c>
      <c r="U509" s="109" t="s">
        <v>229</v>
      </c>
      <c r="V509" s="112" t="s">
        <v>229</v>
      </c>
      <c r="W509" s="111" t="s">
        <v>229</v>
      </c>
      <c r="X509" s="112" t="s">
        <v>229</v>
      </c>
      <c r="Y509" s="114" t="s">
        <v>229</v>
      </c>
      <c r="Z509" s="111" t="s">
        <v>229</v>
      </c>
    </row>
    <row r="510" ht="15.75" customHeight="1">
      <c r="A510" s="109"/>
      <c r="B510" s="110"/>
      <c r="C510" s="110"/>
      <c r="D510" s="109"/>
      <c r="E510" s="109"/>
      <c r="F510" s="109"/>
      <c r="G510" s="111"/>
      <c r="H510" s="111"/>
      <c r="I510" s="112"/>
      <c r="J510" s="112"/>
      <c r="K510" s="113"/>
      <c r="L510" s="109"/>
      <c r="M510" s="109"/>
      <c r="N510" s="113" t="s">
        <v>229</v>
      </c>
      <c r="O510" s="113" t="s">
        <v>229</v>
      </c>
      <c r="P510" s="113" t="s">
        <v>229</v>
      </c>
      <c r="Q510" s="113" t="s">
        <v>229</v>
      </c>
      <c r="R510" s="113" t="s">
        <v>229</v>
      </c>
      <c r="S510" s="113" t="s">
        <v>229</v>
      </c>
      <c r="T510" s="114" t="s">
        <v>229</v>
      </c>
      <c r="U510" s="109" t="s">
        <v>229</v>
      </c>
      <c r="V510" s="112" t="s">
        <v>229</v>
      </c>
      <c r="W510" s="111" t="s">
        <v>229</v>
      </c>
      <c r="X510" s="112" t="s">
        <v>229</v>
      </c>
      <c r="Y510" s="114" t="s">
        <v>229</v>
      </c>
      <c r="Z510" s="111" t="s">
        <v>229</v>
      </c>
    </row>
    <row r="511" ht="15.75" customHeight="1">
      <c r="A511" s="109"/>
      <c r="B511" s="110"/>
      <c r="C511" s="110"/>
      <c r="D511" s="109"/>
      <c r="E511" s="109"/>
      <c r="F511" s="109"/>
      <c r="G511" s="111"/>
      <c r="H511" s="111"/>
      <c r="I511" s="112"/>
      <c r="J511" s="112"/>
      <c r="K511" s="113"/>
      <c r="L511" s="109"/>
      <c r="M511" s="109"/>
      <c r="N511" s="113" t="s">
        <v>229</v>
      </c>
      <c r="O511" s="113" t="s">
        <v>229</v>
      </c>
      <c r="P511" s="113" t="s">
        <v>229</v>
      </c>
      <c r="Q511" s="113" t="s">
        <v>229</v>
      </c>
      <c r="R511" s="113" t="s">
        <v>229</v>
      </c>
      <c r="S511" s="113" t="s">
        <v>229</v>
      </c>
      <c r="T511" s="114" t="s">
        <v>229</v>
      </c>
      <c r="U511" s="109" t="s">
        <v>229</v>
      </c>
      <c r="V511" s="112" t="s">
        <v>229</v>
      </c>
      <c r="W511" s="111" t="s">
        <v>229</v>
      </c>
      <c r="X511" s="112" t="s">
        <v>229</v>
      </c>
      <c r="Y511" s="114" t="s">
        <v>229</v>
      </c>
      <c r="Z511" s="111" t="s">
        <v>229</v>
      </c>
    </row>
    <row r="512" ht="15.75" customHeight="1">
      <c r="A512" s="109"/>
      <c r="B512" s="110"/>
      <c r="C512" s="110"/>
      <c r="D512" s="109"/>
      <c r="E512" s="109"/>
      <c r="F512" s="109"/>
      <c r="G512" s="111"/>
      <c r="H512" s="111"/>
      <c r="I512" s="112"/>
      <c r="J512" s="112"/>
      <c r="K512" s="113"/>
      <c r="L512" s="109"/>
      <c r="M512" s="109"/>
      <c r="N512" s="113" t="s">
        <v>229</v>
      </c>
      <c r="O512" s="113" t="s">
        <v>229</v>
      </c>
      <c r="P512" s="113" t="s">
        <v>229</v>
      </c>
      <c r="Q512" s="113" t="s">
        <v>229</v>
      </c>
      <c r="R512" s="113" t="s">
        <v>229</v>
      </c>
      <c r="S512" s="113" t="s">
        <v>229</v>
      </c>
      <c r="T512" s="114" t="s">
        <v>229</v>
      </c>
      <c r="U512" s="109" t="s">
        <v>229</v>
      </c>
      <c r="V512" s="112" t="s">
        <v>229</v>
      </c>
      <c r="W512" s="111" t="s">
        <v>229</v>
      </c>
      <c r="X512" s="112" t="s">
        <v>229</v>
      </c>
      <c r="Y512" s="114" t="s">
        <v>229</v>
      </c>
      <c r="Z512" s="111" t="s">
        <v>229</v>
      </c>
    </row>
    <row r="513" ht="15.75" customHeight="1">
      <c r="A513" s="109"/>
      <c r="B513" s="110"/>
      <c r="C513" s="110"/>
      <c r="D513" s="109"/>
      <c r="E513" s="109"/>
      <c r="F513" s="109"/>
      <c r="G513" s="111"/>
      <c r="H513" s="111"/>
      <c r="I513" s="112"/>
      <c r="J513" s="112"/>
      <c r="K513" s="113"/>
      <c r="L513" s="109"/>
      <c r="M513" s="109"/>
      <c r="N513" s="113" t="s">
        <v>229</v>
      </c>
      <c r="O513" s="113" t="s">
        <v>229</v>
      </c>
      <c r="P513" s="113" t="s">
        <v>229</v>
      </c>
      <c r="Q513" s="113" t="s">
        <v>229</v>
      </c>
      <c r="R513" s="113" t="s">
        <v>229</v>
      </c>
      <c r="S513" s="113" t="s">
        <v>229</v>
      </c>
      <c r="T513" s="114" t="s">
        <v>229</v>
      </c>
      <c r="U513" s="109" t="s">
        <v>229</v>
      </c>
      <c r="V513" s="112" t="s">
        <v>229</v>
      </c>
      <c r="W513" s="111" t="s">
        <v>229</v>
      </c>
      <c r="X513" s="112" t="s">
        <v>229</v>
      </c>
      <c r="Y513" s="114" t="s">
        <v>229</v>
      </c>
      <c r="Z513" s="111" t="s">
        <v>229</v>
      </c>
    </row>
    <row r="514" ht="15.75" customHeight="1">
      <c r="A514" s="109"/>
      <c r="B514" s="110"/>
      <c r="C514" s="110"/>
      <c r="D514" s="109"/>
      <c r="E514" s="109"/>
      <c r="F514" s="109"/>
      <c r="G514" s="111"/>
      <c r="H514" s="111"/>
      <c r="I514" s="112"/>
      <c r="J514" s="112"/>
      <c r="K514" s="113"/>
      <c r="L514" s="109"/>
      <c r="M514" s="109"/>
      <c r="N514" s="113" t="s">
        <v>229</v>
      </c>
      <c r="O514" s="113" t="s">
        <v>229</v>
      </c>
      <c r="P514" s="113" t="s">
        <v>229</v>
      </c>
      <c r="Q514" s="113" t="s">
        <v>229</v>
      </c>
      <c r="R514" s="113" t="s">
        <v>229</v>
      </c>
      <c r="S514" s="113" t="s">
        <v>229</v>
      </c>
      <c r="T514" s="114" t="s">
        <v>229</v>
      </c>
      <c r="U514" s="109" t="s">
        <v>229</v>
      </c>
      <c r="V514" s="112" t="s">
        <v>229</v>
      </c>
      <c r="W514" s="111" t="s">
        <v>229</v>
      </c>
      <c r="X514" s="112" t="s">
        <v>229</v>
      </c>
      <c r="Y514" s="114" t="s">
        <v>229</v>
      </c>
      <c r="Z514" s="111" t="s">
        <v>229</v>
      </c>
    </row>
    <row r="515" ht="15.75" customHeight="1">
      <c r="A515" s="109"/>
      <c r="B515" s="110"/>
      <c r="C515" s="110"/>
      <c r="D515" s="109"/>
      <c r="E515" s="109"/>
      <c r="F515" s="109"/>
      <c r="G515" s="111"/>
      <c r="H515" s="111"/>
      <c r="I515" s="112"/>
      <c r="J515" s="112"/>
      <c r="K515" s="113"/>
      <c r="L515" s="109"/>
      <c r="M515" s="109"/>
      <c r="N515" s="113" t="s">
        <v>229</v>
      </c>
      <c r="O515" s="113" t="s">
        <v>229</v>
      </c>
      <c r="P515" s="113" t="s">
        <v>229</v>
      </c>
      <c r="Q515" s="113" t="s">
        <v>229</v>
      </c>
      <c r="R515" s="113" t="s">
        <v>229</v>
      </c>
      <c r="S515" s="113" t="s">
        <v>229</v>
      </c>
      <c r="T515" s="114" t="s">
        <v>229</v>
      </c>
      <c r="U515" s="109" t="s">
        <v>229</v>
      </c>
      <c r="V515" s="112" t="s">
        <v>229</v>
      </c>
      <c r="W515" s="111" t="s">
        <v>229</v>
      </c>
      <c r="X515" s="112" t="s">
        <v>229</v>
      </c>
      <c r="Y515" s="114" t="s">
        <v>229</v>
      </c>
      <c r="Z515" s="111" t="s">
        <v>229</v>
      </c>
    </row>
    <row r="516" ht="15.75" customHeight="1">
      <c r="A516" s="109"/>
      <c r="B516" s="110"/>
      <c r="C516" s="110"/>
      <c r="D516" s="109"/>
      <c r="E516" s="109"/>
      <c r="F516" s="109"/>
      <c r="G516" s="111"/>
      <c r="H516" s="111"/>
      <c r="I516" s="112"/>
      <c r="J516" s="112"/>
      <c r="K516" s="113"/>
      <c r="L516" s="109"/>
      <c r="M516" s="109"/>
      <c r="N516" s="113" t="s">
        <v>229</v>
      </c>
      <c r="O516" s="113" t="s">
        <v>229</v>
      </c>
      <c r="P516" s="113" t="s">
        <v>229</v>
      </c>
      <c r="Q516" s="113" t="s">
        <v>229</v>
      </c>
      <c r="R516" s="113" t="s">
        <v>229</v>
      </c>
      <c r="S516" s="113" t="s">
        <v>229</v>
      </c>
      <c r="T516" s="114" t="s">
        <v>229</v>
      </c>
      <c r="U516" s="109" t="s">
        <v>229</v>
      </c>
      <c r="V516" s="112" t="s">
        <v>229</v>
      </c>
      <c r="W516" s="111" t="s">
        <v>229</v>
      </c>
      <c r="X516" s="112" t="s">
        <v>229</v>
      </c>
      <c r="Y516" s="114" t="s">
        <v>229</v>
      </c>
      <c r="Z516" s="111" t="s">
        <v>229</v>
      </c>
    </row>
    <row r="517" ht="15.75" customHeight="1">
      <c r="A517" s="109"/>
      <c r="B517" s="110"/>
      <c r="C517" s="110"/>
      <c r="D517" s="109"/>
      <c r="E517" s="109"/>
      <c r="F517" s="109"/>
      <c r="G517" s="111"/>
      <c r="H517" s="111"/>
      <c r="I517" s="112"/>
      <c r="J517" s="112"/>
      <c r="K517" s="113"/>
      <c r="L517" s="109"/>
      <c r="M517" s="109"/>
      <c r="N517" s="113" t="s">
        <v>229</v>
      </c>
      <c r="O517" s="113" t="s">
        <v>229</v>
      </c>
      <c r="P517" s="113" t="s">
        <v>229</v>
      </c>
      <c r="Q517" s="113" t="s">
        <v>229</v>
      </c>
      <c r="R517" s="113" t="s">
        <v>229</v>
      </c>
      <c r="S517" s="113" t="s">
        <v>229</v>
      </c>
      <c r="T517" s="114" t="s">
        <v>229</v>
      </c>
      <c r="U517" s="109" t="s">
        <v>229</v>
      </c>
      <c r="V517" s="112" t="s">
        <v>229</v>
      </c>
      <c r="W517" s="111" t="s">
        <v>229</v>
      </c>
      <c r="X517" s="112" t="s">
        <v>229</v>
      </c>
      <c r="Y517" s="114" t="s">
        <v>229</v>
      </c>
      <c r="Z517" s="111" t="s">
        <v>229</v>
      </c>
    </row>
    <row r="518" ht="15.75" customHeight="1">
      <c r="A518" s="109"/>
      <c r="B518" s="110"/>
      <c r="C518" s="110"/>
      <c r="D518" s="109"/>
      <c r="E518" s="109"/>
      <c r="F518" s="109"/>
      <c r="G518" s="111"/>
      <c r="H518" s="111"/>
      <c r="I518" s="112"/>
      <c r="J518" s="112"/>
      <c r="K518" s="113"/>
      <c r="L518" s="109"/>
      <c r="M518" s="109"/>
      <c r="N518" s="113" t="s">
        <v>229</v>
      </c>
      <c r="O518" s="113" t="s">
        <v>229</v>
      </c>
      <c r="P518" s="113" t="s">
        <v>229</v>
      </c>
      <c r="Q518" s="113" t="s">
        <v>229</v>
      </c>
      <c r="R518" s="113" t="s">
        <v>229</v>
      </c>
      <c r="S518" s="113" t="s">
        <v>229</v>
      </c>
      <c r="T518" s="114" t="s">
        <v>229</v>
      </c>
      <c r="U518" s="109" t="s">
        <v>229</v>
      </c>
      <c r="V518" s="112" t="s">
        <v>229</v>
      </c>
      <c r="W518" s="111" t="s">
        <v>229</v>
      </c>
      <c r="X518" s="112" t="s">
        <v>229</v>
      </c>
      <c r="Y518" s="114" t="s">
        <v>229</v>
      </c>
      <c r="Z518" s="111" t="s">
        <v>229</v>
      </c>
    </row>
    <row r="519" ht="15.75" customHeight="1">
      <c r="A519" s="109"/>
      <c r="B519" s="110"/>
      <c r="C519" s="110"/>
      <c r="D519" s="109"/>
      <c r="E519" s="109"/>
      <c r="F519" s="109"/>
      <c r="G519" s="111"/>
      <c r="H519" s="111"/>
      <c r="I519" s="112"/>
      <c r="J519" s="112"/>
      <c r="K519" s="113"/>
      <c r="L519" s="109"/>
      <c r="M519" s="109"/>
      <c r="N519" s="113" t="s">
        <v>229</v>
      </c>
      <c r="O519" s="113" t="s">
        <v>229</v>
      </c>
      <c r="P519" s="113" t="s">
        <v>229</v>
      </c>
      <c r="Q519" s="113" t="s">
        <v>229</v>
      </c>
      <c r="R519" s="113" t="s">
        <v>229</v>
      </c>
      <c r="S519" s="113" t="s">
        <v>229</v>
      </c>
      <c r="T519" s="114" t="s">
        <v>229</v>
      </c>
      <c r="U519" s="109" t="s">
        <v>229</v>
      </c>
      <c r="V519" s="112" t="s">
        <v>229</v>
      </c>
      <c r="W519" s="111" t="s">
        <v>229</v>
      </c>
      <c r="X519" s="112" t="s">
        <v>229</v>
      </c>
      <c r="Y519" s="114" t="s">
        <v>229</v>
      </c>
      <c r="Z519" s="111" t="s">
        <v>229</v>
      </c>
    </row>
    <row r="520" ht="15.75" customHeight="1">
      <c r="A520" s="109"/>
      <c r="B520" s="110"/>
      <c r="C520" s="110"/>
      <c r="D520" s="109"/>
      <c r="E520" s="109"/>
      <c r="F520" s="109"/>
      <c r="G520" s="111"/>
      <c r="H520" s="111"/>
      <c r="I520" s="112"/>
      <c r="J520" s="112"/>
      <c r="K520" s="113"/>
      <c r="L520" s="109"/>
      <c r="M520" s="109"/>
      <c r="N520" s="113" t="s">
        <v>229</v>
      </c>
      <c r="O520" s="113" t="s">
        <v>229</v>
      </c>
      <c r="P520" s="113" t="s">
        <v>229</v>
      </c>
      <c r="Q520" s="113" t="s">
        <v>229</v>
      </c>
      <c r="R520" s="113" t="s">
        <v>229</v>
      </c>
      <c r="S520" s="113" t="s">
        <v>229</v>
      </c>
      <c r="T520" s="114" t="s">
        <v>229</v>
      </c>
      <c r="U520" s="109" t="s">
        <v>229</v>
      </c>
      <c r="V520" s="112" t="s">
        <v>229</v>
      </c>
      <c r="W520" s="111" t="s">
        <v>229</v>
      </c>
      <c r="X520" s="112" t="s">
        <v>229</v>
      </c>
      <c r="Y520" s="114" t="s">
        <v>229</v>
      </c>
      <c r="Z520" s="111" t="s">
        <v>229</v>
      </c>
    </row>
    <row r="521" ht="15.75" customHeight="1">
      <c r="A521" s="109"/>
      <c r="B521" s="110"/>
      <c r="C521" s="110"/>
      <c r="D521" s="109"/>
      <c r="E521" s="109"/>
      <c r="F521" s="109"/>
      <c r="G521" s="111"/>
      <c r="H521" s="111"/>
      <c r="I521" s="112"/>
      <c r="J521" s="112"/>
      <c r="K521" s="113"/>
      <c r="L521" s="109"/>
      <c r="M521" s="109"/>
      <c r="N521" s="113" t="s">
        <v>229</v>
      </c>
      <c r="O521" s="113" t="s">
        <v>229</v>
      </c>
      <c r="P521" s="113" t="s">
        <v>229</v>
      </c>
      <c r="Q521" s="113" t="s">
        <v>229</v>
      </c>
      <c r="R521" s="113" t="s">
        <v>229</v>
      </c>
      <c r="S521" s="113" t="s">
        <v>229</v>
      </c>
      <c r="T521" s="114" t="s">
        <v>229</v>
      </c>
      <c r="U521" s="109" t="s">
        <v>229</v>
      </c>
      <c r="V521" s="112" t="s">
        <v>229</v>
      </c>
      <c r="W521" s="111" t="s">
        <v>229</v>
      </c>
      <c r="X521" s="112" t="s">
        <v>229</v>
      </c>
      <c r="Y521" s="114" t="s">
        <v>229</v>
      </c>
      <c r="Z521" s="111" t="s">
        <v>229</v>
      </c>
    </row>
    <row r="522" ht="15.75" customHeight="1">
      <c r="A522" s="109"/>
      <c r="B522" s="110"/>
      <c r="C522" s="110"/>
      <c r="D522" s="109"/>
      <c r="E522" s="109"/>
      <c r="F522" s="109"/>
      <c r="G522" s="111"/>
      <c r="H522" s="111"/>
      <c r="I522" s="112"/>
      <c r="J522" s="112"/>
      <c r="K522" s="113"/>
      <c r="L522" s="109"/>
      <c r="M522" s="109"/>
      <c r="N522" s="113" t="s">
        <v>229</v>
      </c>
      <c r="O522" s="113" t="s">
        <v>229</v>
      </c>
      <c r="P522" s="113" t="s">
        <v>229</v>
      </c>
      <c r="Q522" s="113" t="s">
        <v>229</v>
      </c>
      <c r="R522" s="113" t="s">
        <v>229</v>
      </c>
      <c r="S522" s="113" t="s">
        <v>229</v>
      </c>
      <c r="T522" s="114" t="s">
        <v>229</v>
      </c>
      <c r="U522" s="109" t="s">
        <v>229</v>
      </c>
      <c r="V522" s="112" t="s">
        <v>229</v>
      </c>
      <c r="W522" s="111" t="s">
        <v>229</v>
      </c>
      <c r="X522" s="112" t="s">
        <v>229</v>
      </c>
      <c r="Y522" s="114" t="s">
        <v>229</v>
      </c>
      <c r="Z522" s="111" t="s">
        <v>229</v>
      </c>
    </row>
    <row r="523" ht="15.75" customHeight="1">
      <c r="A523" s="109"/>
      <c r="B523" s="110"/>
      <c r="C523" s="110"/>
      <c r="D523" s="109"/>
      <c r="E523" s="109"/>
      <c r="F523" s="109"/>
      <c r="G523" s="111"/>
      <c r="H523" s="111"/>
      <c r="I523" s="112"/>
      <c r="J523" s="112"/>
      <c r="K523" s="113"/>
      <c r="L523" s="109"/>
      <c r="M523" s="109"/>
      <c r="N523" s="113" t="s">
        <v>229</v>
      </c>
      <c r="O523" s="113" t="s">
        <v>229</v>
      </c>
      <c r="P523" s="113" t="s">
        <v>229</v>
      </c>
      <c r="Q523" s="113" t="s">
        <v>229</v>
      </c>
      <c r="R523" s="113" t="s">
        <v>229</v>
      </c>
      <c r="S523" s="113" t="s">
        <v>229</v>
      </c>
      <c r="T523" s="114" t="s">
        <v>229</v>
      </c>
      <c r="U523" s="109" t="s">
        <v>229</v>
      </c>
      <c r="V523" s="112" t="s">
        <v>229</v>
      </c>
      <c r="W523" s="111" t="s">
        <v>229</v>
      </c>
      <c r="X523" s="112" t="s">
        <v>229</v>
      </c>
      <c r="Y523" s="114" t="s">
        <v>229</v>
      </c>
      <c r="Z523" s="111" t="s">
        <v>229</v>
      </c>
    </row>
    <row r="524" ht="15.75" customHeight="1">
      <c r="A524" s="109"/>
      <c r="B524" s="110"/>
      <c r="C524" s="110"/>
      <c r="D524" s="109"/>
      <c r="E524" s="109"/>
      <c r="F524" s="109"/>
      <c r="G524" s="111"/>
      <c r="H524" s="111"/>
      <c r="I524" s="112"/>
      <c r="J524" s="112"/>
      <c r="K524" s="113"/>
      <c r="L524" s="109"/>
      <c r="M524" s="109"/>
      <c r="N524" s="113" t="s">
        <v>229</v>
      </c>
      <c r="O524" s="113" t="s">
        <v>229</v>
      </c>
      <c r="P524" s="113" t="s">
        <v>229</v>
      </c>
      <c r="Q524" s="113" t="s">
        <v>229</v>
      </c>
      <c r="R524" s="113" t="s">
        <v>229</v>
      </c>
      <c r="S524" s="113" t="s">
        <v>229</v>
      </c>
      <c r="T524" s="114" t="s">
        <v>229</v>
      </c>
      <c r="U524" s="109" t="s">
        <v>229</v>
      </c>
      <c r="V524" s="112" t="s">
        <v>229</v>
      </c>
      <c r="W524" s="111" t="s">
        <v>229</v>
      </c>
      <c r="X524" s="112" t="s">
        <v>229</v>
      </c>
      <c r="Y524" s="114" t="s">
        <v>229</v>
      </c>
      <c r="Z524" s="111" t="s">
        <v>229</v>
      </c>
    </row>
    <row r="525" ht="15.75" customHeight="1">
      <c r="A525" s="109"/>
      <c r="B525" s="110"/>
      <c r="C525" s="110"/>
      <c r="D525" s="109"/>
      <c r="E525" s="109"/>
      <c r="F525" s="109"/>
      <c r="G525" s="111"/>
      <c r="H525" s="111"/>
      <c r="I525" s="112"/>
      <c r="J525" s="112"/>
      <c r="K525" s="113"/>
      <c r="L525" s="109"/>
      <c r="M525" s="109"/>
      <c r="N525" s="113" t="s">
        <v>229</v>
      </c>
      <c r="O525" s="113" t="s">
        <v>229</v>
      </c>
      <c r="P525" s="113" t="s">
        <v>229</v>
      </c>
      <c r="Q525" s="113" t="s">
        <v>229</v>
      </c>
      <c r="R525" s="113" t="s">
        <v>229</v>
      </c>
      <c r="S525" s="113" t="s">
        <v>229</v>
      </c>
      <c r="T525" s="114" t="s">
        <v>229</v>
      </c>
      <c r="U525" s="109" t="s">
        <v>229</v>
      </c>
      <c r="V525" s="112" t="s">
        <v>229</v>
      </c>
      <c r="W525" s="111" t="s">
        <v>229</v>
      </c>
      <c r="X525" s="112" t="s">
        <v>229</v>
      </c>
      <c r="Y525" s="114" t="s">
        <v>229</v>
      </c>
      <c r="Z525" s="111" t="s">
        <v>229</v>
      </c>
    </row>
    <row r="526" ht="15.75" customHeight="1">
      <c r="A526" s="109"/>
      <c r="B526" s="110"/>
      <c r="C526" s="110"/>
      <c r="D526" s="109"/>
      <c r="E526" s="109"/>
      <c r="F526" s="109"/>
      <c r="G526" s="111"/>
      <c r="H526" s="111"/>
      <c r="I526" s="112"/>
      <c r="J526" s="112"/>
      <c r="K526" s="113"/>
      <c r="L526" s="109"/>
      <c r="M526" s="109"/>
      <c r="N526" s="113" t="s">
        <v>229</v>
      </c>
      <c r="O526" s="113" t="s">
        <v>229</v>
      </c>
      <c r="P526" s="113" t="s">
        <v>229</v>
      </c>
      <c r="Q526" s="113" t="s">
        <v>229</v>
      </c>
      <c r="R526" s="113" t="s">
        <v>229</v>
      </c>
      <c r="S526" s="113" t="s">
        <v>229</v>
      </c>
      <c r="T526" s="114" t="s">
        <v>229</v>
      </c>
      <c r="U526" s="109" t="s">
        <v>229</v>
      </c>
      <c r="V526" s="112" t="s">
        <v>229</v>
      </c>
      <c r="W526" s="111" t="s">
        <v>229</v>
      </c>
      <c r="X526" s="112" t="s">
        <v>229</v>
      </c>
      <c r="Y526" s="114" t="s">
        <v>229</v>
      </c>
      <c r="Z526" s="111" t="s">
        <v>229</v>
      </c>
    </row>
    <row r="527" ht="15.75" customHeight="1">
      <c r="A527" s="109"/>
      <c r="B527" s="110"/>
      <c r="C527" s="110"/>
      <c r="D527" s="109"/>
      <c r="E527" s="109"/>
      <c r="F527" s="109"/>
      <c r="G527" s="111"/>
      <c r="H527" s="111"/>
      <c r="I527" s="112"/>
      <c r="J527" s="112"/>
      <c r="K527" s="113"/>
      <c r="L527" s="109"/>
      <c r="M527" s="109"/>
      <c r="N527" s="113" t="s">
        <v>229</v>
      </c>
      <c r="O527" s="113" t="s">
        <v>229</v>
      </c>
      <c r="P527" s="113" t="s">
        <v>229</v>
      </c>
      <c r="Q527" s="113" t="s">
        <v>229</v>
      </c>
      <c r="R527" s="113" t="s">
        <v>229</v>
      </c>
      <c r="S527" s="113" t="s">
        <v>229</v>
      </c>
      <c r="T527" s="114" t="s">
        <v>229</v>
      </c>
      <c r="U527" s="109" t="s">
        <v>229</v>
      </c>
      <c r="V527" s="112" t="s">
        <v>229</v>
      </c>
      <c r="W527" s="111" t="s">
        <v>229</v>
      </c>
      <c r="X527" s="112" t="s">
        <v>229</v>
      </c>
      <c r="Y527" s="114" t="s">
        <v>229</v>
      </c>
      <c r="Z527" s="111" t="s">
        <v>229</v>
      </c>
    </row>
    <row r="528" ht="15.75" customHeight="1">
      <c r="A528" s="109"/>
      <c r="B528" s="110"/>
      <c r="C528" s="110"/>
      <c r="D528" s="109"/>
      <c r="E528" s="109"/>
      <c r="F528" s="109"/>
      <c r="G528" s="111"/>
      <c r="H528" s="111"/>
      <c r="I528" s="112"/>
      <c r="J528" s="112"/>
      <c r="K528" s="113"/>
      <c r="L528" s="109"/>
      <c r="M528" s="109"/>
      <c r="N528" s="113" t="s">
        <v>229</v>
      </c>
      <c r="O528" s="113" t="s">
        <v>229</v>
      </c>
      <c r="P528" s="113" t="s">
        <v>229</v>
      </c>
      <c r="Q528" s="113" t="s">
        <v>229</v>
      </c>
      <c r="R528" s="113" t="s">
        <v>229</v>
      </c>
      <c r="S528" s="113" t="s">
        <v>229</v>
      </c>
      <c r="T528" s="114" t="s">
        <v>229</v>
      </c>
      <c r="U528" s="109" t="s">
        <v>229</v>
      </c>
      <c r="V528" s="112" t="s">
        <v>229</v>
      </c>
      <c r="W528" s="111" t="s">
        <v>229</v>
      </c>
      <c r="X528" s="112" t="s">
        <v>229</v>
      </c>
      <c r="Y528" s="114" t="s">
        <v>229</v>
      </c>
      <c r="Z528" s="111" t="s">
        <v>229</v>
      </c>
    </row>
    <row r="529" ht="15.75" customHeight="1">
      <c r="A529" s="109"/>
      <c r="B529" s="110"/>
      <c r="C529" s="110"/>
      <c r="D529" s="109"/>
      <c r="E529" s="109"/>
      <c r="F529" s="109"/>
      <c r="G529" s="111"/>
      <c r="H529" s="111"/>
      <c r="I529" s="112"/>
      <c r="J529" s="112"/>
      <c r="K529" s="113"/>
      <c r="L529" s="109"/>
      <c r="M529" s="109"/>
      <c r="N529" s="113" t="s">
        <v>229</v>
      </c>
      <c r="O529" s="113" t="s">
        <v>229</v>
      </c>
      <c r="P529" s="113" t="s">
        <v>229</v>
      </c>
      <c r="Q529" s="113" t="s">
        <v>229</v>
      </c>
      <c r="R529" s="113" t="s">
        <v>229</v>
      </c>
      <c r="S529" s="113" t="s">
        <v>229</v>
      </c>
      <c r="T529" s="114" t="s">
        <v>229</v>
      </c>
      <c r="U529" s="109" t="s">
        <v>229</v>
      </c>
      <c r="V529" s="112" t="s">
        <v>229</v>
      </c>
      <c r="W529" s="111" t="s">
        <v>229</v>
      </c>
      <c r="X529" s="112" t="s">
        <v>229</v>
      </c>
      <c r="Y529" s="114" t="s">
        <v>229</v>
      </c>
      <c r="Z529" s="111" t="s">
        <v>229</v>
      </c>
    </row>
    <row r="530" ht="15.75" customHeight="1">
      <c r="A530" s="109"/>
      <c r="B530" s="110"/>
      <c r="C530" s="110"/>
      <c r="D530" s="109"/>
      <c r="E530" s="109"/>
      <c r="F530" s="109"/>
      <c r="G530" s="111"/>
      <c r="H530" s="111"/>
      <c r="I530" s="112"/>
      <c r="J530" s="112"/>
      <c r="K530" s="113"/>
      <c r="L530" s="109"/>
      <c r="M530" s="109"/>
      <c r="N530" s="113" t="s">
        <v>229</v>
      </c>
      <c r="O530" s="113" t="s">
        <v>229</v>
      </c>
      <c r="P530" s="113" t="s">
        <v>229</v>
      </c>
      <c r="Q530" s="113" t="s">
        <v>229</v>
      </c>
      <c r="R530" s="113" t="s">
        <v>229</v>
      </c>
      <c r="S530" s="113" t="s">
        <v>229</v>
      </c>
      <c r="T530" s="114" t="s">
        <v>229</v>
      </c>
      <c r="U530" s="109" t="s">
        <v>229</v>
      </c>
      <c r="V530" s="112" t="s">
        <v>229</v>
      </c>
      <c r="W530" s="111" t="s">
        <v>229</v>
      </c>
      <c r="X530" s="112" t="s">
        <v>229</v>
      </c>
      <c r="Y530" s="114" t="s">
        <v>229</v>
      </c>
      <c r="Z530" s="111" t="s">
        <v>229</v>
      </c>
    </row>
    <row r="531" ht="15.75" customHeight="1">
      <c r="A531" s="109"/>
      <c r="B531" s="110"/>
      <c r="C531" s="110"/>
      <c r="D531" s="109"/>
      <c r="E531" s="109"/>
      <c r="F531" s="109"/>
      <c r="G531" s="111"/>
      <c r="H531" s="111"/>
      <c r="I531" s="112"/>
      <c r="J531" s="112"/>
      <c r="K531" s="113"/>
      <c r="L531" s="109"/>
      <c r="M531" s="109"/>
      <c r="N531" s="113" t="s">
        <v>229</v>
      </c>
      <c r="O531" s="113" t="s">
        <v>229</v>
      </c>
      <c r="P531" s="113" t="s">
        <v>229</v>
      </c>
      <c r="Q531" s="113" t="s">
        <v>229</v>
      </c>
      <c r="R531" s="113" t="s">
        <v>229</v>
      </c>
      <c r="S531" s="113" t="s">
        <v>229</v>
      </c>
      <c r="T531" s="114" t="s">
        <v>229</v>
      </c>
      <c r="U531" s="109" t="s">
        <v>229</v>
      </c>
      <c r="V531" s="112" t="s">
        <v>229</v>
      </c>
      <c r="W531" s="111" t="s">
        <v>229</v>
      </c>
      <c r="X531" s="112" t="s">
        <v>229</v>
      </c>
      <c r="Y531" s="114" t="s">
        <v>229</v>
      </c>
      <c r="Z531" s="111" t="s">
        <v>229</v>
      </c>
    </row>
    <row r="532" ht="15.75" customHeight="1">
      <c r="A532" s="109"/>
      <c r="B532" s="110"/>
      <c r="C532" s="110"/>
      <c r="D532" s="109"/>
      <c r="E532" s="109"/>
      <c r="F532" s="109"/>
      <c r="G532" s="111"/>
      <c r="H532" s="111"/>
      <c r="I532" s="112"/>
      <c r="J532" s="112"/>
      <c r="K532" s="113"/>
      <c r="L532" s="109"/>
      <c r="M532" s="109"/>
      <c r="N532" s="113" t="s">
        <v>229</v>
      </c>
      <c r="O532" s="113" t="s">
        <v>229</v>
      </c>
      <c r="P532" s="113" t="s">
        <v>229</v>
      </c>
      <c r="Q532" s="113" t="s">
        <v>229</v>
      </c>
      <c r="R532" s="113" t="s">
        <v>229</v>
      </c>
      <c r="S532" s="113" t="s">
        <v>229</v>
      </c>
      <c r="T532" s="114" t="s">
        <v>229</v>
      </c>
      <c r="U532" s="109" t="s">
        <v>229</v>
      </c>
      <c r="V532" s="112" t="s">
        <v>229</v>
      </c>
      <c r="W532" s="111" t="s">
        <v>229</v>
      </c>
      <c r="X532" s="112" t="s">
        <v>229</v>
      </c>
      <c r="Y532" s="114" t="s">
        <v>229</v>
      </c>
      <c r="Z532" s="111" t="s">
        <v>229</v>
      </c>
    </row>
    <row r="533" ht="15.75" customHeight="1">
      <c r="A533" s="109"/>
      <c r="B533" s="110"/>
      <c r="C533" s="110"/>
      <c r="D533" s="109"/>
      <c r="E533" s="109"/>
      <c r="F533" s="109"/>
      <c r="G533" s="111"/>
      <c r="H533" s="111"/>
      <c r="I533" s="112"/>
      <c r="J533" s="112"/>
      <c r="K533" s="113"/>
      <c r="L533" s="109"/>
      <c r="M533" s="109"/>
      <c r="N533" s="113" t="s">
        <v>229</v>
      </c>
      <c r="O533" s="113" t="s">
        <v>229</v>
      </c>
      <c r="P533" s="113" t="s">
        <v>229</v>
      </c>
      <c r="Q533" s="113" t="s">
        <v>229</v>
      </c>
      <c r="R533" s="113" t="s">
        <v>229</v>
      </c>
      <c r="S533" s="113" t="s">
        <v>229</v>
      </c>
      <c r="T533" s="114" t="s">
        <v>229</v>
      </c>
      <c r="U533" s="109" t="s">
        <v>229</v>
      </c>
      <c r="V533" s="112" t="s">
        <v>229</v>
      </c>
      <c r="W533" s="111" t="s">
        <v>229</v>
      </c>
      <c r="X533" s="112" t="s">
        <v>229</v>
      </c>
      <c r="Y533" s="114" t="s">
        <v>229</v>
      </c>
      <c r="Z533" s="111" t="s">
        <v>229</v>
      </c>
    </row>
    <row r="534" ht="15.75" customHeight="1">
      <c r="A534" s="109"/>
      <c r="B534" s="110"/>
      <c r="C534" s="110"/>
      <c r="D534" s="109"/>
      <c r="E534" s="109"/>
      <c r="F534" s="109"/>
      <c r="G534" s="111"/>
      <c r="H534" s="111"/>
      <c r="I534" s="112"/>
      <c r="J534" s="112"/>
      <c r="K534" s="113"/>
      <c r="L534" s="109"/>
      <c r="M534" s="109"/>
      <c r="N534" s="113" t="s">
        <v>229</v>
      </c>
      <c r="O534" s="113" t="s">
        <v>229</v>
      </c>
      <c r="P534" s="113" t="s">
        <v>229</v>
      </c>
      <c r="Q534" s="113" t="s">
        <v>229</v>
      </c>
      <c r="R534" s="113" t="s">
        <v>229</v>
      </c>
      <c r="S534" s="113" t="s">
        <v>229</v>
      </c>
      <c r="T534" s="114" t="s">
        <v>229</v>
      </c>
      <c r="U534" s="109" t="s">
        <v>229</v>
      </c>
      <c r="V534" s="112" t="s">
        <v>229</v>
      </c>
      <c r="W534" s="111" t="s">
        <v>229</v>
      </c>
      <c r="X534" s="112" t="s">
        <v>229</v>
      </c>
      <c r="Y534" s="114" t="s">
        <v>229</v>
      </c>
      <c r="Z534" s="111" t="s">
        <v>229</v>
      </c>
    </row>
    <row r="535" ht="15.75" customHeight="1">
      <c r="A535" s="109"/>
      <c r="B535" s="110"/>
      <c r="C535" s="110"/>
      <c r="D535" s="109"/>
      <c r="E535" s="109"/>
      <c r="F535" s="109"/>
      <c r="G535" s="111"/>
      <c r="H535" s="111"/>
      <c r="I535" s="112"/>
      <c r="J535" s="112"/>
      <c r="K535" s="113"/>
      <c r="L535" s="109"/>
      <c r="M535" s="109"/>
      <c r="N535" s="113" t="s">
        <v>229</v>
      </c>
      <c r="O535" s="113" t="s">
        <v>229</v>
      </c>
      <c r="P535" s="113" t="s">
        <v>229</v>
      </c>
      <c r="Q535" s="113" t="s">
        <v>229</v>
      </c>
      <c r="R535" s="113" t="s">
        <v>229</v>
      </c>
      <c r="S535" s="113" t="s">
        <v>229</v>
      </c>
      <c r="T535" s="114" t="s">
        <v>229</v>
      </c>
      <c r="U535" s="109" t="s">
        <v>229</v>
      </c>
      <c r="V535" s="112" t="s">
        <v>229</v>
      </c>
      <c r="W535" s="111" t="s">
        <v>229</v>
      </c>
      <c r="X535" s="112" t="s">
        <v>229</v>
      </c>
      <c r="Y535" s="114" t="s">
        <v>229</v>
      </c>
      <c r="Z535" s="111" t="s">
        <v>229</v>
      </c>
    </row>
    <row r="536" ht="15.75" customHeight="1">
      <c r="A536" s="109"/>
      <c r="B536" s="110"/>
      <c r="C536" s="110"/>
      <c r="D536" s="109"/>
      <c r="E536" s="109"/>
      <c r="F536" s="109"/>
      <c r="G536" s="111"/>
      <c r="H536" s="111"/>
      <c r="I536" s="112"/>
      <c r="J536" s="112"/>
      <c r="K536" s="113"/>
      <c r="L536" s="109"/>
      <c r="M536" s="109"/>
      <c r="N536" s="113" t="s">
        <v>229</v>
      </c>
      <c r="O536" s="113" t="s">
        <v>229</v>
      </c>
      <c r="P536" s="113" t="s">
        <v>229</v>
      </c>
      <c r="Q536" s="113" t="s">
        <v>229</v>
      </c>
      <c r="R536" s="113" t="s">
        <v>229</v>
      </c>
      <c r="S536" s="113" t="s">
        <v>229</v>
      </c>
      <c r="T536" s="114" t="s">
        <v>229</v>
      </c>
      <c r="U536" s="109" t="s">
        <v>229</v>
      </c>
      <c r="V536" s="112" t="s">
        <v>229</v>
      </c>
      <c r="W536" s="111" t="s">
        <v>229</v>
      </c>
      <c r="X536" s="112" t="s">
        <v>229</v>
      </c>
      <c r="Y536" s="114" t="s">
        <v>229</v>
      </c>
      <c r="Z536" s="111" t="s">
        <v>229</v>
      </c>
    </row>
    <row r="537" ht="15.75" customHeight="1">
      <c r="A537" s="109"/>
      <c r="B537" s="110"/>
      <c r="C537" s="110"/>
      <c r="D537" s="109"/>
      <c r="E537" s="109"/>
      <c r="F537" s="109"/>
      <c r="G537" s="111"/>
      <c r="H537" s="111"/>
      <c r="I537" s="112"/>
      <c r="J537" s="112"/>
      <c r="K537" s="113"/>
      <c r="L537" s="109"/>
      <c r="M537" s="109"/>
      <c r="N537" s="113" t="s">
        <v>229</v>
      </c>
      <c r="O537" s="113" t="s">
        <v>229</v>
      </c>
      <c r="P537" s="113" t="s">
        <v>229</v>
      </c>
      <c r="Q537" s="113" t="s">
        <v>229</v>
      </c>
      <c r="R537" s="113" t="s">
        <v>229</v>
      </c>
      <c r="S537" s="113" t="s">
        <v>229</v>
      </c>
      <c r="T537" s="114" t="s">
        <v>229</v>
      </c>
      <c r="U537" s="109" t="s">
        <v>229</v>
      </c>
      <c r="V537" s="112" t="s">
        <v>229</v>
      </c>
      <c r="W537" s="111" t="s">
        <v>229</v>
      </c>
      <c r="X537" s="112" t="s">
        <v>229</v>
      </c>
      <c r="Y537" s="114" t="s">
        <v>229</v>
      </c>
      <c r="Z537" s="111" t="s">
        <v>229</v>
      </c>
    </row>
    <row r="538" ht="15.75" customHeight="1">
      <c r="A538" s="109"/>
      <c r="B538" s="110"/>
      <c r="C538" s="110"/>
      <c r="D538" s="109"/>
      <c r="E538" s="109"/>
      <c r="F538" s="109"/>
      <c r="G538" s="111"/>
      <c r="H538" s="111"/>
      <c r="I538" s="112"/>
      <c r="J538" s="112"/>
      <c r="K538" s="113"/>
      <c r="L538" s="109"/>
      <c r="M538" s="109"/>
      <c r="N538" s="113" t="s">
        <v>229</v>
      </c>
      <c r="O538" s="113" t="s">
        <v>229</v>
      </c>
      <c r="P538" s="113" t="s">
        <v>229</v>
      </c>
      <c r="Q538" s="113" t="s">
        <v>229</v>
      </c>
      <c r="R538" s="113" t="s">
        <v>229</v>
      </c>
      <c r="S538" s="113" t="s">
        <v>229</v>
      </c>
      <c r="T538" s="114" t="s">
        <v>229</v>
      </c>
      <c r="U538" s="109" t="s">
        <v>229</v>
      </c>
      <c r="V538" s="112" t="s">
        <v>229</v>
      </c>
      <c r="W538" s="111" t="s">
        <v>229</v>
      </c>
      <c r="X538" s="112" t="s">
        <v>229</v>
      </c>
      <c r="Y538" s="114" t="s">
        <v>229</v>
      </c>
      <c r="Z538" s="111" t="s">
        <v>229</v>
      </c>
    </row>
    <row r="539" ht="15.75" customHeight="1">
      <c r="A539" s="109"/>
      <c r="B539" s="110"/>
      <c r="C539" s="110"/>
      <c r="D539" s="109"/>
      <c r="E539" s="109"/>
      <c r="F539" s="109"/>
      <c r="G539" s="111"/>
      <c r="H539" s="111"/>
      <c r="I539" s="112"/>
      <c r="J539" s="112"/>
      <c r="K539" s="113"/>
      <c r="L539" s="109"/>
      <c r="M539" s="109"/>
      <c r="N539" s="113" t="s">
        <v>229</v>
      </c>
      <c r="O539" s="113" t="s">
        <v>229</v>
      </c>
      <c r="P539" s="113" t="s">
        <v>229</v>
      </c>
      <c r="Q539" s="113" t="s">
        <v>229</v>
      </c>
      <c r="R539" s="113" t="s">
        <v>229</v>
      </c>
      <c r="S539" s="113" t="s">
        <v>229</v>
      </c>
      <c r="T539" s="114" t="s">
        <v>229</v>
      </c>
      <c r="U539" s="109" t="s">
        <v>229</v>
      </c>
      <c r="V539" s="112" t="s">
        <v>229</v>
      </c>
      <c r="W539" s="111" t="s">
        <v>229</v>
      </c>
      <c r="X539" s="112" t="s">
        <v>229</v>
      </c>
      <c r="Y539" s="114" t="s">
        <v>229</v>
      </c>
      <c r="Z539" s="111" t="s">
        <v>229</v>
      </c>
    </row>
    <row r="540" ht="15.75" customHeight="1">
      <c r="A540" s="109"/>
      <c r="B540" s="110"/>
      <c r="C540" s="110"/>
      <c r="D540" s="109"/>
      <c r="E540" s="109"/>
      <c r="F540" s="109"/>
      <c r="G540" s="111"/>
      <c r="H540" s="111"/>
      <c r="I540" s="112"/>
      <c r="J540" s="112"/>
      <c r="K540" s="113"/>
      <c r="L540" s="109"/>
      <c r="M540" s="109"/>
      <c r="N540" s="113" t="s">
        <v>229</v>
      </c>
      <c r="O540" s="113" t="s">
        <v>229</v>
      </c>
      <c r="P540" s="113" t="s">
        <v>229</v>
      </c>
      <c r="Q540" s="113" t="s">
        <v>229</v>
      </c>
      <c r="R540" s="113" t="s">
        <v>229</v>
      </c>
      <c r="S540" s="113" t="s">
        <v>229</v>
      </c>
      <c r="T540" s="114" t="s">
        <v>229</v>
      </c>
      <c r="U540" s="109" t="s">
        <v>229</v>
      </c>
      <c r="V540" s="112" t="s">
        <v>229</v>
      </c>
      <c r="W540" s="111" t="s">
        <v>229</v>
      </c>
      <c r="X540" s="112" t="s">
        <v>229</v>
      </c>
      <c r="Y540" s="114" t="s">
        <v>229</v>
      </c>
      <c r="Z540" s="111" t="s">
        <v>229</v>
      </c>
    </row>
    <row r="541" ht="15.75" customHeight="1">
      <c r="A541" s="109"/>
      <c r="B541" s="110"/>
      <c r="C541" s="110"/>
      <c r="D541" s="109"/>
      <c r="E541" s="109"/>
      <c r="F541" s="109"/>
      <c r="G541" s="111"/>
      <c r="H541" s="111"/>
      <c r="I541" s="112"/>
      <c r="J541" s="112"/>
      <c r="K541" s="113"/>
      <c r="L541" s="109"/>
      <c r="M541" s="109"/>
      <c r="N541" s="113" t="s">
        <v>229</v>
      </c>
      <c r="O541" s="113" t="s">
        <v>229</v>
      </c>
      <c r="P541" s="113" t="s">
        <v>229</v>
      </c>
      <c r="Q541" s="113" t="s">
        <v>229</v>
      </c>
      <c r="R541" s="113" t="s">
        <v>229</v>
      </c>
      <c r="S541" s="113" t="s">
        <v>229</v>
      </c>
      <c r="T541" s="114" t="s">
        <v>229</v>
      </c>
      <c r="U541" s="109" t="s">
        <v>229</v>
      </c>
      <c r="V541" s="112" t="s">
        <v>229</v>
      </c>
      <c r="W541" s="111" t="s">
        <v>229</v>
      </c>
      <c r="X541" s="112" t="s">
        <v>229</v>
      </c>
      <c r="Y541" s="114" t="s">
        <v>229</v>
      </c>
      <c r="Z541" s="111" t="s">
        <v>229</v>
      </c>
    </row>
    <row r="542" ht="15.75" customHeight="1">
      <c r="A542" s="109"/>
      <c r="B542" s="110"/>
      <c r="C542" s="110"/>
      <c r="D542" s="109"/>
      <c r="E542" s="109"/>
      <c r="F542" s="109"/>
      <c r="G542" s="111"/>
      <c r="H542" s="111"/>
      <c r="I542" s="112"/>
      <c r="J542" s="112"/>
      <c r="K542" s="113"/>
      <c r="L542" s="109"/>
      <c r="M542" s="109"/>
      <c r="N542" s="113" t="s">
        <v>229</v>
      </c>
      <c r="O542" s="113" t="s">
        <v>229</v>
      </c>
      <c r="P542" s="113" t="s">
        <v>229</v>
      </c>
      <c r="Q542" s="113" t="s">
        <v>229</v>
      </c>
      <c r="R542" s="113" t="s">
        <v>229</v>
      </c>
      <c r="S542" s="113" t="s">
        <v>229</v>
      </c>
      <c r="T542" s="114" t="s">
        <v>229</v>
      </c>
      <c r="U542" s="109" t="s">
        <v>229</v>
      </c>
      <c r="V542" s="112" t="s">
        <v>229</v>
      </c>
      <c r="W542" s="111" t="s">
        <v>229</v>
      </c>
      <c r="X542" s="112" t="s">
        <v>229</v>
      </c>
      <c r="Y542" s="114" t="s">
        <v>229</v>
      </c>
      <c r="Z542" s="111" t="s">
        <v>229</v>
      </c>
    </row>
    <row r="543" ht="15.75" customHeight="1">
      <c r="A543" s="109"/>
      <c r="B543" s="110"/>
      <c r="C543" s="110"/>
      <c r="D543" s="109"/>
      <c r="E543" s="109"/>
      <c r="F543" s="109"/>
      <c r="G543" s="111"/>
      <c r="H543" s="111"/>
      <c r="I543" s="112"/>
      <c r="J543" s="112"/>
      <c r="K543" s="113"/>
      <c r="L543" s="109"/>
      <c r="M543" s="109"/>
      <c r="N543" s="113" t="s">
        <v>229</v>
      </c>
      <c r="O543" s="113" t="s">
        <v>229</v>
      </c>
      <c r="P543" s="113" t="s">
        <v>229</v>
      </c>
      <c r="Q543" s="113" t="s">
        <v>229</v>
      </c>
      <c r="R543" s="113" t="s">
        <v>229</v>
      </c>
      <c r="S543" s="113" t="s">
        <v>229</v>
      </c>
      <c r="T543" s="114" t="s">
        <v>229</v>
      </c>
      <c r="U543" s="109" t="s">
        <v>229</v>
      </c>
      <c r="V543" s="112" t="s">
        <v>229</v>
      </c>
      <c r="W543" s="111" t="s">
        <v>229</v>
      </c>
      <c r="X543" s="112" t="s">
        <v>229</v>
      </c>
      <c r="Y543" s="114" t="s">
        <v>229</v>
      </c>
      <c r="Z543" s="111" t="s">
        <v>229</v>
      </c>
    </row>
    <row r="544" ht="15.75" customHeight="1">
      <c r="A544" s="109"/>
      <c r="B544" s="110"/>
      <c r="C544" s="110"/>
      <c r="D544" s="109"/>
      <c r="E544" s="109"/>
      <c r="F544" s="109"/>
      <c r="G544" s="111"/>
      <c r="H544" s="111"/>
      <c r="I544" s="112"/>
      <c r="J544" s="112"/>
      <c r="K544" s="113"/>
      <c r="L544" s="109"/>
      <c r="M544" s="109"/>
      <c r="N544" s="113" t="s">
        <v>229</v>
      </c>
      <c r="O544" s="113" t="s">
        <v>229</v>
      </c>
      <c r="P544" s="113" t="s">
        <v>229</v>
      </c>
      <c r="Q544" s="113" t="s">
        <v>229</v>
      </c>
      <c r="R544" s="113" t="s">
        <v>229</v>
      </c>
      <c r="S544" s="113" t="s">
        <v>229</v>
      </c>
      <c r="T544" s="114" t="s">
        <v>229</v>
      </c>
      <c r="U544" s="109" t="s">
        <v>229</v>
      </c>
      <c r="V544" s="112" t="s">
        <v>229</v>
      </c>
      <c r="W544" s="111" t="s">
        <v>229</v>
      </c>
      <c r="X544" s="112" t="s">
        <v>229</v>
      </c>
      <c r="Y544" s="114" t="s">
        <v>229</v>
      </c>
      <c r="Z544" s="111" t="s">
        <v>229</v>
      </c>
    </row>
    <row r="545" ht="15.75" customHeight="1">
      <c r="A545" s="109"/>
      <c r="B545" s="110"/>
      <c r="C545" s="110"/>
      <c r="D545" s="109"/>
      <c r="E545" s="109"/>
      <c r="F545" s="109"/>
      <c r="G545" s="111"/>
      <c r="H545" s="111"/>
      <c r="I545" s="112"/>
      <c r="J545" s="112"/>
      <c r="K545" s="113"/>
      <c r="L545" s="109"/>
      <c r="M545" s="109"/>
      <c r="N545" s="113" t="s">
        <v>229</v>
      </c>
      <c r="O545" s="113" t="s">
        <v>229</v>
      </c>
      <c r="P545" s="113" t="s">
        <v>229</v>
      </c>
      <c r="Q545" s="113" t="s">
        <v>229</v>
      </c>
      <c r="R545" s="113" t="s">
        <v>229</v>
      </c>
      <c r="S545" s="113" t="s">
        <v>229</v>
      </c>
      <c r="T545" s="114" t="s">
        <v>229</v>
      </c>
      <c r="U545" s="109" t="s">
        <v>229</v>
      </c>
      <c r="V545" s="112" t="s">
        <v>229</v>
      </c>
      <c r="W545" s="111" t="s">
        <v>229</v>
      </c>
      <c r="X545" s="112" t="s">
        <v>229</v>
      </c>
      <c r="Y545" s="114" t="s">
        <v>229</v>
      </c>
      <c r="Z545" s="111" t="s">
        <v>229</v>
      </c>
    </row>
    <row r="546" ht="15.75" customHeight="1">
      <c r="A546" s="109"/>
      <c r="B546" s="110"/>
      <c r="C546" s="110"/>
      <c r="D546" s="109"/>
      <c r="E546" s="109"/>
      <c r="F546" s="109"/>
      <c r="G546" s="111"/>
      <c r="H546" s="111"/>
      <c r="I546" s="112"/>
      <c r="J546" s="112"/>
      <c r="K546" s="113"/>
      <c r="L546" s="109"/>
      <c r="M546" s="109"/>
      <c r="N546" s="113" t="s">
        <v>229</v>
      </c>
      <c r="O546" s="113" t="s">
        <v>229</v>
      </c>
      <c r="P546" s="113" t="s">
        <v>229</v>
      </c>
      <c r="Q546" s="113" t="s">
        <v>229</v>
      </c>
      <c r="R546" s="113" t="s">
        <v>229</v>
      </c>
      <c r="S546" s="113" t="s">
        <v>229</v>
      </c>
      <c r="T546" s="114" t="s">
        <v>229</v>
      </c>
      <c r="U546" s="109" t="s">
        <v>229</v>
      </c>
      <c r="V546" s="112" t="s">
        <v>229</v>
      </c>
      <c r="W546" s="111" t="s">
        <v>229</v>
      </c>
      <c r="X546" s="112" t="s">
        <v>229</v>
      </c>
      <c r="Y546" s="114" t="s">
        <v>229</v>
      </c>
      <c r="Z546" s="111" t="s">
        <v>229</v>
      </c>
    </row>
    <row r="547" ht="15.75" customHeight="1">
      <c r="A547" s="109"/>
      <c r="B547" s="110"/>
      <c r="C547" s="110"/>
      <c r="D547" s="109"/>
      <c r="E547" s="109"/>
      <c r="F547" s="109"/>
      <c r="G547" s="111"/>
      <c r="H547" s="111"/>
      <c r="I547" s="112"/>
      <c r="J547" s="112"/>
      <c r="K547" s="113"/>
      <c r="L547" s="109"/>
      <c r="M547" s="109"/>
      <c r="N547" s="113" t="s">
        <v>229</v>
      </c>
      <c r="O547" s="113" t="s">
        <v>229</v>
      </c>
      <c r="P547" s="113" t="s">
        <v>229</v>
      </c>
      <c r="Q547" s="113" t="s">
        <v>229</v>
      </c>
      <c r="R547" s="113" t="s">
        <v>229</v>
      </c>
      <c r="S547" s="113" t="s">
        <v>229</v>
      </c>
      <c r="T547" s="114" t="s">
        <v>229</v>
      </c>
      <c r="U547" s="109" t="s">
        <v>229</v>
      </c>
      <c r="V547" s="112" t="s">
        <v>229</v>
      </c>
      <c r="W547" s="111" t="s">
        <v>229</v>
      </c>
      <c r="X547" s="112" t="s">
        <v>229</v>
      </c>
      <c r="Y547" s="114" t="s">
        <v>229</v>
      </c>
      <c r="Z547" s="111" t="s">
        <v>229</v>
      </c>
    </row>
    <row r="548" ht="15.75" customHeight="1">
      <c r="A548" s="109"/>
      <c r="B548" s="110"/>
      <c r="C548" s="110"/>
      <c r="D548" s="109"/>
      <c r="E548" s="109"/>
      <c r="F548" s="109"/>
      <c r="G548" s="111"/>
      <c r="H548" s="111"/>
      <c r="I548" s="112"/>
      <c r="J548" s="112"/>
      <c r="K548" s="113"/>
      <c r="L548" s="109"/>
      <c r="M548" s="109"/>
      <c r="N548" s="113" t="s">
        <v>229</v>
      </c>
      <c r="O548" s="113" t="s">
        <v>229</v>
      </c>
      <c r="P548" s="113" t="s">
        <v>229</v>
      </c>
      <c r="Q548" s="113" t="s">
        <v>229</v>
      </c>
      <c r="R548" s="113" t="s">
        <v>229</v>
      </c>
      <c r="S548" s="113" t="s">
        <v>229</v>
      </c>
      <c r="T548" s="114" t="s">
        <v>229</v>
      </c>
      <c r="U548" s="109" t="s">
        <v>229</v>
      </c>
      <c r="V548" s="112" t="s">
        <v>229</v>
      </c>
      <c r="W548" s="111" t="s">
        <v>229</v>
      </c>
      <c r="X548" s="112" t="s">
        <v>229</v>
      </c>
      <c r="Y548" s="114" t="s">
        <v>229</v>
      </c>
      <c r="Z548" s="111" t="s">
        <v>229</v>
      </c>
    </row>
    <row r="549" ht="15.75" customHeight="1">
      <c r="A549" s="109"/>
      <c r="B549" s="110"/>
      <c r="C549" s="110"/>
      <c r="D549" s="109"/>
      <c r="E549" s="109"/>
      <c r="F549" s="109"/>
      <c r="G549" s="111"/>
      <c r="H549" s="111"/>
      <c r="I549" s="112"/>
      <c r="J549" s="112"/>
      <c r="K549" s="113"/>
      <c r="L549" s="109"/>
      <c r="M549" s="109"/>
      <c r="N549" s="113" t="s">
        <v>229</v>
      </c>
      <c r="O549" s="113" t="s">
        <v>229</v>
      </c>
      <c r="P549" s="113" t="s">
        <v>229</v>
      </c>
      <c r="Q549" s="113" t="s">
        <v>229</v>
      </c>
      <c r="R549" s="113" t="s">
        <v>229</v>
      </c>
      <c r="S549" s="113" t="s">
        <v>229</v>
      </c>
      <c r="T549" s="114" t="s">
        <v>229</v>
      </c>
      <c r="U549" s="109" t="s">
        <v>229</v>
      </c>
      <c r="V549" s="112" t="s">
        <v>229</v>
      </c>
      <c r="W549" s="111" t="s">
        <v>229</v>
      </c>
      <c r="X549" s="112" t="s">
        <v>229</v>
      </c>
      <c r="Y549" s="114" t="s">
        <v>229</v>
      </c>
      <c r="Z549" s="111" t="s">
        <v>229</v>
      </c>
    </row>
    <row r="550" ht="15.75" customHeight="1">
      <c r="A550" s="109"/>
      <c r="B550" s="110"/>
      <c r="C550" s="110"/>
      <c r="D550" s="109"/>
      <c r="E550" s="109"/>
      <c r="F550" s="109"/>
      <c r="G550" s="111"/>
      <c r="H550" s="111"/>
      <c r="I550" s="112"/>
      <c r="J550" s="112"/>
      <c r="K550" s="113"/>
      <c r="L550" s="109"/>
      <c r="M550" s="109"/>
      <c r="N550" s="113" t="s">
        <v>229</v>
      </c>
      <c r="O550" s="113" t="s">
        <v>229</v>
      </c>
      <c r="P550" s="113" t="s">
        <v>229</v>
      </c>
      <c r="Q550" s="113" t="s">
        <v>229</v>
      </c>
      <c r="R550" s="113" t="s">
        <v>229</v>
      </c>
      <c r="S550" s="113" t="s">
        <v>229</v>
      </c>
      <c r="T550" s="114" t="s">
        <v>229</v>
      </c>
      <c r="U550" s="109" t="s">
        <v>229</v>
      </c>
      <c r="V550" s="112" t="s">
        <v>229</v>
      </c>
      <c r="W550" s="111" t="s">
        <v>229</v>
      </c>
      <c r="X550" s="112" t="s">
        <v>229</v>
      </c>
      <c r="Y550" s="114" t="s">
        <v>229</v>
      </c>
      <c r="Z550" s="111" t="s">
        <v>229</v>
      </c>
    </row>
    <row r="551" ht="15.75" customHeight="1">
      <c r="A551" s="109"/>
      <c r="B551" s="110"/>
      <c r="C551" s="110"/>
      <c r="D551" s="109"/>
      <c r="E551" s="109"/>
      <c r="F551" s="109"/>
      <c r="G551" s="111"/>
      <c r="H551" s="111"/>
      <c r="I551" s="112"/>
      <c r="J551" s="112"/>
      <c r="K551" s="113"/>
      <c r="L551" s="109"/>
      <c r="M551" s="109"/>
      <c r="N551" s="113" t="s">
        <v>229</v>
      </c>
      <c r="O551" s="113" t="s">
        <v>229</v>
      </c>
      <c r="P551" s="113" t="s">
        <v>229</v>
      </c>
      <c r="Q551" s="113" t="s">
        <v>229</v>
      </c>
      <c r="R551" s="113" t="s">
        <v>229</v>
      </c>
      <c r="S551" s="113" t="s">
        <v>229</v>
      </c>
      <c r="T551" s="114" t="s">
        <v>229</v>
      </c>
      <c r="U551" s="109" t="s">
        <v>229</v>
      </c>
      <c r="V551" s="112" t="s">
        <v>229</v>
      </c>
      <c r="W551" s="111" t="s">
        <v>229</v>
      </c>
      <c r="X551" s="112" t="s">
        <v>229</v>
      </c>
      <c r="Y551" s="114" t="s">
        <v>229</v>
      </c>
      <c r="Z551" s="111" t="s">
        <v>229</v>
      </c>
    </row>
    <row r="552" ht="15.75" customHeight="1">
      <c r="A552" s="109"/>
      <c r="B552" s="110"/>
      <c r="C552" s="110"/>
      <c r="D552" s="109"/>
      <c r="E552" s="109"/>
      <c r="F552" s="109"/>
      <c r="G552" s="111"/>
      <c r="H552" s="111"/>
      <c r="I552" s="112"/>
      <c r="J552" s="112"/>
      <c r="K552" s="113"/>
      <c r="L552" s="109"/>
      <c r="M552" s="109"/>
      <c r="N552" s="113" t="s">
        <v>229</v>
      </c>
      <c r="O552" s="113" t="s">
        <v>229</v>
      </c>
      <c r="P552" s="113" t="s">
        <v>229</v>
      </c>
      <c r="Q552" s="113" t="s">
        <v>229</v>
      </c>
      <c r="R552" s="113" t="s">
        <v>229</v>
      </c>
      <c r="S552" s="113" t="s">
        <v>229</v>
      </c>
      <c r="T552" s="114" t="s">
        <v>229</v>
      </c>
      <c r="U552" s="109" t="s">
        <v>229</v>
      </c>
      <c r="V552" s="112" t="s">
        <v>229</v>
      </c>
      <c r="W552" s="111" t="s">
        <v>229</v>
      </c>
      <c r="X552" s="112" t="s">
        <v>229</v>
      </c>
      <c r="Y552" s="114" t="s">
        <v>229</v>
      </c>
      <c r="Z552" s="111" t="s">
        <v>229</v>
      </c>
    </row>
    <row r="553" ht="15.75" customHeight="1">
      <c r="A553" s="109"/>
      <c r="B553" s="110"/>
      <c r="C553" s="110"/>
      <c r="D553" s="109"/>
      <c r="E553" s="109"/>
      <c r="F553" s="109"/>
      <c r="G553" s="111"/>
      <c r="H553" s="111"/>
      <c r="I553" s="112"/>
      <c r="J553" s="112"/>
      <c r="K553" s="113"/>
      <c r="L553" s="109"/>
      <c r="M553" s="109"/>
      <c r="N553" s="113" t="s">
        <v>229</v>
      </c>
      <c r="O553" s="113" t="s">
        <v>229</v>
      </c>
      <c r="P553" s="113" t="s">
        <v>229</v>
      </c>
      <c r="Q553" s="113" t="s">
        <v>229</v>
      </c>
      <c r="R553" s="113" t="s">
        <v>229</v>
      </c>
      <c r="S553" s="113" t="s">
        <v>229</v>
      </c>
      <c r="T553" s="114" t="s">
        <v>229</v>
      </c>
      <c r="U553" s="109" t="s">
        <v>229</v>
      </c>
      <c r="V553" s="112" t="s">
        <v>229</v>
      </c>
      <c r="W553" s="111" t="s">
        <v>229</v>
      </c>
      <c r="X553" s="112" t="s">
        <v>229</v>
      </c>
      <c r="Y553" s="114" t="s">
        <v>229</v>
      </c>
      <c r="Z553" s="111" t="s">
        <v>229</v>
      </c>
    </row>
    <row r="554" ht="15.75" customHeight="1">
      <c r="A554" s="109"/>
      <c r="B554" s="110"/>
      <c r="C554" s="110"/>
      <c r="D554" s="109"/>
      <c r="E554" s="109"/>
      <c r="F554" s="109"/>
      <c r="G554" s="111"/>
      <c r="H554" s="111"/>
      <c r="I554" s="112"/>
      <c r="J554" s="112"/>
      <c r="K554" s="113"/>
      <c r="L554" s="109"/>
      <c r="M554" s="109"/>
      <c r="N554" s="113" t="s">
        <v>229</v>
      </c>
      <c r="O554" s="113" t="s">
        <v>229</v>
      </c>
      <c r="P554" s="113" t="s">
        <v>229</v>
      </c>
      <c r="Q554" s="113" t="s">
        <v>229</v>
      </c>
      <c r="R554" s="113" t="s">
        <v>229</v>
      </c>
      <c r="S554" s="113" t="s">
        <v>229</v>
      </c>
      <c r="T554" s="114" t="s">
        <v>229</v>
      </c>
      <c r="U554" s="109" t="s">
        <v>229</v>
      </c>
      <c r="V554" s="112" t="s">
        <v>229</v>
      </c>
      <c r="W554" s="111" t="s">
        <v>229</v>
      </c>
      <c r="X554" s="112" t="s">
        <v>229</v>
      </c>
      <c r="Y554" s="114" t="s">
        <v>229</v>
      </c>
      <c r="Z554" s="111" t="s">
        <v>229</v>
      </c>
    </row>
    <row r="555" ht="15.75" customHeight="1">
      <c r="A555" s="109"/>
      <c r="B555" s="110"/>
      <c r="C555" s="110"/>
      <c r="D555" s="109"/>
      <c r="E555" s="109"/>
      <c r="F555" s="109"/>
      <c r="G555" s="111"/>
      <c r="H555" s="111"/>
      <c r="I555" s="112"/>
      <c r="J555" s="112"/>
      <c r="K555" s="113"/>
      <c r="L555" s="109"/>
      <c r="M555" s="109"/>
      <c r="N555" s="113" t="s">
        <v>229</v>
      </c>
      <c r="O555" s="113" t="s">
        <v>229</v>
      </c>
      <c r="P555" s="113" t="s">
        <v>229</v>
      </c>
      <c r="Q555" s="113" t="s">
        <v>229</v>
      </c>
      <c r="R555" s="113" t="s">
        <v>229</v>
      </c>
      <c r="S555" s="113" t="s">
        <v>229</v>
      </c>
      <c r="T555" s="114" t="s">
        <v>229</v>
      </c>
      <c r="U555" s="109" t="s">
        <v>229</v>
      </c>
      <c r="V555" s="112" t="s">
        <v>229</v>
      </c>
      <c r="W555" s="111" t="s">
        <v>229</v>
      </c>
      <c r="X555" s="112" t="s">
        <v>229</v>
      </c>
      <c r="Y555" s="114" t="s">
        <v>229</v>
      </c>
      <c r="Z555" s="111" t="s">
        <v>229</v>
      </c>
    </row>
    <row r="556" ht="15.75" customHeight="1">
      <c r="A556" s="109"/>
      <c r="B556" s="110"/>
      <c r="C556" s="110"/>
      <c r="D556" s="109"/>
      <c r="E556" s="109"/>
      <c r="F556" s="109"/>
      <c r="G556" s="111"/>
      <c r="H556" s="111"/>
      <c r="I556" s="112"/>
      <c r="J556" s="112"/>
      <c r="K556" s="113"/>
      <c r="L556" s="109"/>
      <c r="M556" s="109"/>
      <c r="N556" s="113" t="s">
        <v>229</v>
      </c>
      <c r="O556" s="113" t="s">
        <v>229</v>
      </c>
      <c r="P556" s="113" t="s">
        <v>229</v>
      </c>
      <c r="Q556" s="113" t="s">
        <v>229</v>
      </c>
      <c r="R556" s="113" t="s">
        <v>229</v>
      </c>
      <c r="S556" s="113" t="s">
        <v>229</v>
      </c>
      <c r="T556" s="114" t="s">
        <v>229</v>
      </c>
      <c r="U556" s="109" t="s">
        <v>229</v>
      </c>
      <c r="V556" s="112" t="s">
        <v>229</v>
      </c>
      <c r="W556" s="111" t="s">
        <v>229</v>
      </c>
      <c r="X556" s="112" t="s">
        <v>229</v>
      </c>
      <c r="Y556" s="114" t="s">
        <v>229</v>
      </c>
      <c r="Z556" s="111" t="s">
        <v>229</v>
      </c>
    </row>
    <row r="557" ht="15.75" customHeight="1">
      <c r="A557" s="109"/>
      <c r="B557" s="110"/>
      <c r="C557" s="110"/>
      <c r="D557" s="109"/>
      <c r="E557" s="109"/>
      <c r="F557" s="109"/>
      <c r="G557" s="111"/>
      <c r="H557" s="111"/>
      <c r="I557" s="112"/>
      <c r="J557" s="112"/>
      <c r="K557" s="113"/>
      <c r="L557" s="109"/>
      <c r="M557" s="109"/>
      <c r="N557" s="113" t="s">
        <v>229</v>
      </c>
      <c r="O557" s="113" t="s">
        <v>229</v>
      </c>
      <c r="P557" s="113" t="s">
        <v>229</v>
      </c>
      <c r="Q557" s="113" t="s">
        <v>229</v>
      </c>
      <c r="R557" s="113" t="s">
        <v>229</v>
      </c>
      <c r="S557" s="113" t="s">
        <v>229</v>
      </c>
      <c r="T557" s="114" t="s">
        <v>229</v>
      </c>
      <c r="U557" s="109" t="s">
        <v>229</v>
      </c>
      <c r="V557" s="112" t="s">
        <v>229</v>
      </c>
      <c r="W557" s="111" t="s">
        <v>229</v>
      </c>
      <c r="X557" s="112" t="s">
        <v>229</v>
      </c>
      <c r="Y557" s="114" t="s">
        <v>229</v>
      </c>
      <c r="Z557" s="111" t="s">
        <v>229</v>
      </c>
    </row>
    <row r="558" ht="15.75" customHeight="1">
      <c r="A558" s="109"/>
      <c r="B558" s="110"/>
      <c r="C558" s="110"/>
      <c r="D558" s="109"/>
      <c r="E558" s="109"/>
      <c r="F558" s="109"/>
      <c r="G558" s="111"/>
      <c r="H558" s="111"/>
      <c r="I558" s="112"/>
      <c r="J558" s="112"/>
      <c r="K558" s="113"/>
      <c r="L558" s="109"/>
      <c r="M558" s="109"/>
      <c r="N558" s="113" t="s">
        <v>229</v>
      </c>
      <c r="O558" s="113" t="s">
        <v>229</v>
      </c>
      <c r="P558" s="113" t="s">
        <v>229</v>
      </c>
      <c r="Q558" s="113" t="s">
        <v>229</v>
      </c>
      <c r="R558" s="113" t="s">
        <v>229</v>
      </c>
      <c r="S558" s="113" t="s">
        <v>229</v>
      </c>
      <c r="T558" s="114" t="s">
        <v>229</v>
      </c>
      <c r="U558" s="109" t="s">
        <v>229</v>
      </c>
      <c r="V558" s="112" t="s">
        <v>229</v>
      </c>
      <c r="W558" s="111" t="s">
        <v>229</v>
      </c>
      <c r="X558" s="112" t="s">
        <v>229</v>
      </c>
      <c r="Y558" s="114" t="s">
        <v>229</v>
      </c>
      <c r="Z558" s="111" t="s">
        <v>229</v>
      </c>
    </row>
    <row r="559" ht="15.75" customHeight="1">
      <c r="A559" s="109"/>
      <c r="B559" s="110"/>
      <c r="C559" s="110"/>
      <c r="D559" s="109"/>
      <c r="E559" s="109"/>
      <c r="F559" s="109"/>
      <c r="G559" s="111"/>
      <c r="H559" s="111"/>
      <c r="I559" s="112"/>
      <c r="J559" s="112"/>
      <c r="K559" s="113"/>
      <c r="L559" s="109"/>
      <c r="M559" s="109"/>
      <c r="N559" s="113" t="s">
        <v>229</v>
      </c>
      <c r="O559" s="113" t="s">
        <v>229</v>
      </c>
      <c r="P559" s="113" t="s">
        <v>229</v>
      </c>
      <c r="Q559" s="113" t="s">
        <v>229</v>
      </c>
      <c r="R559" s="113" t="s">
        <v>229</v>
      </c>
      <c r="S559" s="113" t="s">
        <v>229</v>
      </c>
      <c r="T559" s="114" t="s">
        <v>229</v>
      </c>
      <c r="U559" s="109" t="s">
        <v>229</v>
      </c>
      <c r="V559" s="112" t="s">
        <v>229</v>
      </c>
      <c r="W559" s="111" t="s">
        <v>229</v>
      </c>
      <c r="X559" s="112" t="s">
        <v>229</v>
      </c>
      <c r="Y559" s="114" t="s">
        <v>229</v>
      </c>
      <c r="Z559" s="111" t="s">
        <v>229</v>
      </c>
    </row>
    <row r="560" ht="15.75" customHeight="1">
      <c r="A560" s="109"/>
      <c r="B560" s="110"/>
      <c r="C560" s="110"/>
      <c r="D560" s="109"/>
      <c r="E560" s="109"/>
      <c r="F560" s="109"/>
      <c r="G560" s="111"/>
      <c r="H560" s="111"/>
      <c r="I560" s="112"/>
      <c r="J560" s="112"/>
      <c r="K560" s="113"/>
      <c r="L560" s="109"/>
      <c r="M560" s="109"/>
      <c r="N560" s="113" t="s">
        <v>229</v>
      </c>
      <c r="O560" s="113" t="s">
        <v>229</v>
      </c>
      <c r="P560" s="113" t="s">
        <v>229</v>
      </c>
      <c r="Q560" s="113" t="s">
        <v>229</v>
      </c>
      <c r="R560" s="113" t="s">
        <v>229</v>
      </c>
      <c r="S560" s="113" t="s">
        <v>229</v>
      </c>
      <c r="T560" s="114" t="s">
        <v>229</v>
      </c>
      <c r="U560" s="109" t="s">
        <v>229</v>
      </c>
      <c r="V560" s="112" t="s">
        <v>229</v>
      </c>
      <c r="W560" s="111" t="s">
        <v>229</v>
      </c>
      <c r="X560" s="112" t="s">
        <v>229</v>
      </c>
      <c r="Y560" s="114" t="s">
        <v>229</v>
      </c>
      <c r="Z560" s="111" t="s">
        <v>229</v>
      </c>
    </row>
    <row r="561" ht="15.75" customHeight="1">
      <c r="A561" s="109"/>
      <c r="B561" s="110"/>
      <c r="C561" s="110"/>
      <c r="D561" s="109"/>
      <c r="E561" s="109"/>
      <c r="F561" s="109"/>
      <c r="G561" s="111"/>
      <c r="H561" s="111"/>
      <c r="I561" s="112"/>
      <c r="J561" s="112"/>
      <c r="K561" s="113"/>
      <c r="L561" s="109"/>
      <c r="M561" s="109"/>
      <c r="N561" s="113" t="s">
        <v>229</v>
      </c>
      <c r="O561" s="113" t="s">
        <v>229</v>
      </c>
      <c r="P561" s="113" t="s">
        <v>229</v>
      </c>
      <c r="Q561" s="113" t="s">
        <v>229</v>
      </c>
      <c r="R561" s="113" t="s">
        <v>229</v>
      </c>
      <c r="S561" s="113" t="s">
        <v>229</v>
      </c>
      <c r="T561" s="114" t="s">
        <v>229</v>
      </c>
      <c r="U561" s="109" t="s">
        <v>229</v>
      </c>
      <c r="V561" s="112" t="s">
        <v>229</v>
      </c>
      <c r="W561" s="111" t="s">
        <v>229</v>
      </c>
      <c r="X561" s="112" t="s">
        <v>229</v>
      </c>
      <c r="Y561" s="114" t="s">
        <v>229</v>
      </c>
      <c r="Z561" s="111" t="s">
        <v>229</v>
      </c>
    </row>
    <row r="562" ht="15.75" customHeight="1">
      <c r="A562" s="109"/>
      <c r="B562" s="110"/>
      <c r="C562" s="110"/>
      <c r="D562" s="109"/>
      <c r="E562" s="109"/>
      <c r="F562" s="109"/>
      <c r="G562" s="111"/>
      <c r="H562" s="111"/>
      <c r="I562" s="112"/>
      <c r="J562" s="112"/>
      <c r="K562" s="113"/>
      <c r="L562" s="109"/>
      <c r="M562" s="109"/>
      <c r="N562" s="113" t="s">
        <v>229</v>
      </c>
      <c r="O562" s="113" t="s">
        <v>229</v>
      </c>
      <c r="P562" s="113" t="s">
        <v>229</v>
      </c>
      <c r="Q562" s="113" t="s">
        <v>229</v>
      </c>
      <c r="R562" s="113" t="s">
        <v>229</v>
      </c>
      <c r="S562" s="113" t="s">
        <v>229</v>
      </c>
      <c r="T562" s="114" t="s">
        <v>229</v>
      </c>
      <c r="U562" s="109" t="s">
        <v>229</v>
      </c>
      <c r="V562" s="112" t="s">
        <v>229</v>
      </c>
      <c r="W562" s="111" t="s">
        <v>229</v>
      </c>
      <c r="X562" s="112" t="s">
        <v>229</v>
      </c>
      <c r="Y562" s="114" t="s">
        <v>229</v>
      </c>
      <c r="Z562" s="111" t="s">
        <v>229</v>
      </c>
    </row>
    <row r="563" ht="15.75" customHeight="1">
      <c r="A563" s="109"/>
      <c r="B563" s="110"/>
      <c r="C563" s="110"/>
      <c r="D563" s="109"/>
      <c r="E563" s="109"/>
      <c r="F563" s="109"/>
      <c r="G563" s="111"/>
      <c r="H563" s="111"/>
      <c r="I563" s="112"/>
      <c r="J563" s="112"/>
      <c r="K563" s="113"/>
      <c r="L563" s="109"/>
      <c r="M563" s="109"/>
      <c r="N563" s="113" t="s">
        <v>229</v>
      </c>
      <c r="O563" s="113" t="s">
        <v>229</v>
      </c>
      <c r="P563" s="113" t="s">
        <v>229</v>
      </c>
      <c r="Q563" s="113" t="s">
        <v>229</v>
      </c>
      <c r="R563" s="113" t="s">
        <v>229</v>
      </c>
      <c r="S563" s="113" t="s">
        <v>229</v>
      </c>
      <c r="T563" s="114" t="s">
        <v>229</v>
      </c>
      <c r="U563" s="109" t="s">
        <v>229</v>
      </c>
      <c r="V563" s="112" t="s">
        <v>229</v>
      </c>
      <c r="W563" s="111" t="s">
        <v>229</v>
      </c>
      <c r="X563" s="112" t="s">
        <v>229</v>
      </c>
      <c r="Y563" s="114" t="s">
        <v>229</v>
      </c>
      <c r="Z563" s="111" t="s">
        <v>229</v>
      </c>
    </row>
    <row r="564" ht="15.75" customHeight="1">
      <c r="A564" s="109"/>
      <c r="B564" s="110"/>
      <c r="C564" s="110"/>
      <c r="D564" s="109"/>
      <c r="E564" s="109"/>
      <c r="F564" s="109"/>
      <c r="G564" s="111"/>
      <c r="H564" s="111"/>
      <c r="I564" s="112"/>
      <c r="J564" s="112"/>
      <c r="K564" s="113"/>
      <c r="L564" s="109"/>
      <c r="M564" s="109"/>
      <c r="N564" s="113" t="s">
        <v>229</v>
      </c>
      <c r="O564" s="113" t="s">
        <v>229</v>
      </c>
      <c r="P564" s="113" t="s">
        <v>229</v>
      </c>
      <c r="Q564" s="113" t="s">
        <v>229</v>
      </c>
      <c r="R564" s="113" t="s">
        <v>229</v>
      </c>
      <c r="S564" s="113" t="s">
        <v>229</v>
      </c>
      <c r="T564" s="114" t="s">
        <v>229</v>
      </c>
      <c r="U564" s="109" t="s">
        <v>229</v>
      </c>
      <c r="V564" s="112" t="s">
        <v>229</v>
      </c>
      <c r="W564" s="111" t="s">
        <v>229</v>
      </c>
      <c r="X564" s="112" t="s">
        <v>229</v>
      </c>
      <c r="Y564" s="114" t="s">
        <v>229</v>
      </c>
      <c r="Z564" s="111" t="s">
        <v>229</v>
      </c>
    </row>
    <row r="565" ht="15.75" customHeight="1">
      <c r="A565" s="109"/>
      <c r="B565" s="110"/>
      <c r="C565" s="110"/>
      <c r="D565" s="109"/>
      <c r="E565" s="109"/>
      <c r="F565" s="109"/>
      <c r="G565" s="111"/>
      <c r="H565" s="111"/>
      <c r="I565" s="112"/>
      <c r="J565" s="112"/>
      <c r="K565" s="113"/>
      <c r="L565" s="109"/>
      <c r="M565" s="109"/>
      <c r="N565" s="113" t="s">
        <v>229</v>
      </c>
      <c r="O565" s="113" t="s">
        <v>229</v>
      </c>
      <c r="P565" s="113" t="s">
        <v>229</v>
      </c>
      <c r="Q565" s="113" t="s">
        <v>229</v>
      </c>
      <c r="R565" s="113" t="s">
        <v>229</v>
      </c>
      <c r="S565" s="113" t="s">
        <v>229</v>
      </c>
      <c r="T565" s="114" t="s">
        <v>229</v>
      </c>
      <c r="U565" s="109" t="s">
        <v>229</v>
      </c>
      <c r="V565" s="112" t="s">
        <v>229</v>
      </c>
      <c r="W565" s="111" t="s">
        <v>229</v>
      </c>
      <c r="X565" s="112" t="s">
        <v>229</v>
      </c>
      <c r="Y565" s="114" t="s">
        <v>229</v>
      </c>
      <c r="Z565" s="111" t="s">
        <v>229</v>
      </c>
    </row>
    <row r="566" ht="15.75" customHeight="1">
      <c r="A566" s="109"/>
      <c r="B566" s="110"/>
      <c r="C566" s="110"/>
      <c r="D566" s="109"/>
      <c r="E566" s="109"/>
      <c r="F566" s="109"/>
      <c r="G566" s="111"/>
      <c r="H566" s="111"/>
      <c r="I566" s="112"/>
      <c r="J566" s="112"/>
      <c r="K566" s="113"/>
      <c r="L566" s="109"/>
      <c r="M566" s="109"/>
      <c r="N566" s="113" t="s">
        <v>229</v>
      </c>
      <c r="O566" s="113" t="s">
        <v>229</v>
      </c>
      <c r="P566" s="113" t="s">
        <v>229</v>
      </c>
      <c r="Q566" s="113" t="s">
        <v>229</v>
      </c>
      <c r="R566" s="113" t="s">
        <v>229</v>
      </c>
      <c r="S566" s="113" t="s">
        <v>229</v>
      </c>
      <c r="T566" s="114" t="s">
        <v>229</v>
      </c>
      <c r="U566" s="109" t="s">
        <v>229</v>
      </c>
      <c r="V566" s="112" t="s">
        <v>229</v>
      </c>
      <c r="W566" s="111" t="s">
        <v>229</v>
      </c>
      <c r="X566" s="112" t="s">
        <v>229</v>
      </c>
      <c r="Y566" s="114" t="s">
        <v>229</v>
      </c>
      <c r="Z566" s="111" t="s">
        <v>229</v>
      </c>
    </row>
    <row r="567" ht="15.75" customHeight="1">
      <c r="A567" s="109"/>
      <c r="B567" s="110"/>
      <c r="C567" s="110"/>
      <c r="D567" s="109"/>
      <c r="E567" s="109"/>
      <c r="F567" s="109"/>
      <c r="G567" s="111"/>
      <c r="H567" s="111"/>
      <c r="I567" s="112"/>
      <c r="J567" s="112"/>
      <c r="K567" s="113"/>
      <c r="L567" s="109"/>
      <c r="M567" s="109"/>
      <c r="N567" s="113" t="s">
        <v>229</v>
      </c>
      <c r="O567" s="113" t="s">
        <v>229</v>
      </c>
      <c r="P567" s="113" t="s">
        <v>229</v>
      </c>
      <c r="Q567" s="113" t="s">
        <v>229</v>
      </c>
      <c r="R567" s="113" t="s">
        <v>229</v>
      </c>
      <c r="S567" s="113" t="s">
        <v>229</v>
      </c>
      <c r="T567" s="114" t="s">
        <v>229</v>
      </c>
      <c r="U567" s="109" t="s">
        <v>229</v>
      </c>
      <c r="V567" s="112" t="s">
        <v>229</v>
      </c>
      <c r="W567" s="111" t="s">
        <v>229</v>
      </c>
      <c r="X567" s="112" t="s">
        <v>229</v>
      </c>
      <c r="Y567" s="114" t="s">
        <v>229</v>
      </c>
      <c r="Z567" s="111" t="s">
        <v>229</v>
      </c>
    </row>
    <row r="568" ht="15.75" customHeight="1">
      <c r="A568" s="109"/>
      <c r="B568" s="110"/>
      <c r="C568" s="110"/>
      <c r="D568" s="109"/>
      <c r="E568" s="109"/>
      <c r="F568" s="109"/>
      <c r="G568" s="111"/>
      <c r="H568" s="111"/>
      <c r="I568" s="112"/>
      <c r="J568" s="112"/>
      <c r="K568" s="113"/>
      <c r="L568" s="109"/>
      <c r="M568" s="109"/>
      <c r="N568" s="113" t="s">
        <v>229</v>
      </c>
      <c r="O568" s="113" t="s">
        <v>229</v>
      </c>
      <c r="P568" s="113" t="s">
        <v>229</v>
      </c>
      <c r="Q568" s="113" t="s">
        <v>229</v>
      </c>
      <c r="R568" s="113" t="s">
        <v>229</v>
      </c>
      <c r="S568" s="113" t="s">
        <v>229</v>
      </c>
      <c r="T568" s="114" t="s">
        <v>229</v>
      </c>
      <c r="U568" s="109" t="s">
        <v>229</v>
      </c>
      <c r="V568" s="112" t="s">
        <v>229</v>
      </c>
      <c r="W568" s="111" t="s">
        <v>229</v>
      </c>
      <c r="X568" s="112" t="s">
        <v>229</v>
      </c>
      <c r="Y568" s="114" t="s">
        <v>229</v>
      </c>
      <c r="Z568" s="111" t="s">
        <v>229</v>
      </c>
    </row>
    <row r="569" ht="15.75" customHeight="1">
      <c r="A569" s="109"/>
      <c r="B569" s="110"/>
      <c r="C569" s="110"/>
      <c r="D569" s="109"/>
      <c r="E569" s="109"/>
      <c r="F569" s="109"/>
      <c r="G569" s="111"/>
      <c r="H569" s="111"/>
      <c r="I569" s="112"/>
      <c r="J569" s="112"/>
      <c r="K569" s="113"/>
      <c r="L569" s="109"/>
      <c r="M569" s="109"/>
      <c r="N569" s="113" t="s">
        <v>229</v>
      </c>
      <c r="O569" s="113" t="s">
        <v>229</v>
      </c>
      <c r="P569" s="113" t="s">
        <v>229</v>
      </c>
      <c r="Q569" s="113" t="s">
        <v>229</v>
      </c>
      <c r="R569" s="113" t="s">
        <v>229</v>
      </c>
      <c r="S569" s="113" t="s">
        <v>229</v>
      </c>
      <c r="T569" s="114" t="s">
        <v>229</v>
      </c>
      <c r="U569" s="109" t="s">
        <v>229</v>
      </c>
      <c r="V569" s="112" t="s">
        <v>229</v>
      </c>
      <c r="W569" s="111" t="s">
        <v>229</v>
      </c>
      <c r="X569" s="112" t="s">
        <v>229</v>
      </c>
      <c r="Y569" s="114" t="s">
        <v>229</v>
      </c>
      <c r="Z569" s="111" t="s">
        <v>229</v>
      </c>
    </row>
    <row r="570" ht="15.75" customHeight="1">
      <c r="A570" s="109"/>
      <c r="B570" s="110"/>
      <c r="C570" s="110"/>
      <c r="D570" s="109"/>
      <c r="E570" s="109"/>
      <c r="F570" s="109"/>
      <c r="G570" s="111"/>
      <c r="H570" s="111"/>
      <c r="I570" s="112"/>
      <c r="J570" s="112"/>
      <c r="K570" s="113"/>
      <c r="L570" s="109"/>
      <c r="M570" s="109"/>
      <c r="N570" s="113" t="s">
        <v>229</v>
      </c>
      <c r="O570" s="113" t="s">
        <v>229</v>
      </c>
      <c r="P570" s="113" t="s">
        <v>229</v>
      </c>
      <c r="Q570" s="113" t="s">
        <v>229</v>
      </c>
      <c r="R570" s="113" t="s">
        <v>229</v>
      </c>
      <c r="S570" s="113" t="s">
        <v>229</v>
      </c>
      <c r="T570" s="114" t="s">
        <v>229</v>
      </c>
      <c r="U570" s="109" t="s">
        <v>229</v>
      </c>
      <c r="V570" s="112" t="s">
        <v>229</v>
      </c>
      <c r="W570" s="111" t="s">
        <v>229</v>
      </c>
      <c r="X570" s="112" t="s">
        <v>229</v>
      </c>
      <c r="Y570" s="114" t="s">
        <v>229</v>
      </c>
      <c r="Z570" s="111" t="s">
        <v>229</v>
      </c>
    </row>
    <row r="571" ht="15.75" customHeight="1">
      <c r="A571" s="109"/>
      <c r="B571" s="110"/>
      <c r="C571" s="110"/>
      <c r="D571" s="109"/>
      <c r="E571" s="109"/>
      <c r="F571" s="109"/>
      <c r="G571" s="111"/>
      <c r="H571" s="111"/>
      <c r="I571" s="112"/>
      <c r="J571" s="112"/>
      <c r="K571" s="113"/>
      <c r="L571" s="109"/>
      <c r="M571" s="109"/>
      <c r="N571" s="113" t="s">
        <v>229</v>
      </c>
      <c r="O571" s="113" t="s">
        <v>229</v>
      </c>
      <c r="P571" s="113" t="s">
        <v>229</v>
      </c>
      <c r="Q571" s="113" t="s">
        <v>229</v>
      </c>
      <c r="R571" s="113" t="s">
        <v>229</v>
      </c>
      <c r="S571" s="113" t="s">
        <v>229</v>
      </c>
      <c r="T571" s="114" t="s">
        <v>229</v>
      </c>
      <c r="U571" s="109" t="s">
        <v>229</v>
      </c>
      <c r="V571" s="112" t="s">
        <v>229</v>
      </c>
      <c r="W571" s="111" t="s">
        <v>229</v>
      </c>
      <c r="X571" s="112" t="s">
        <v>229</v>
      </c>
      <c r="Y571" s="114" t="s">
        <v>229</v>
      </c>
      <c r="Z571" s="111" t="s">
        <v>229</v>
      </c>
    </row>
    <row r="572" ht="15.75" customHeight="1">
      <c r="A572" s="109"/>
      <c r="B572" s="110"/>
      <c r="C572" s="110"/>
      <c r="D572" s="109"/>
      <c r="E572" s="109"/>
      <c r="F572" s="109"/>
      <c r="G572" s="111"/>
      <c r="H572" s="111"/>
      <c r="I572" s="112"/>
      <c r="J572" s="112"/>
      <c r="K572" s="113"/>
      <c r="L572" s="109"/>
      <c r="M572" s="109"/>
      <c r="N572" s="113" t="s">
        <v>229</v>
      </c>
      <c r="O572" s="113" t="s">
        <v>229</v>
      </c>
      <c r="P572" s="113" t="s">
        <v>229</v>
      </c>
      <c r="Q572" s="113" t="s">
        <v>229</v>
      </c>
      <c r="R572" s="113" t="s">
        <v>229</v>
      </c>
      <c r="S572" s="113" t="s">
        <v>229</v>
      </c>
      <c r="T572" s="114" t="s">
        <v>229</v>
      </c>
      <c r="U572" s="109" t="s">
        <v>229</v>
      </c>
      <c r="V572" s="112" t="s">
        <v>229</v>
      </c>
      <c r="W572" s="111" t="s">
        <v>229</v>
      </c>
      <c r="X572" s="112" t="s">
        <v>229</v>
      </c>
      <c r="Y572" s="114" t="s">
        <v>229</v>
      </c>
      <c r="Z572" s="111" t="s">
        <v>229</v>
      </c>
    </row>
    <row r="573" ht="15.75" customHeight="1">
      <c r="A573" s="109"/>
      <c r="B573" s="110"/>
      <c r="C573" s="110"/>
      <c r="D573" s="109"/>
      <c r="E573" s="109"/>
      <c r="F573" s="109"/>
      <c r="G573" s="111"/>
      <c r="H573" s="111"/>
      <c r="I573" s="112"/>
      <c r="J573" s="112"/>
      <c r="K573" s="113"/>
      <c r="L573" s="109"/>
      <c r="M573" s="109"/>
      <c r="N573" s="113" t="s">
        <v>229</v>
      </c>
      <c r="O573" s="113" t="s">
        <v>229</v>
      </c>
      <c r="P573" s="113" t="s">
        <v>229</v>
      </c>
      <c r="Q573" s="113" t="s">
        <v>229</v>
      </c>
      <c r="R573" s="113" t="s">
        <v>229</v>
      </c>
      <c r="S573" s="113" t="s">
        <v>229</v>
      </c>
      <c r="T573" s="114" t="s">
        <v>229</v>
      </c>
      <c r="U573" s="109" t="s">
        <v>229</v>
      </c>
      <c r="V573" s="112" t="s">
        <v>229</v>
      </c>
      <c r="W573" s="111" t="s">
        <v>229</v>
      </c>
      <c r="X573" s="112" t="s">
        <v>229</v>
      </c>
      <c r="Y573" s="114" t="s">
        <v>229</v>
      </c>
      <c r="Z573" s="111" t="s">
        <v>229</v>
      </c>
    </row>
    <row r="574" ht="15.75" customHeight="1">
      <c r="A574" s="109"/>
      <c r="B574" s="110"/>
      <c r="C574" s="110"/>
      <c r="D574" s="109"/>
      <c r="E574" s="109"/>
      <c r="F574" s="109"/>
      <c r="G574" s="111"/>
      <c r="H574" s="111"/>
      <c r="I574" s="112"/>
      <c r="J574" s="112"/>
      <c r="K574" s="113"/>
      <c r="L574" s="109"/>
      <c r="M574" s="109"/>
      <c r="N574" s="113" t="s">
        <v>229</v>
      </c>
      <c r="O574" s="113" t="s">
        <v>229</v>
      </c>
      <c r="P574" s="113" t="s">
        <v>229</v>
      </c>
      <c r="Q574" s="113" t="s">
        <v>229</v>
      </c>
      <c r="R574" s="113" t="s">
        <v>229</v>
      </c>
      <c r="S574" s="113" t="s">
        <v>229</v>
      </c>
      <c r="T574" s="114" t="s">
        <v>229</v>
      </c>
      <c r="U574" s="109" t="s">
        <v>229</v>
      </c>
      <c r="V574" s="112" t="s">
        <v>229</v>
      </c>
      <c r="W574" s="111" t="s">
        <v>229</v>
      </c>
      <c r="X574" s="112" t="s">
        <v>229</v>
      </c>
      <c r="Y574" s="114" t="s">
        <v>229</v>
      </c>
      <c r="Z574" s="111" t="s">
        <v>229</v>
      </c>
    </row>
    <row r="575" ht="15.75" customHeight="1">
      <c r="A575" s="109"/>
      <c r="B575" s="110"/>
      <c r="C575" s="110"/>
      <c r="D575" s="109"/>
      <c r="E575" s="109"/>
      <c r="F575" s="109"/>
      <c r="G575" s="111"/>
      <c r="H575" s="111"/>
      <c r="I575" s="112"/>
      <c r="J575" s="112"/>
      <c r="K575" s="113"/>
      <c r="L575" s="109"/>
      <c r="M575" s="109"/>
      <c r="N575" s="113" t="s">
        <v>229</v>
      </c>
      <c r="O575" s="113" t="s">
        <v>229</v>
      </c>
      <c r="P575" s="113" t="s">
        <v>229</v>
      </c>
      <c r="Q575" s="113" t="s">
        <v>229</v>
      </c>
      <c r="R575" s="113" t="s">
        <v>229</v>
      </c>
      <c r="S575" s="113" t="s">
        <v>229</v>
      </c>
      <c r="T575" s="114" t="s">
        <v>229</v>
      </c>
      <c r="U575" s="109" t="s">
        <v>229</v>
      </c>
      <c r="V575" s="112" t="s">
        <v>229</v>
      </c>
      <c r="W575" s="111" t="s">
        <v>229</v>
      </c>
      <c r="X575" s="112" t="s">
        <v>229</v>
      </c>
      <c r="Y575" s="114" t="s">
        <v>229</v>
      </c>
      <c r="Z575" s="111" t="s">
        <v>229</v>
      </c>
    </row>
    <row r="576" ht="15.75" customHeight="1">
      <c r="A576" s="109"/>
      <c r="B576" s="110"/>
      <c r="C576" s="110"/>
      <c r="D576" s="109"/>
      <c r="E576" s="109"/>
      <c r="F576" s="109"/>
      <c r="G576" s="111"/>
      <c r="H576" s="111"/>
      <c r="I576" s="112"/>
      <c r="J576" s="112"/>
      <c r="K576" s="113"/>
      <c r="L576" s="109"/>
      <c r="M576" s="109"/>
      <c r="N576" s="113" t="s">
        <v>229</v>
      </c>
      <c r="O576" s="113" t="s">
        <v>229</v>
      </c>
      <c r="P576" s="113" t="s">
        <v>229</v>
      </c>
      <c r="Q576" s="113" t="s">
        <v>229</v>
      </c>
      <c r="R576" s="113" t="s">
        <v>229</v>
      </c>
      <c r="S576" s="113" t="s">
        <v>229</v>
      </c>
      <c r="T576" s="114" t="s">
        <v>229</v>
      </c>
      <c r="U576" s="109" t="s">
        <v>229</v>
      </c>
      <c r="V576" s="112" t="s">
        <v>229</v>
      </c>
      <c r="W576" s="111" t="s">
        <v>229</v>
      </c>
      <c r="X576" s="112" t="s">
        <v>229</v>
      </c>
      <c r="Y576" s="114" t="s">
        <v>229</v>
      </c>
      <c r="Z576" s="111" t="s">
        <v>229</v>
      </c>
    </row>
    <row r="577" ht="15.75" customHeight="1">
      <c r="A577" s="109"/>
      <c r="B577" s="110"/>
      <c r="C577" s="110"/>
      <c r="D577" s="109"/>
      <c r="E577" s="109"/>
      <c r="F577" s="109"/>
      <c r="G577" s="111"/>
      <c r="H577" s="111"/>
      <c r="I577" s="112"/>
      <c r="J577" s="112"/>
      <c r="K577" s="113"/>
      <c r="L577" s="109"/>
      <c r="M577" s="109"/>
      <c r="N577" s="113" t="s">
        <v>229</v>
      </c>
      <c r="O577" s="113" t="s">
        <v>229</v>
      </c>
      <c r="P577" s="113" t="s">
        <v>229</v>
      </c>
      <c r="Q577" s="113" t="s">
        <v>229</v>
      </c>
      <c r="R577" s="113" t="s">
        <v>229</v>
      </c>
      <c r="S577" s="113" t="s">
        <v>229</v>
      </c>
      <c r="T577" s="114" t="s">
        <v>229</v>
      </c>
      <c r="U577" s="109" t="s">
        <v>229</v>
      </c>
      <c r="V577" s="112" t="s">
        <v>229</v>
      </c>
      <c r="W577" s="111" t="s">
        <v>229</v>
      </c>
      <c r="X577" s="112" t="s">
        <v>229</v>
      </c>
      <c r="Y577" s="114" t="s">
        <v>229</v>
      </c>
      <c r="Z577" s="111" t="s">
        <v>229</v>
      </c>
    </row>
    <row r="578" ht="15.75" customHeight="1">
      <c r="A578" s="109"/>
      <c r="B578" s="110"/>
      <c r="C578" s="110"/>
      <c r="D578" s="109"/>
      <c r="E578" s="109"/>
      <c r="F578" s="109"/>
      <c r="G578" s="111"/>
      <c r="H578" s="111"/>
      <c r="I578" s="112"/>
      <c r="J578" s="112"/>
      <c r="K578" s="113"/>
      <c r="L578" s="109"/>
      <c r="M578" s="109"/>
      <c r="N578" s="113" t="s">
        <v>229</v>
      </c>
      <c r="O578" s="113" t="s">
        <v>229</v>
      </c>
      <c r="P578" s="113" t="s">
        <v>229</v>
      </c>
      <c r="Q578" s="113" t="s">
        <v>229</v>
      </c>
      <c r="R578" s="113" t="s">
        <v>229</v>
      </c>
      <c r="S578" s="113" t="s">
        <v>229</v>
      </c>
      <c r="T578" s="114" t="s">
        <v>229</v>
      </c>
      <c r="U578" s="109" t="s">
        <v>229</v>
      </c>
      <c r="V578" s="112" t="s">
        <v>229</v>
      </c>
      <c r="W578" s="111" t="s">
        <v>229</v>
      </c>
      <c r="X578" s="112" t="s">
        <v>229</v>
      </c>
      <c r="Y578" s="114" t="s">
        <v>229</v>
      </c>
      <c r="Z578" s="111" t="s">
        <v>229</v>
      </c>
    </row>
    <row r="579" ht="15.75" customHeight="1">
      <c r="A579" s="109"/>
      <c r="B579" s="110"/>
      <c r="C579" s="110"/>
      <c r="D579" s="109"/>
      <c r="E579" s="109"/>
      <c r="F579" s="109"/>
      <c r="G579" s="111"/>
      <c r="H579" s="111"/>
      <c r="I579" s="112"/>
      <c r="J579" s="112"/>
      <c r="K579" s="113"/>
      <c r="L579" s="109"/>
      <c r="M579" s="109"/>
      <c r="N579" s="113" t="s">
        <v>229</v>
      </c>
      <c r="O579" s="113" t="s">
        <v>229</v>
      </c>
      <c r="P579" s="113" t="s">
        <v>229</v>
      </c>
      <c r="Q579" s="113" t="s">
        <v>229</v>
      </c>
      <c r="R579" s="113" t="s">
        <v>229</v>
      </c>
      <c r="S579" s="113" t="s">
        <v>229</v>
      </c>
      <c r="T579" s="114" t="s">
        <v>229</v>
      </c>
      <c r="U579" s="109" t="s">
        <v>229</v>
      </c>
      <c r="V579" s="112" t="s">
        <v>229</v>
      </c>
      <c r="W579" s="111" t="s">
        <v>229</v>
      </c>
      <c r="X579" s="112" t="s">
        <v>229</v>
      </c>
      <c r="Y579" s="114" t="s">
        <v>229</v>
      </c>
      <c r="Z579" s="111" t="s">
        <v>229</v>
      </c>
    </row>
    <row r="580" ht="15.75" customHeight="1">
      <c r="A580" s="109"/>
      <c r="B580" s="110"/>
      <c r="C580" s="110"/>
      <c r="D580" s="109"/>
      <c r="E580" s="109"/>
      <c r="F580" s="109"/>
      <c r="G580" s="111"/>
      <c r="H580" s="111"/>
      <c r="I580" s="112"/>
      <c r="J580" s="112"/>
      <c r="K580" s="113"/>
      <c r="L580" s="109"/>
      <c r="M580" s="109"/>
      <c r="N580" s="113" t="s">
        <v>229</v>
      </c>
      <c r="O580" s="113" t="s">
        <v>229</v>
      </c>
      <c r="P580" s="113" t="s">
        <v>229</v>
      </c>
      <c r="Q580" s="113" t="s">
        <v>229</v>
      </c>
      <c r="R580" s="113" t="s">
        <v>229</v>
      </c>
      <c r="S580" s="113" t="s">
        <v>229</v>
      </c>
      <c r="T580" s="114" t="s">
        <v>229</v>
      </c>
      <c r="U580" s="109" t="s">
        <v>229</v>
      </c>
      <c r="V580" s="112" t="s">
        <v>229</v>
      </c>
      <c r="W580" s="111" t="s">
        <v>229</v>
      </c>
      <c r="X580" s="112" t="s">
        <v>229</v>
      </c>
      <c r="Y580" s="114" t="s">
        <v>229</v>
      </c>
      <c r="Z580" s="111" t="s">
        <v>229</v>
      </c>
    </row>
    <row r="581" ht="15.75" customHeight="1">
      <c r="A581" s="109"/>
      <c r="B581" s="110"/>
      <c r="C581" s="110"/>
      <c r="D581" s="109"/>
      <c r="E581" s="109"/>
      <c r="F581" s="109"/>
      <c r="G581" s="111"/>
      <c r="H581" s="111"/>
      <c r="I581" s="112"/>
      <c r="J581" s="112"/>
      <c r="K581" s="113"/>
      <c r="L581" s="109"/>
      <c r="M581" s="109"/>
      <c r="N581" s="113" t="s">
        <v>229</v>
      </c>
      <c r="O581" s="113" t="s">
        <v>229</v>
      </c>
      <c r="P581" s="113" t="s">
        <v>229</v>
      </c>
      <c r="Q581" s="113" t="s">
        <v>229</v>
      </c>
      <c r="R581" s="113" t="s">
        <v>229</v>
      </c>
      <c r="S581" s="113" t="s">
        <v>229</v>
      </c>
      <c r="T581" s="114" t="s">
        <v>229</v>
      </c>
      <c r="U581" s="109" t="s">
        <v>229</v>
      </c>
      <c r="V581" s="112" t="s">
        <v>229</v>
      </c>
      <c r="W581" s="111" t="s">
        <v>229</v>
      </c>
      <c r="X581" s="112" t="s">
        <v>229</v>
      </c>
      <c r="Y581" s="114" t="s">
        <v>229</v>
      </c>
      <c r="Z581" s="111" t="s">
        <v>229</v>
      </c>
    </row>
    <row r="582" ht="15.75" customHeight="1">
      <c r="A582" s="109"/>
      <c r="B582" s="110"/>
      <c r="C582" s="110"/>
      <c r="D582" s="109"/>
      <c r="E582" s="109"/>
      <c r="F582" s="109"/>
      <c r="G582" s="111"/>
      <c r="H582" s="111"/>
      <c r="I582" s="112"/>
      <c r="J582" s="112"/>
      <c r="K582" s="113"/>
      <c r="L582" s="109"/>
      <c r="M582" s="109"/>
      <c r="N582" s="113" t="s">
        <v>229</v>
      </c>
      <c r="O582" s="113" t="s">
        <v>229</v>
      </c>
      <c r="P582" s="113" t="s">
        <v>229</v>
      </c>
      <c r="Q582" s="113" t="s">
        <v>229</v>
      </c>
      <c r="R582" s="113" t="s">
        <v>229</v>
      </c>
      <c r="S582" s="113" t="s">
        <v>229</v>
      </c>
      <c r="T582" s="114" t="s">
        <v>229</v>
      </c>
      <c r="U582" s="109" t="s">
        <v>229</v>
      </c>
      <c r="V582" s="112" t="s">
        <v>229</v>
      </c>
      <c r="W582" s="111" t="s">
        <v>229</v>
      </c>
      <c r="X582" s="112" t="s">
        <v>229</v>
      </c>
      <c r="Y582" s="114" t="s">
        <v>229</v>
      </c>
      <c r="Z582" s="111" t="s">
        <v>229</v>
      </c>
    </row>
    <row r="583" ht="15.75" customHeight="1">
      <c r="A583" s="109"/>
      <c r="B583" s="110"/>
      <c r="C583" s="110"/>
      <c r="D583" s="109"/>
      <c r="E583" s="109"/>
      <c r="F583" s="109"/>
      <c r="G583" s="111"/>
      <c r="H583" s="111"/>
      <c r="I583" s="112"/>
      <c r="J583" s="112"/>
      <c r="K583" s="113"/>
      <c r="L583" s="109"/>
      <c r="M583" s="109"/>
      <c r="N583" s="113" t="s">
        <v>229</v>
      </c>
      <c r="O583" s="113" t="s">
        <v>229</v>
      </c>
      <c r="P583" s="113" t="s">
        <v>229</v>
      </c>
      <c r="Q583" s="113" t="s">
        <v>229</v>
      </c>
      <c r="R583" s="113" t="s">
        <v>229</v>
      </c>
      <c r="S583" s="113" t="s">
        <v>229</v>
      </c>
      <c r="T583" s="114" t="s">
        <v>229</v>
      </c>
      <c r="U583" s="109" t="s">
        <v>229</v>
      </c>
      <c r="V583" s="112" t="s">
        <v>229</v>
      </c>
      <c r="W583" s="111" t="s">
        <v>229</v>
      </c>
      <c r="X583" s="112" t="s">
        <v>229</v>
      </c>
      <c r="Y583" s="114" t="s">
        <v>229</v>
      </c>
      <c r="Z583" s="111" t="s">
        <v>229</v>
      </c>
    </row>
    <row r="584" ht="15.75" customHeight="1">
      <c r="A584" s="109"/>
      <c r="B584" s="110"/>
      <c r="C584" s="110"/>
      <c r="D584" s="109"/>
      <c r="E584" s="109"/>
      <c r="F584" s="109"/>
      <c r="G584" s="111"/>
      <c r="H584" s="111"/>
      <c r="I584" s="112"/>
      <c r="J584" s="112"/>
      <c r="K584" s="113"/>
      <c r="L584" s="109"/>
      <c r="M584" s="109"/>
      <c r="N584" s="113" t="s">
        <v>229</v>
      </c>
      <c r="O584" s="113" t="s">
        <v>229</v>
      </c>
      <c r="P584" s="113" t="s">
        <v>229</v>
      </c>
      <c r="Q584" s="113" t="s">
        <v>229</v>
      </c>
      <c r="R584" s="113" t="s">
        <v>229</v>
      </c>
      <c r="S584" s="113" t="s">
        <v>229</v>
      </c>
      <c r="T584" s="114" t="s">
        <v>229</v>
      </c>
      <c r="U584" s="109" t="s">
        <v>229</v>
      </c>
      <c r="V584" s="112" t="s">
        <v>229</v>
      </c>
      <c r="W584" s="111" t="s">
        <v>229</v>
      </c>
      <c r="X584" s="112" t="s">
        <v>229</v>
      </c>
      <c r="Y584" s="114" t="s">
        <v>229</v>
      </c>
      <c r="Z584" s="111" t="s">
        <v>229</v>
      </c>
    </row>
    <row r="585" ht="15.75" customHeight="1">
      <c r="A585" s="109"/>
      <c r="B585" s="110"/>
      <c r="C585" s="110"/>
      <c r="D585" s="109"/>
      <c r="E585" s="109"/>
      <c r="F585" s="109"/>
      <c r="G585" s="111"/>
      <c r="H585" s="111"/>
      <c r="I585" s="112"/>
      <c r="J585" s="112"/>
      <c r="K585" s="113"/>
      <c r="L585" s="109"/>
      <c r="M585" s="109"/>
      <c r="N585" s="113" t="s">
        <v>229</v>
      </c>
      <c r="O585" s="113" t="s">
        <v>229</v>
      </c>
      <c r="P585" s="113" t="s">
        <v>229</v>
      </c>
      <c r="Q585" s="113" t="s">
        <v>229</v>
      </c>
      <c r="R585" s="113" t="s">
        <v>229</v>
      </c>
      <c r="S585" s="113" t="s">
        <v>229</v>
      </c>
      <c r="T585" s="114" t="s">
        <v>229</v>
      </c>
      <c r="U585" s="109" t="s">
        <v>229</v>
      </c>
      <c r="V585" s="112" t="s">
        <v>229</v>
      </c>
      <c r="W585" s="111" t="s">
        <v>229</v>
      </c>
      <c r="X585" s="112" t="s">
        <v>229</v>
      </c>
      <c r="Y585" s="114" t="s">
        <v>229</v>
      </c>
      <c r="Z585" s="111" t="s">
        <v>229</v>
      </c>
    </row>
    <row r="586" ht="15.75" customHeight="1">
      <c r="A586" s="109"/>
      <c r="B586" s="110"/>
      <c r="C586" s="110"/>
      <c r="D586" s="109"/>
      <c r="E586" s="109"/>
      <c r="F586" s="109"/>
      <c r="G586" s="111"/>
      <c r="H586" s="111"/>
      <c r="I586" s="112"/>
      <c r="J586" s="112"/>
      <c r="K586" s="113"/>
      <c r="L586" s="109"/>
      <c r="M586" s="109"/>
      <c r="N586" s="113" t="s">
        <v>229</v>
      </c>
      <c r="O586" s="113" t="s">
        <v>229</v>
      </c>
      <c r="P586" s="113" t="s">
        <v>229</v>
      </c>
      <c r="Q586" s="113" t="s">
        <v>229</v>
      </c>
      <c r="R586" s="113" t="s">
        <v>229</v>
      </c>
      <c r="S586" s="113" t="s">
        <v>229</v>
      </c>
      <c r="T586" s="114" t="s">
        <v>229</v>
      </c>
      <c r="U586" s="109" t="s">
        <v>229</v>
      </c>
      <c r="V586" s="112" t="s">
        <v>229</v>
      </c>
      <c r="W586" s="111" t="s">
        <v>229</v>
      </c>
      <c r="X586" s="112" t="s">
        <v>229</v>
      </c>
      <c r="Y586" s="114" t="s">
        <v>229</v>
      </c>
      <c r="Z586" s="111" t="s">
        <v>229</v>
      </c>
    </row>
    <row r="587" ht="15.75" customHeight="1">
      <c r="A587" s="109"/>
      <c r="B587" s="110"/>
      <c r="C587" s="110"/>
      <c r="D587" s="109"/>
      <c r="E587" s="109"/>
      <c r="F587" s="109"/>
      <c r="G587" s="111"/>
      <c r="H587" s="111"/>
      <c r="I587" s="112"/>
      <c r="J587" s="112"/>
      <c r="K587" s="113"/>
      <c r="L587" s="109"/>
      <c r="M587" s="109"/>
      <c r="N587" s="113" t="s">
        <v>229</v>
      </c>
      <c r="O587" s="113" t="s">
        <v>229</v>
      </c>
      <c r="P587" s="113" t="s">
        <v>229</v>
      </c>
      <c r="Q587" s="113" t="s">
        <v>229</v>
      </c>
      <c r="R587" s="113" t="s">
        <v>229</v>
      </c>
      <c r="S587" s="113" t="s">
        <v>229</v>
      </c>
      <c r="T587" s="114" t="s">
        <v>229</v>
      </c>
      <c r="U587" s="109" t="s">
        <v>229</v>
      </c>
      <c r="V587" s="112" t="s">
        <v>229</v>
      </c>
      <c r="W587" s="111" t="s">
        <v>229</v>
      </c>
      <c r="X587" s="112" t="s">
        <v>229</v>
      </c>
      <c r="Y587" s="114" t="s">
        <v>229</v>
      </c>
      <c r="Z587" s="111" t="s">
        <v>229</v>
      </c>
    </row>
    <row r="588" ht="15.75" customHeight="1">
      <c r="A588" s="109"/>
      <c r="B588" s="110"/>
      <c r="C588" s="110"/>
      <c r="D588" s="109"/>
      <c r="E588" s="109"/>
      <c r="F588" s="109"/>
      <c r="G588" s="111"/>
      <c r="H588" s="111"/>
      <c r="I588" s="112"/>
      <c r="J588" s="112"/>
      <c r="K588" s="113"/>
      <c r="L588" s="109"/>
      <c r="M588" s="109"/>
      <c r="N588" s="113" t="s">
        <v>229</v>
      </c>
      <c r="O588" s="113" t="s">
        <v>229</v>
      </c>
      <c r="P588" s="113" t="s">
        <v>229</v>
      </c>
      <c r="Q588" s="113" t="s">
        <v>229</v>
      </c>
      <c r="R588" s="113" t="s">
        <v>229</v>
      </c>
      <c r="S588" s="113" t="s">
        <v>229</v>
      </c>
      <c r="T588" s="114" t="s">
        <v>229</v>
      </c>
      <c r="U588" s="109" t="s">
        <v>229</v>
      </c>
      <c r="V588" s="112" t="s">
        <v>229</v>
      </c>
      <c r="W588" s="111" t="s">
        <v>229</v>
      </c>
      <c r="X588" s="112" t="s">
        <v>229</v>
      </c>
      <c r="Y588" s="114" t="s">
        <v>229</v>
      </c>
      <c r="Z588" s="111" t="s">
        <v>229</v>
      </c>
    </row>
    <row r="589" ht="15.75" customHeight="1">
      <c r="A589" s="109"/>
      <c r="B589" s="110"/>
      <c r="C589" s="110"/>
      <c r="D589" s="109"/>
      <c r="E589" s="109"/>
      <c r="F589" s="109"/>
      <c r="G589" s="111"/>
      <c r="H589" s="111"/>
      <c r="I589" s="112"/>
      <c r="J589" s="112"/>
      <c r="K589" s="113"/>
      <c r="L589" s="109"/>
      <c r="M589" s="109"/>
      <c r="N589" s="113" t="s">
        <v>229</v>
      </c>
      <c r="O589" s="113" t="s">
        <v>229</v>
      </c>
      <c r="P589" s="113" t="s">
        <v>229</v>
      </c>
      <c r="Q589" s="113" t="s">
        <v>229</v>
      </c>
      <c r="R589" s="113" t="s">
        <v>229</v>
      </c>
      <c r="S589" s="113" t="s">
        <v>229</v>
      </c>
      <c r="T589" s="114" t="s">
        <v>229</v>
      </c>
      <c r="U589" s="109" t="s">
        <v>229</v>
      </c>
      <c r="V589" s="112" t="s">
        <v>229</v>
      </c>
      <c r="W589" s="111" t="s">
        <v>229</v>
      </c>
      <c r="X589" s="112" t="s">
        <v>229</v>
      </c>
      <c r="Y589" s="114" t="s">
        <v>229</v>
      </c>
      <c r="Z589" s="111" t="s">
        <v>229</v>
      </c>
    </row>
    <row r="590" ht="15.75" customHeight="1">
      <c r="A590" s="109"/>
      <c r="B590" s="110"/>
      <c r="C590" s="110"/>
      <c r="D590" s="109"/>
      <c r="E590" s="109"/>
      <c r="F590" s="109"/>
      <c r="G590" s="111"/>
      <c r="H590" s="111"/>
      <c r="I590" s="112"/>
      <c r="J590" s="112"/>
      <c r="K590" s="113"/>
      <c r="L590" s="109"/>
      <c r="M590" s="109"/>
      <c r="N590" s="113" t="s">
        <v>229</v>
      </c>
      <c r="O590" s="113" t="s">
        <v>229</v>
      </c>
      <c r="P590" s="113" t="s">
        <v>229</v>
      </c>
      <c r="Q590" s="113" t="s">
        <v>229</v>
      </c>
      <c r="R590" s="113" t="s">
        <v>229</v>
      </c>
      <c r="S590" s="113" t="s">
        <v>229</v>
      </c>
      <c r="T590" s="114" t="s">
        <v>229</v>
      </c>
      <c r="U590" s="109" t="s">
        <v>229</v>
      </c>
      <c r="V590" s="112" t="s">
        <v>229</v>
      </c>
      <c r="W590" s="111" t="s">
        <v>229</v>
      </c>
      <c r="X590" s="112" t="s">
        <v>229</v>
      </c>
      <c r="Y590" s="114" t="s">
        <v>229</v>
      </c>
      <c r="Z590" s="111" t="s">
        <v>229</v>
      </c>
    </row>
    <row r="591" ht="15.75" customHeight="1">
      <c r="A591" s="109"/>
      <c r="B591" s="110"/>
      <c r="C591" s="110"/>
      <c r="D591" s="109"/>
      <c r="E591" s="109"/>
      <c r="F591" s="109"/>
      <c r="G591" s="111"/>
      <c r="H591" s="111"/>
      <c r="I591" s="112"/>
      <c r="J591" s="112"/>
      <c r="K591" s="113"/>
      <c r="L591" s="109"/>
      <c r="M591" s="109"/>
      <c r="N591" s="113" t="s">
        <v>229</v>
      </c>
      <c r="O591" s="113" t="s">
        <v>229</v>
      </c>
      <c r="P591" s="113" t="s">
        <v>229</v>
      </c>
      <c r="Q591" s="113" t="s">
        <v>229</v>
      </c>
      <c r="R591" s="113" t="s">
        <v>229</v>
      </c>
      <c r="S591" s="113" t="s">
        <v>229</v>
      </c>
      <c r="T591" s="114" t="s">
        <v>229</v>
      </c>
      <c r="U591" s="109" t="s">
        <v>229</v>
      </c>
      <c r="V591" s="112" t="s">
        <v>229</v>
      </c>
      <c r="W591" s="111" t="s">
        <v>229</v>
      </c>
      <c r="X591" s="112" t="s">
        <v>229</v>
      </c>
      <c r="Y591" s="114" t="s">
        <v>229</v>
      </c>
      <c r="Z591" s="111" t="s">
        <v>229</v>
      </c>
    </row>
    <row r="592" ht="15.75" customHeight="1">
      <c r="A592" s="109"/>
      <c r="B592" s="110"/>
      <c r="C592" s="110"/>
      <c r="D592" s="109"/>
      <c r="E592" s="109"/>
      <c r="F592" s="109"/>
      <c r="G592" s="111"/>
      <c r="H592" s="111"/>
      <c r="I592" s="112"/>
      <c r="J592" s="112"/>
      <c r="K592" s="113"/>
      <c r="L592" s="109"/>
      <c r="M592" s="109"/>
      <c r="N592" s="113" t="s">
        <v>229</v>
      </c>
      <c r="O592" s="113" t="s">
        <v>229</v>
      </c>
      <c r="P592" s="113" t="s">
        <v>229</v>
      </c>
      <c r="Q592" s="113" t="s">
        <v>229</v>
      </c>
      <c r="R592" s="113" t="s">
        <v>229</v>
      </c>
      <c r="S592" s="113" t="s">
        <v>229</v>
      </c>
      <c r="T592" s="114" t="s">
        <v>229</v>
      </c>
      <c r="U592" s="109" t="s">
        <v>229</v>
      </c>
      <c r="V592" s="112" t="s">
        <v>229</v>
      </c>
      <c r="W592" s="111" t="s">
        <v>229</v>
      </c>
      <c r="X592" s="112" t="s">
        <v>229</v>
      </c>
      <c r="Y592" s="114" t="s">
        <v>229</v>
      </c>
      <c r="Z592" s="111" t="s">
        <v>229</v>
      </c>
    </row>
    <row r="593" ht="15.75" customHeight="1">
      <c r="A593" s="109"/>
      <c r="B593" s="110"/>
      <c r="C593" s="110"/>
      <c r="D593" s="109"/>
      <c r="E593" s="109"/>
      <c r="F593" s="109"/>
      <c r="G593" s="111"/>
      <c r="H593" s="111"/>
      <c r="I593" s="112"/>
      <c r="J593" s="112"/>
      <c r="K593" s="113"/>
      <c r="L593" s="109"/>
      <c r="M593" s="109"/>
      <c r="N593" s="113" t="s">
        <v>229</v>
      </c>
      <c r="O593" s="113" t="s">
        <v>229</v>
      </c>
      <c r="P593" s="113" t="s">
        <v>229</v>
      </c>
      <c r="Q593" s="113" t="s">
        <v>229</v>
      </c>
      <c r="R593" s="113" t="s">
        <v>229</v>
      </c>
      <c r="S593" s="113" t="s">
        <v>229</v>
      </c>
      <c r="T593" s="114" t="s">
        <v>229</v>
      </c>
      <c r="U593" s="109" t="s">
        <v>229</v>
      </c>
      <c r="V593" s="112" t="s">
        <v>229</v>
      </c>
      <c r="W593" s="111" t="s">
        <v>229</v>
      </c>
      <c r="X593" s="112" t="s">
        <v>229</v>
      </c>
      <c r="Y593" s="114" t="s">
        <v>229</v>
      </c>
      <c r="Z593" s="111" t="s">
        <v>229</v>
      </c>
    </row>
    <row r="594" ht="15.75" customHeight="1">
      <c r="A594" s="109"/>
      <c r="B594" s="110"/>
      <c r="C594" s="110"/>
      <c r="D594" s="109"/>
      <c r="E594" s="109"/>
      <c r="F594" s="109"/>
      <c r="G594" s="111"/>
      <c r="H594" s="111"/>
      <c r="I594" s="112"/>
      <c r="J594" s="112"/>
      <c r="K594" s="113"/>
      <c r="L594" s="109"/>
      <c r="M594" s="109"/>
      <c r="N594" s="113" t="s">
        <v>229</v>
      </c>
      <c r="O594" s="113" t="s">
        <v>229</v>
      </c>
      <c r="P594" s="113" t="s">
        <v>229</v>
      </c>
      <c r="Q594" s="113" t="s">
        <v>229</v>
      </c>
      <c r="R594" s="113" t="s">
        <v>229</v>
      </c>
      <c r="S594" s="113" t="s">
        <v>229</v>
      </c>
      <c r="T594" s="114" t="s">
        <v>229</v>
      </c>
      <c r="U594" s="109" t="s">
        <v>229</v>
      </c>
      <c r="V594" s="112" t="s">
        <v>229</v>
      </c>
      <c r="W594" s="111" t="s">
        <v>229</v>
      </c>
      <c r="X594" s="112" t="s">
        <v>229</v>
      </c>
      <c r="Y594" s="114" t="s">
        <v>229</v>
      </c>
      <c r="Z594" s="111" t="s">
        <v>229</v>
      </c>
    </row>
    <row r="595" ht="15.75" customHeight="1">
      <c r="A595" s="109"/>
      <c r="B595" s="110"/>
      <c r="C595" s="110"/>
      <c r="D595" s="109"/>
      <c r="E595" s="109"/>
      <c r="F595" s="109"/>
      <c r="G595" s="111"/>
      <c r="H595" s="111"/>
      <c r="I595" s="112"/>
      <c r="J595" s="112"/>
      <c r="K595" s="113"/>
      <c r="L595" s="109"/>
      <c r="M595" s="109"/>
      <c r="N595" s="113" t="s">
        <v>229</v>
      </c>
      <c r="O595" s="113" t="s">
        <v>229</v>
      </c>
      <c r="P595" s="113" t="s">
        <v>229</v>
      </c>
      <c r="Q595" s="113" t="s">
        <v>229</v>
      </c>
      <c r="R595" s="113" t="s">
        <v>229</v>
      </c>
      <c r="S595" s="113" t="s">
        <v>229</v>
      </c>
      <c r="T595" s="114" t="s">
        <v>229</v>
      </c>
      <c r="U595" s="109" t="s">
        <v>229</v>
      </c>
      <c r="V595" s="112" t="s">
        <v>229</v>
      </c>
      <c r="W595" s="111" t="s">
        <v>229</v>
      </c>
      <c r="X595" s="112" t="s">
        <v>229</v>
      </c>
      <c r="Y595" s="114" t="s">
        <v>229</v>
      </c>
      <c r="Z595" s="111" t="s">
        <v>229</v>
      </c>
    </row>
    <row r="596" ht="15.75" customHeight="1">
      <c r="A596" s="109"/>
      <c r="B596" s="110"/>
      <c r="C596" s="110"/>
      <c r="D596" s="109"/>
      <c r="E596" s="109"/>
      <c r="F596" s="109"/>
      <c r="G596" s="111"/>
      <c r="H596" s="111"/>
      <c r="I596" s="112"/>
      <c r="J596" s="112"/>
      <c r="K596" s="113"/>
      <c r="L596" s="109"/>
      <c r="M596" s="109"/>
      <c r="N596" s="113" t="s">
        <v>229</v>
      </c>
      <c r="O596" s="113" t="s">
        <v>229</v>
      </c>
      <c r="P596" s="113" t="s">
        <v>229</v>
      </c>
      <c r="Q596" s="113" t="s">
        <v>229</v>
      </c>
      <c r="R596" s="113" t="s">
        <v>229</v>
      </c>
      <c r="S596" s="113" t="s">
        <v>229</v>
      </c>
      <c r="T596" s="114" t="s">
        <v>229</v>
      </c>
      <c r="U596" s="109" t="s">
        <v>229</v>
      </c>
      <c r="V596" s="112" t="s">
        <v>229</v>
      </c>
      <c r="W596" s="111" t="s">
        <v>229</v>
      </c>
      <c r="X596" s="112" t="s">
        <v>229</v>
      </c>
      <c r="Y596" s="114" t="s">
        <v>229</v>
      </c>
      <c r="Z596" s="111" t="s">
        <v>229</v>
      </c>
    </row>
    <row r="597" ht="15.75" customHeight="1">
      <c r="A597" s="109"/>
      <c r="B597" s="110"/>
      <c r="C597" s="110"/>
      <c r="D597" s="109"/>
      <c r="E597" s="109"/>
      <c r="F597" s="109"/>
      <c r="G597" s="111"/>
      <c r="H597" s="111"/>
      <c r="I597" s="112"/>
      <c r="J597" s="112"/>
      <c r="K597" s="113"/>
      <c r="L597" s="109"/>
      <c r="M597" s="109"/>
      <c r="N597" s="113" t="s">
        <v>229</v>
      </c>
      <c r="O597" s="113" t="s">
        <v>229</v>
      </c>
      <c r="P597" s="113" t="s">
        <v>229</v>
      </c>
      <c r="Q597" s="113" t="s">
        <v>229</v>
      </c>
      <c r="R597" s="113" t="s">
        <v>229</v>
      </c>
      <c r="S597" s="113" t="s">
        <v>229</v>
      </c>
      <c r="T597" s="114" t="s">
        <v>229</v>
      </c>
      <c r="U597" s="109" t="s">
        <v>229</v>
      </c>
      <c r="V597" s="112" t="s">
        <v>229</v>
      </c>
      <c r="W597" s="111" t="s">
        <v>229</v>
      </c>
      <c r="X597" s="112" t="s">
        <v>229</v>
      </c>
      <c r="Y597" s="114" t="s">
        <v>229</v>
      </c>
      <c r="Z597" s="111" t="s">
        <v>229</v>
      </c>
    </row>
    <row r="598" ht="15.75" customHeight="1">
      <c r="A598" s="109"/>
      <c r="B598" s="110"/>
      <c r="C598" s="110"/>
      <c r="D598" s="109"/>
      <c r="E598" s="109"/>
      <c r="F598" s="109"/>
      <c r="G598" s="111"/>
      <c r="H598" s="111"/>
      <c r="I598" s="112"/>
      <c r="J598" s="112"/>
      <c r="K598" s="113"/>
      <c r="L598" s="109"/>
      <c r="M598" s="109"/>
      <c r="N598" s="113" t="s">
        <v>229</v>
      </c>
      <c r="O598" s="113" t="s">
        <v>229</v>
      </c>
      <c r="P598" s="113" t="s">
        <v>229</v>
      </c>
      <c r="Q598" s="113" t="s">
        <v>229</v>
      </c>
      <c r="R598" s="113" t="s">
        <v>229</v>
      </c>
      <c r="S598" s="113" t="s">
        <v>229</v>
      </c>
      <c r="T598" s="114" t="s">
        <v>229</v>
      </c>
      <c r="U598" s="109" t="s">
        <v>229</v>
      </c>
      <c r="V598" s="112" t="s">
        <v>229</v>
      </c>
      <c r="W598" s="111" t="s">
        <v>229</v>
      </c>
      <c r="X598" s="112" t="s">
        <v>229</v>
      </c>
      <c r="Y598" s="114" t="s">
        <v>229</v>
      </c>
      <c r="Z598" s="111" t="s">
        <v>229</v>
      </c>
    </row>
    <row r="599" ht="15.75" customHeight="1">
      <c r="A599" s="109"/>
      <c r="B599" s="110"/>
      <c r="C599" s="110"/>
      <c r="D599" s="109"/>
      <c r="E599" s="109"/>
      <c r="F599" s="109"/>
      <c r="G599" s="111"/>
      <c r="H599" s="111"/>
      <c r="I599" s="112"/>
      <c r="J599" s="112"/>
      <c r="K599" s="113"/>
      <c r="L599" s="109"/>
      <c r="M599" s="109"/>
      <c r="N599" s="113" t="s">
        <v>229</v>
      </c>
      <c r="O599" s="113" t="s">
        <v>229</v>
      </c>
      <c r="P599" s="113" t="s">
        <v>229</v>
      </c>
      <c r="Q599" s="113" t="s">
        <v>229</v>
      </c>
      <c r="R599" s="113" t="s">
        <v>229</v>
      </c>
      <c r="S599" s="113" t="s">
        <v>229</v>
      </c>
      <c r="T599" s="114" t="s">
        <v>229</v>
      </c>
      <c r="U599" s="109" t="s">
        <v>229</v>
      </c>
      <c r="V599" s="112" t="s">
        <v>229</v>
      </c>
      <c r="W599" s="111" t="s">
        <v>229</v>
      </c>
      <c r="X599" s="112" t="s">
        <v>229</v>
      </c>
      <c r="Y599" s="114" t="s">
        <v>229</v>
      </c>
      <c r="Z599" s="111" t="s">
        <v>229</v>
      </c>
    </row>
    <row r="600" ht="15.75" customHeight="1">
      <c r="A600" s="109"/>
      <c r="B600" s="110"/>
      <c r="C600" s="110"/>
      <c r="D600" s="109"/>
      <c r="E600" s="109"/>
      <c r="F600" s="109"/>
      <c r="G600" s="111"/>
      <c r="H600" s="111"/>
      <c r="I600" s="112"/>
      <c r="J600" s="112"/>
      <c r="K600" s="113"/>
      <c r="L600" s="109"/>
      <c r="M600" s="109"/>
      <c r="N600" s="113" t="s">
        <v>229</v>
      </c>
      <c r="O600" s="113" t="s">
        <v>229</v>
      </c>
      <c r="P600" s="113" t="s">
        <v>229</v>
      </c>
      <c r="Q600" s="113" t="s">
        <v>229</v>
      </c>
      <c r="R600" s="113" t="s">
        <v>229</v>
      </c>
      <c r="S600" s="113" t="s">
        <v>229</v>
      </c>
      <c r="T600" s="114" t="s">
        <v>229</v>
      </c>
      <c r="U600" s="109" t="s">
        <v>229</v>
      </c>
      <c r="V600" s="112" t="s">
        <v>229</v>
      </c>
      <c r="W600" s="111" t="s">
        <v>229</v>
      </c>
      <c r="X600" s="112" t="s">
        <v>229</v>
      </c>
      <c r="Y600" s="114" t="s">
        <v>229</v>
      </c>
      <c r="Z600" s="111" t="s">
        <v>229</v>
      </c>
    </row>
    <row r="601" ht="15.75" customHeight="1">
      <c r="A601" s="109"/>
      <c r="B601" s="110"/>
      <c r="C601" s="110"/>
      <c r="D601" s="109"/>
      <c r="E601" s="109"/>
      <c r="F601" s="109"/>
      <c r="G601" s="111"/>
      <c r="H601" s="111"/>
      <c r="I601" s="112"/>
      <c r="J601" s="112"/>
      <c r="K601" s="113"/>
      <c r="L601" s="109"/>
      <c r="M601" s="109"/>
      <c r="N601" s="113" t="s">
        <v>229</v>
      </c>
      <c r="O601" s="113" t="s">
        <v>229</v>
      </c>
      <c r="P601" s="113" t="s">
        <v>229</v>
      </c>
      <c r="Q601" s="113" t="s">
        <v>229</v>
      </c>
      <c r="R601" s="113" t="s">
        <v>229</v>
      </c>
      <c r="S601" s="113" t="s">
        <v>229</v>
      </c>
      <c r="T601" s="114" t="s">
        <v>229</v>
      </c>
      <c r="U601" s="109" t="s">
        <v>229</v>
      </c>
      <c r="V601" s="112" t="s">
        <v>229</v>
      </c>
      <c r="W601" s="111" t="s">
        <v>229</v>
      </c>
      <c r="X601" s="112" t="s">
        <v>229</v>
      </c>
      <c r="Y601" s="114" t="s">
        <v>229</v>
      </c>
      <c r="Z601" s="111" t="s">
        <v>229</v>
      </c>
    </row>
    <row r="602" ht="15.75" customHeight="1">
      <c r="A602" s="109"/>
      <c r="B602" s="110"/>
      <c r="C602" s="110"/>
      <c r="D602" s="109"/>
      <c r="E602" s="109"/>
      <c r="F602" s="109"/>
      <c r="G602" s="111"/>
      <c r="H602" s="111"/>
      <c r="I602" s="112"/>
      <c r="J602" s="112"/>
      <c r="K602" s="113"/>
      <c r="L602" s="109"/>
      <c r="M602" s="109"/>
      <c r="N602" s="113" t="s">
        <v>229</v>
      </c>
      <c r="O602" s="113" t="s">
        <v>229</v>
      </c>
      <c r="P602" s="113" t="s">
        <v>229</v>
      </c>
      <c r="Q602" s="113" t="s">
        <v>229</v>
      </c>
      <c r="R602" s="113" t="s">
        <v>229</v>
      </c>
      <c r="S602" s="113" t="s">
        <v>229</v>
      </c>
      <c r="T602" s="114" t="s">
        <v>229</v>
      </c>
      <c r="U602" s="109" t="s">
        <v>229</v>
      </c>
      <c r="V602" s="112" t="s">
        <v>229</v>
      </c>
      <c r="W602" s="111" t="s">
        <v>229</v>
      </c>
      <c r="X602" s="112" t="s">
        <v>229</v>
      </c>
      <c r="Y602" s="114" t="s">
        <v>229</v>
      </c>
      <c r="Z602" s="111" t="s">
        <v>229</v>
      </c>
    </row>
    <row r="603" ht="15.75" customHeight="1">
      <c r="A603" s="109"/>
      <c r="B603" s="110"/>
      <c r="C603" s="110"/>
      <c r="D603" s="109"/>
      <c r="E603" s="109"/>
      <c r="F603" s="109"/>
      <c r="G603" s="111"/>
      <c r="H603" s="111"/>
      <c r="I603" s="112"/>
      <c r="J603" s="112"/>
      <c r="K603" s="113"/>
      <c r="L603" s="109"/>
      <c r="M603" s="109"/>
      <c r="N603" s="113" t="s">
        <v>229</v>
      </c>
      <c r="O603" s="113" t="s">
        <v>229</v>
      </c>
      <c r="P603" s="113" t="s">
        <v>229</v>
      </c>
      <c r="Q603" s="113" t="s">
        <v>229</v>
      </c>
      <c r="R603" s="113" t="s">
        <v>229</v>
      </c>
      <c r="S603" s="113" t="s">
        <v>229</v>
      </c>
      <c r="T603" s="114" t="s">
        <v>229</v>
      </c>
      <c r="U603" s="109" t="s">
        <v>229</v>
      </c>
      <c r="V603" s="112" t="s">
        <v>229</v>
      </c>
      <c r="W603" s="111" t="s">
        <v>229</v>
      </c>
      <c r="X603" s="112" t="s">
        <v>229</v>
      </c>
      <c r="Y603" s="114" t="s">
        <v>229</v>
      </c>
      <c r="Z603" s="111" t="s">
        <v>229</v>
      </c>
    </row>
    <row r="604" ht="15.75" customHeight="1">
      <c r="A604" s="109"/>
      <c r="B604" s="110"/>
      <c r="C604" s="110"/>
      <c r="D604" s="109"/>
      <c r="E604" s="109"/>
      <c r="F604" s="109"/>
      <c r="G604" s="111"/>
      <c r="H604" s="111"/>
      <c r="I604" s="112"/>
      <c r="J604" s="112"/>
      <c r="K604" s="113"/>
      <c r="L604" s="109"/>
      <c r="M604" s="109"/>
      <c r="N604" s="113" t="s">
        <v>229</v>
      </c>
      <c r="O604" s="113" t="s">
        <v>229</v>
      </c>
      <c r="P604" s="113" t="s">
        <v>229</v>
      </c>
      <c r="Q604" s="113" t="s">
        <v>229</v>
      </c>
      <c r="R604" s="113" t="s">
        <v>229</v>
      </c>
      <c r="S604" s="113" t="s">
        <v>229</v>
      </c>
      <c r="T604" s="114" t="s">
        <v>229</v>
      </c>
      <c r="U604" s="109" t="s">
        <v>229</v>
      </c>
      <c r="V604" s="112" t="s">
        <v>229</v>
      </c>
      <c r="W604" s="111" t="s">
        <v>229</v>
      </c>
      <c r="X604" s="112" t="s">
        <v>229</v>
      </c>
      <c r="Y604" s="114" t="s">
        <v>229</v>
      </c>
      <c r="Z604" s="111" t="s">
        <v>229</v>
      </c>
    </row>
    <row r="605" ht="15.75" customHeight="1">
      <c r="A605" s="109"/>
      <c r="B605" s="110"/>
      <c r="C605" s="110"/>
      <c r="D605" s="109"/>
      <c r="E605" s="109"/>
      <c r="F605" s="109"/>
      <c r="G605" s="111"/>
      <c r="H605" s="111"/>
      <c r="I605" s="112"/>
      <c r="J605" s="112"/>
      <c r="K605" s="113"/>
      <c r="L605" s="109"/>
      <c r="M605" s="109"/>
      <c r="N605" s="113" t="s">
        <v>229</v>
      </c>
      <c r="O605" s="113" t="s">
        <v>229</v>
      </c>
      <c r="P605" s="113" t="s">
        <v>229</v>
      </c>
      <c r="Q605" s="113" t="s">
        <v>229</v>
      </c>
      <c r="R605" s="113" t="s">
        <v>229</v>
      </c>
      <c r="S605" s="113" t="s">
        <v>229</v>
      </c>
      <c r="T605" s="114" t="s">
        <v>229</v>
      </c>
      <c r="U605" s="109" t="s">
        <v>229</v>
      </c>
      <c r="V605" s="112" t="s">
        <v>229</v>
      </c>
      <c r="W605" s="111" t="s">
        <v>229</v>
      </c>
      <c r="X605" s="112" t="s">
        <v>229</v>
      </c>
      <c r="Y605" s="114" t="s">
        <v>229</v>
      </c>
      <c r="Z605" s="111" t="s">
        <v>229</v>
      </c>
    </row>
    <row r="606" ht="15.75" customHeight="1">
      <c r="A606" s="109"/>
      <c r="B606" s="110"/>
      <c r="C606" s="110"/>
      <c r="D606" s="109"/>
      <c r="E606" s="109"/>
      <c r="F606" s="109"/>
      <c r="G606" s="111"/>
      <c r="H606" s="111"/>
      <c r="I606" s="112"/>
      <c r="J606" s="112"/>
      <c r="K606" s="113"/>
      <c r="L606" s="109"/>
      <c r="M606" s="109"/>
      <c r="N606" s="113" t="s">
        <v>229</v>
      </c>
      <c r="O606" s="113" t="s">
        <v>229</v>
      </c>
      <c r="P606" s="113" t="s">
        <v>229</v>
      </c>
      <c r="Q606" s="113" t="s">
        <v>229</v>
      </c>
      <c r="R606" s="113" t="s">
        <v>229</v>
      </c>
      <c r="S606" s="113" t="s">
        <v>229</v>
      </c>
      <c r="T606" s="114" t="s">
        <v>229</v>
      </c>
      <c r="U606" s="109" t="s">
        <v>229</v>
      </c>
      <c r="V606" s="112" t="s">
        <v>229</v>
      </c>
      <c r="W606" s="111" t="s">
        <v>229</v>
      </c>
      <c r="X606" s="112" t="s">
        <v>229</v>
      </c>
      <c r="Y606" s="114" t="s">
        <v>229</v>
      </c>
      <c r="Z606" s="111" t="s">
        <v>229</v>
      </c>
    </row>
    <row r="607" ht="15.75" customHeight="1">
      <c r="A607" s="109"/>
      <c r="B607" s="110"/>
      <c r="C607" s="110"/>
      <c r="D607" s="109"/>
      <c r="E607" s="109"/>
      <c r="F607" s="109"/>
      <c r="G607" s="111"/>
      <c r="H607" s="111"/>
      <c r="I607" s="112"/>
      <c r="J607" s="112"/>
      <c r="K607" s="113"/>
      <c r="L607" s="109"/>
      <c r="M607" s="109"/>
      <c r="N607" s="113" t="s">
        <v>229</v>
      </c>
      <c r="O607" s="113" t="s">
        <v>229</v>
      </c>
      <c r="P607" s="113" t="s">
        <v>229</v>
      </c>
      <c r="Q607" s="113" t="s">
        <v>229</v>
      </c>
      <c r="R607" s="113" t="s">
        <v>229</v>
      </c>
      <c r="S607" s="113" t="s">
        <v>229</v>
      </c>
      <c r="T607" s="114" t="s">
        <v>229</v>
      </c>
      <c r="U607" s="109" t="s">
        <v>229</v>
      </c>
      <c r="V607" s="112" t="s">
        <v>229</v>
      </c>
      <c r="W607" s="111" t="s">
        <v>229</v>
      </c>
      <c r="X607" s="112" t="s">
        <v>229</v>
      </c>
      <c r="Y607" s="114" t="s">
        <v>229</v>
      </c>
      <c r="Z607" s="111" t="s">
        <v>229</v>
      </c>
    </row>
    <row r="608" ht="15.75" customHeight="1">
      <c r="A608" s="109"/>
      <c r="B608" s="110"/>
      <c r="C608" s="110"/>
      <c r="D608" s="109"/>
      <c r="E608" s="109"/>
      <c r="F608" s="109"/>
      <c r="G608" s="111"/>
      <c r="H608" s="111"/>
      <c r="I608" s="112"/>
      <c r="J608" s="112"/>
      <c r="K608" s="113"/>
      <c r="L608" s="109"/>
      <c r="M608" s="109"/>
      <c r="N608" s="113" t="s">
        <v>229</v>
      </c>
      <c r="O608" s="113" t="s">
        <v>229</v>
      </c>
      <c r="P608" s="113" t="s">
        <v>229</v>
      </c>
      <c r="Q608" s="113" t="s">
        <v>229</v>
      </c>
      <c r="R608" s="113" t="s">
        <v>229</v>
      </c>
      <c r="S608" s="113" t="s">
        <v>229</v>
      </c>
      <c r="T608" s="114" t="s">
        <v>229</v>
      </c>
      <c r="U608" s="109" t="s">
        <v>229</v>
      </c>
      <c r="V608" s="112" t="s">
        <v>229</v>
      </c>
      <c r="W608" s="111" t="s">
        <v>229</v>
      </c>
      <c r="X608" s="112" t="s">
        <v>229</v>
      </c>
      <c r="Y608" s="114" t="s">
        <v>229</v>
      </c>
      <c r="Z608" s="111" t="s">
        <v>229</v>
      </c>
    </row>
    <row r="609" ht="15.75" customHeight="1">
      <c r="A609" s="109"/>
      <c r="B609" s="110"/>
      <c r="C609" s="110"/>
      <c r="D609" s="109"/>
      <c r="E609" s="109"/>
      <c r="F609" s="109"/>
      <c r="G609" s="111"/>
      <c r="H609" s="111"/>
      <c r="I609" s="112"/>
      <c r="J609" s="112"/>
      <c r="K609" s="113"/>
      <c r="L609" s="109"/>
      <c r="M609" s="109"/>
      <c r="N609" s="113" t="s">
        <v>229</v>
      </c>
      <c r="O609" s="113" t="s">
        <v>229</v>
      </c>
      <c r="P609" s="113" t="s">
        <v>229</v>
      </c>
      <c r="Q609" s="113" t="s">
        <v>229</v>
      </c>
      <c r="R609" s="113" t="s">
        <v>229</v>
      </c>
      <c r="S609" s="113" t="s">
        <v>229</v>
      </c>
      <c r="T609" s="114" t="s">
        <v>229</v>
      </c>
      <c r="U609" s="109" t="s">
        <v>229</v>
      </c>
      <c r="V609" s="112" t="s">
        <v>229</v>
      </c>
      <c r="W609" s="111" t="s">
        <v>229</v>
      </c>
      <c r="X609" s="112" t="s">
        <v>229</v>
      </c>
      <c r="Y609" s="114" t="s">
        <v>229</v>
      </c>
      <c r="Z609" s="111" t="s">
        <v>229</v>
      </c>
    </row>
    <row r="610" ht="15.75" customHeight="1">
      <c r="A610" s="109"/>
      <c r="B610" s="110"/>
      <c r="C610" s="110"/>
      <c r="D610" s="109"/>
      <c r="E610" s="109"/>
      <c r="F610" s="109"/>
      <c r="G610" s="111"/>
      <c r="H610" s="111"/>
      <c r="I610" s="112"/>
      <c r="J610" s="112"/>
      <c r="K610" s="113"/>
      <c r="L610" s="109"/>
      <c r="M610" s="109"/>
      <c r="N610" s="113" t="s">
        <v>229</v>
      </c>
      <c r="O610" s="113" t="s">
        <v>229</v>
      </c>
      <c r="P610" s="113" t="s">
        <v>229</v>
      </c>
      <c r="Q610" s="113" t="s">
        <v>229</v>
      </c>
      <c r="R610" s="113" t="s">
        <v>229</v>
      </c>
      <c r="S610" s="113" t="s">
        <v>229</v>
      </c>
      <c r="T610" s="114" t="s">
        <v>229</v>
      </c>
      <c r="U610" s="109" t="s">
        <v>229</v>
      </c>
      <c r="V610" s="112" t="s">
        <v>229</v>
      </c>
      <c r="W610" s="111" t="s">
        <v>229</v>
      </c>
      <c r="X610" s="112" t="s">
        <v>229</v>
      </c>
      <c r="Y610" s="114" t="s">
        <v>229</v>
      </c>
      <c r="Z610" s="111" t="s">
        <v>229</v>
      </c>
    </row>
    <row r="611" ht="15.75" customHeight="1">
      <c r="A611" s="109"/>
      <c r="B611" s="110"/>
      <c r="C611" s="110"/>
      <c r="D611" s="109"/>
      <c r="E611" s="109"/>
      <c r="F611" s="109"/>
      <c r="G611" s="111"/>
      <c r="H611" s="111"/>
      <c r="I611" s="112"/>
      <c r="J611" s="112"/>
      <c r="K611" s="113"/>
      <c r="L611" s="109"/>
      <c r="M611" s="109"/>
      <c r="N611" s="113" t="s">
        <v>229</v>
      </c>
      <c r="O611" s="113" t="s">
        <v>229</v>
      </c>
      <c r="P611" s="113" t="s">
        <v>229</v>
      </c>
      <c r="Q611" s="113" t="s">
        <v>229</v>
      </c>
      <c r="R611" s="113" t="s">
        <v>229</v>
      </c>
      <c r="S611" s="113" t="s">
        <v>229</v>
      </c>
      <c r="T611" s="114" t="s">
        <v>229</v>
      </c>
      <c r="U611" s="109" t="s">
        <v>229</v>
      </c>
      <c r="V611" s="112" t="s">
        <v>229</v>
      </c>
      <c r="W611" s="111" t="s">
        <v>229</v>
      </c>
      <c r="X611" s="112" t="s">
        <v>229</v>
      </c>
      <c r="Y611" s="114" t="s">
        <v>229</v>
      </c>
      <c r="Z611" s="111" t="s">
        <v>229</v>
      </c>
    </row>
    <row r="612" ht="15.75" customHeight="1">
      <c r="A612" s="109"/>
      <c r="B612" s="110"/>
      <c r="C612" s="110"/>
      <c r="D612" s="109"/>
      <c r="E612" s="109"/>
      <c r="F612" s="109"/>
      <c r="G612" s="111"/>
      <c r="H612" s="111"/>
      <c r="I612" s="112"/>
      <c r="J612" s="112"/>
      <c r="K612" s="113"/>
      <c r="L612" s="109"/>
      <c r="M612" s="109"/>
      <c r="N612" s="113" t="s">
        <v>229</v>
      </c>
      <c r="O612" s="113" t="s">
        <v>229</v>
      </c>
      <c r="P612" s="113" t="s">
        <v>229</v>
      </c>
      <c r="Q612" s="113" t="s">
        <v>229</v>
      </c>
      <c r="R612" s="113" t="s">
        <v>229</v>
      </c>
      <c r="S612" s="113" t="s">
        <v>229</v>
      </c>
      <c r="T612" s="114" t="s">
        <v>229</v>
      </c>
      <c r="U612" s="109" t="s">
        <v>229</v>
      </c>
      <c r="V612" s="112" t="s">
        <v>229</v>
      </c>
      <c r="W612" s="111" t="s">
        <v>229</v>
      </c>
      <c r="X612" s="112" t="s">
        <v>229</v>
      </c>
      <c r="Y612" s="114" t="s">
        <v>229</v>
      </c>
      <c r="Z612" s="111" t="s">
        <v>229</v>
      </c>
    </row>
    <row r="613" ht="15.75" customHeight="1">
      <c r="A613" s="109"/>
      <c r="B613" s="110"/>
      <c r="C613" s="110"/>
      <c r="D613" s="109"/>
      <c r="E613" s="109"/>
      <c r="F613" s="109"/>
      <c r="G613" s="111"/>
      <c r="H613" s="111"/>
      <c r="I613" s="112"/>
      <c r="J613" s="112"/>
      <c r="K613" s="113"/>
      <c r="L613" s="109"/>
      <c r="M613" s="109"/>
      <c r="N613" s="113" t="s">
        <v>229</v>
      </c>
      <c r="O613" s="113" t="s">
        <v>229</v>
      </c>
      <c r="P613" s="113" t="s">
        <v>229</v>
      </c>
      <c r="Q613" s="113" t="s">
        <v>229</v>
      </c>
      <c r="R613" s="113" t="s">
        <v>229</v>
      </c>
      <c r="S613" s="113" t="s">
        <v>229</v>
      </c>
      <c r="T613" s="114" t="s">
        <v>229</v>
      </c>
      <c r="U613" s="109" t="s">
        <v>229</v>
      </c>
      <c r="V613" s="112" t="s">
        <v>229</v>
      </c>
      <c r="W613" s="111" t="s">
        <v>229</v>
      </c>
      <c r="X613" s="112" t="s">
        <v>229</v>
      </c>
      <c r="Y613" s="114" t="s">
        <v>229</v>
      </c>
      <c r="Z613" s="111" t="s">
        <v>229</v>
      </c>
    </row>
    <row r="614" ht="15.75" customHeight="1">
      <c r="A614" s="109"/>
      <c r="B614" s="110"/>
      <c r="C614" s="110"/>
      <c r="D614" s="109"/>
      <c r="E614" s="109"/>
      <c r="F614" s="109"/>
      <c r="G614" s="111"/>
      <c r="H614" s="111"/>
      <c r="I614" s="112"/>
      <c r="J614" s="112"/>
      <c r="K614" s="113"/>
      <c r="L614" s="109"/>
      <c r="M614" s="109"/>
      <c r="N614" s="113" t="s">
        <v>229</v>
      </c>
      <c r="O614" s="113" t="s">
        <v>229</v>
      </c>
      <c r="P614" s="113" t="s">
        <v>229</v>
      </c>
      <c r="Q614" s="113" t="s">
        <v>229</v>
      </c>
      <c r="R614" s="113" t="s">
        <v>229</v>
      </c>
      <c r="S614" s="113" t="s">
        <v>229</v>
      </c>
      <c r="T614" s="114" t="s">
        <v>229</v>
      </c>
      <c r="U614" s="109" t="s">
        <v>229</v>
      </c>
      <c r="V614" s="112" t="s">
        <v>229</v>
      </c>
      <c r="W614" s="111" t="s">
        <v>229</v>
      </c>
      <c r="X614" s="112" t="s">
        <v>229</v>
      </c>
      <c r="Y614" s="114" t="s">
        <v>229</v>
      </c>
      <c r="Z614" s="111" t="s">
        <v>229</v>
      </c>
    </row>
    <row r="615" ht="15.75" customHeight="1">
      <c r="A615" s="109"/>
      <c r="B615" s="110"/>
      <c r="C615" s="110"/>
      <c r="D615" s="109"/>
      <c r="E615" s="109"/>
      <c r="F615" s="109"/>
      <c r="G615" s="111"/>
      <c r="H615" s="111"/>
      <c r="I615" s="112"/>
      <c r="J615" s="112"/>
      <c r="K615" s="113"/>
      <c r="L615" s="109"/>
      <c r="M615" s="109"/>
      <c r="N615" s="113" t="s">
        <v>229</v>
      </c>
      <c r="O615" s="113" t="s">
        <v>229</v>
      </c>
      <c r="P615" s="113" t="s">
        <v>229</v>
      </c>
      <c r="Q615" s="113" t="s">
        <v>229</v>
      </c>
      <c r="R615" s="113" t="s">
        <v>229</v>
      </c>
      <c r="S615" s="113" t="s">
        <v>229</v>
      </c>
      <c r="T615" s="114" t="s">
        <v>229</v>
      </c>
      <c r="U615" s="109" t="s">
        <v>229</v>
      </c>
      <c r="V615" s="112" t="s">
        <v>229</v>
      </c>
      <c r="W615" s="111" t="s">
        <v>229</v>
      </c>
      <c r="X615" s="112" t="s">
        <v>229</v>
      </c>
      <c r="Y615" s="114" t="s">
        <v>229</v>
      </c>
      <c r="Z615" s="111" t="s">
        <v>229</v>
      </c>
    </row>
    <row r="616" ht="15.75" customHeight="1">
      <c r="A616" s="109"/>
      <c r="B616" s="110"/>
      <c r="C616" s="110"/>
      <c r="D616" s="109"/>
      <c r="E616" s="109"/>
      <c r="F616" s="109"/>
      <c r="G616" s="111"/>
      <c r="H616" s="111"/>
      <c r="I616" s="112"/>
      <c r="J616" s="112"/>
      <c r="K616" s="113"/>
      <c r="L616" s="109"/>
      <c r="M616" s="109"/>
      <c r="N616" s="113" t="s">
        <v>229</v>
      </c>
      <c r="O616" s="113" t="s">
        <v>229</v>
      </c>
      <c r="P616" s="113" t="s">
        <v>229</v>
      </c>
      <c r="Q616" s="113" t="s">
        <v>229</v>
      </c>
      <c r="R616" s="113" t="s">
        <v>229</v>
      </c>
      <c r="S616" s="113" t="s">
        <v>229</v>
      </c>
      <c r="T616" s="114" t="s">
        <v>229</v>
      </c>
      <c r="U616" s="109" t="s">
        <v>229</v>
      </c>
      <c r="V616" s="112" t="s">
        <v>229</v>
      </c>
      <c r="W616" s="111" t="s">
        <v>229</v>
      </c>
      <c r="X616" s="112" t="s">
        <v>229</v>
      </c>
      <c r="Y616" s="114" t="s">
        <v>229</v>
      </c>
      <c r="Z616" s="111" t="s">
        <v>229</v>
      </c>
    </row>
    <row r="617" ht="15.75" customHeight="1">
      <c r="A617" s="109"/>
      <c r="B617" s="110"/>
      <c r="C617" s="110"/>
      <c r="D617" s="109"/>
      <c r="E617" s="109"/>
      <c r="F617" s="109"/>
      <c r="G617" s="111"/>
      <c r="H617" s="111"/>
      <c r="I617" s="112"/>
      <c r="J617" s="112"/>
      <c r="K617" s="113"/>
      <c r="L617" s="109"/>
      <c r="M617" s="109"/>
      <c r="N617" s="113" t="s">
        <v>229</v>
      </c>
      <c r="O617" s="113" t="s">
        <v>229</v>
      </c>
      <c r="P617" s="113" t="s">
        <v>229</v>
      </c>
      <c r="Q617" s="113" t="s">
        <v>229</v>
      </c>
      <c r="R617" s="113" t="s">
        <v>229</v>
      </c>
      <c r="S617" s="113" t="s">
        <v>229</v>
      </c>
      <c r="T617" s="114" t="s">
        <v>229</v>
      </c>
      <c r="U617" s="109" t="s">
        <v>229</v>
      </c>
      <c r="V617" s="112" t="s">
        <v>229</v>
      </c>
      <c r="W617" s="111" t="s">
        <v>229</v>
      </c>
      <c r="X617" s="112" t="s">
        <v>229</v>
      </c>
      <c r="Y617" s="114" t="s">
        <v>229</v>
      </c>
      <c r="Z617" s="111" t="s">
        <v>229</v>
      </c>
    </row>
    <row r="618" ht="15.75" customHeight="1">
      <c r="A618" s="109"/>
      <c r="B618" s="110"/>
      <c r="C618" s="110"/>
      <c r="D618" s="109"/>
      <c r="E618" s="109"/>
      <c r="F618" s="109"/>
      <c r="G618" s="111"/>
      <c r="H618" s="111"/>
      <c r="I618" s="112"/>
      <c r="J618" s="112"/>
      <c r="K618" s="113"/>
      <c r="L618" s="109"/>
      <c r="M618" s="109"/>
      <c r="N618" s="113" t="s">
        <v>229</v>
      </c>
      <c r="O618" s="113" t="s">
        <v>229</v>
      </c>
      <c r="P618" s="113" t="s">
        <v>229</v>
      </c>
      <c r="Q618" s="113" t="s">
        <v>229</v>
      </c>
      <c r="R618" s="113" t="s">
        <v>229</v>
      </c>
      <c r="S618" s="113" t="s">
        <v>229</v>
      </c>
      <c r="T618" s="114" t="s">
        <v>229</v>
      </c>
      <c r="U618" s="109" t="s">
        <v>229</v>
      </c>
      <c r="V618" s="112" t="s">
        <v>229</v>
      </c>
      <c r="W618" s="111" t="s">
        <v>229</v>
      </c>
      <c r="X618" s="112" t="s">
        <v>229</v>
      </c>
      <c r="Y618" s="114" t="s">
        <v>229</v>
      </c>
      <c r="Z618" s="111" t="s">
        <v>229</v>
      </c>
    </row>
    <row r="619" ht="15.75" customHeight="1">
      <c r="A619" s="109"/>
      <c r="B619" s="110"/>
      <c r="C619" s="110"/>
      <c r="D619" s="109"/>
      <c r="E619" s="109"/>
      <c r="F619" s="109"/>
      <c r="G619" s="111"/>
      <c r="H619" s="111"/>
      <c r="I619" s="112"/>
      <c r="J619" s="112"/>
      <c r="K619" s="113"/>
      <c r="L619" s="109"/>
      <c r="M619" s="109"/>
      <c r="N619" s="113" t="s">
        <v>229</v>
      </c>
      <c r="O619" s="113" t="s">
        <v>229</v>
      </c>
      <c r="P619" s="113" t="s">
        <v>229</v>
      </c>
      <c r="Q619" s="113" t="s">
        <v>229</v>
      </c>
      <c r="R619" s="113" t="s">
        <v>229</v>
      </c>
      <c r="S619" s="113" t="s">
        <v>229</v>
      </c>
      <c r="T619" s="114" t="s">
        <v>229</v>
      </c>
      <c r="U619" s="109" t="s">
        <v>229</v>
      </c>
      <c r="V619" s="112" t="s">
        <v>229</v>
      </c>
      <c r="W619" s="111" t="s">
        <v>229</v>
      </c>
      <c r="X619" s="112" t="s">
        <v>229</v>
      </c>
      <c r="Y619" s="114" t="s">
        <v>229</v>
      </c>
      <c r="Z619" s="111" t="s">
        <v>229</v>
      </c>
    </row>
    <row r="620" ht="15.75" customHeight="1">
      <c r="A620" s="109"/>
      <c r="B620" s="110"/>
      <c r="C620" s="110"/>
      <c r="D620" s="109"/>
      <c r="E620" s="109"/>
      <c r="F620" s="109"/>
      <c r="G620" s="111"/>
      <c r="H620" s="111"/>
      <c r="I620" s="112"/>
      <c r="J620" s="112"/>
      <c r="K620" s="113"/>
      <c r="L620" s="109"/>
      <c r="M620" s="109"/>
      <c r="N620" s="113" t="s">
        <v>229</v>
      </c>
      <c r="O620" s="113" t="s">
        <v>229</v>
      </c>
      <c r="P620" s="113" t="s">
        <v>229</v>
      </c>
      <c r="Q620" s="113" t="s">
        <v>229</v>
      </c>
      <c r="R620" s="113" t="s">
        <v>229</v>
      </c>
      <c r="S620" s="113" t="s">
        <v>229</v>
      </c>
      <c r="T620" s="114" t="s">
        <v>229</v>
      </c>
      <c r="U620" s="109" t="s">
        <v>229</v>
      </c>
      <c r="V620" s="112" t="s">
        <v>229</v>
      </c>
      <c r="W620" s="111" t="s">
        <v>229</v>
      </c>
      <c r="X620" s="112" t="s">
        <v>229</v>
      </c>
      <c r="Y620" s="114" t="s">
        <v>229</v>
      </c>
      <c r="Z620" s="111" t="s">
        <v>229</v>
      </c>
    </row>
    <row r="621" ht="15.75" customHeight="1">
      <c r="A621" s="109"/>
      <c r="B621" s="110"/>
      <c r="C621" s="110"/>
      <c r="D621" s="109"/>
      <c r="E621" s="109"/>
      <c r="F621" s="109"/>
      <c r="G621" s="111"/>
      <c r="H621" s="111"/>
      <c r="I621" s="112"/>
      <c r="J621" s="112"/>
      <c r="K621" s="113"/>
      <c r="L621" s="109"/>
      <c r="M621" s="109"/>
      <c r="N621" s="113" t="s">
        <v>229</v>
      </c>
      <c r="O621" s="113" t="s">
        <v>229</v>
      </c>
      <c r="P621" s="113" t="s">
        <v>229</v>
      </c>
      <c r="Q621" s="113" t="s">
        <v>229</v>
      </c>
      <c r="R621" s="113" t="s">
        <v>229</v>
      </c>
      <c r="S621" s="113" t="s">
        <v>229</v>
      </c>
      <c r="T621" s="114" t="s">
        <v>229</v>
      </c>
      <c r="U621" s="109" t="s">
        <v>229</v>
      </c>
      <c r="V621" s="112" t="s">
        <v>229</v>
      </c>
      <c r="W621" s="111" t="s">
        <v>229</v>
      </c>
      <c r="X621" s="112" t="s">
        <v>229</v>
      </c>
      <c r="Y621" s="114" t="s">
        <v>229</v>
      </c>
      <c r="Z621" s="111" t="s">
        <v>229</v>
      </c>
    </row>
    <row r="622" ht="15.75" customHeight="1">
      <c r="A622" s="109"/>
      <c r="B622" s="110"/>
      <c r="C622" s="110"/>
      <c r="D622" s="109"/>
      <c r="E622" s="109"/>
      <c r="F622" s="109"/>
      <c r="G622" s="111"/>
      <c r="H622" s="111"/>
      <c r="I622" s="112"/>
      <c r="J622" s="112"/>
      <c r="K622" s="113"/>
      <c r="L622" s="109"/>
      <c r="M622" s="109"/>
      <c r="N622" s="113" t="s">
        <v>229</v>
      </c>
      <c r="O622" s="113" t="s">
        <v>229</v>
      </c>
      <c r="P622" s="113" t="s">
        <v>229</v>
      </c>
      <c r="Q622" s="113" t="s">
        <v>229</v>
      </c>
      <c r="R622" s="113" t="s">
        <v>229</v>
      </c>
      <c r="S622" s="113" t="s">
        <v>229</v>
      </c>
      <c r="T622" s="114" t="s">
        <v>229</v>
      </c>
      <c r="U622" s="109" t="s">
        <v>229</v>
      </c>
      <c r="V622" s="112" t="s">
        <v>229</v>
      </c>
      <c r="W622" s="111" t="s">
        <v>229</v>
      </c>
      <c r="X622" s="112" t="s">
        <v>229</v>
      </c>
      <c r="Y622" s="114" t="s">
        <v>229</v>
      </c>
      <c r="Z622" s="111" t="s">
        <v>229</v>
      </c>
    </row>
    <row r="623" ht="15.75" customHeight="1">
      <c r="A623" s="109"/>
      <c r="B623" s="110"/>
      <c r="C623" s="110"/>
      <c r="D623" s="109"/>
      <c r="E623" s="109"/>
      <c r="F623" s="109"/>
      <c r="G623" s="111"/>
      <c r="H623" s="111"/>
      <c r="I623" s="112"/>
      <c r="J623" s="112"/>
      <c r="K623" s="113"/>
      <c r="L623" s="109"/>
      <c r="M623" s="109"/>
      <c r="N623" s="113" t="s">
        <v>229</v>
      </c>
      <c r="O623" s="113" t="s">
        <v>229</v>
      </c>
      <c r="P623" s="113" t="s">
        <v>229</v>
      </c>
      <c r="Q623" s="113" t="s">
        <v>229</v>
      </c>
      <c r="R623" s="113" t="s">
        <v>229</v>
      </c>
      <c r="S623" s="113" t="s">
        <v>229</v>
      </c>
      <c r="T623" s="114" t="s">
        <v>229</v>
      </c>
      <c r="U623" s="109" t="s">
        <v>229</v>
      </c>
      <c r="V623" s="112" t="s">
        <v>229</v>
      </c>
      <c r="W623" s="111" t="s">
        <v>229</v>
      </c>
      <c r="X623" s="112" t="s">
        <v>229</v>
      </c>
      <c r="Y623" s="114" t="s">
        <v>229</v>
      </c>
      <c r="Z623" s="111" t="s">
        <v>229</v>
      </c>
    </row>
    <row r="624" ht="15.75" customHeight="1">
      <c r="A624" s="109"/>
      <c r="B624" s="110"/>
      <c r="C624" s="110"/>
      <c r="D624" s="109"/>
      <c r="E624" s="109"/>
      <c r="F624" s="109"/>
      <c r="G624" s="111"/>
      <c r="H624" s="111"/>
      <c r="I624" s="112"/>
      <c r="J624" s="112"/>
      <c r="K624" s="113"/>
      <c r="L624" s="109"/>
      <c r="M624" s="109"/>
      <c r="N624" s="113" t="s">
        <v>229</v>
      </c>
      <c r="O624" s="113" t="s">
        <v>229</v>
      </c>
      <c r="P624" s="113" t="s">
        <v>229</v>
      </c>
      <c r="Q624" s="113" t="s">
        <v>229</v>
      </c>
      <c r="R624" s="113" t="s">
        <v>229</v>
      </c>
      <c r="S624" s="113" t="s">
        <v>229</v>
      </c>
      <c r="T624" s="114" t="s">
        <v>229</v>
      </c>
      <c r="U624" s="109" t="s">
        <v>229</v>
      </c>
      <c r="V624" s="112" t="s">
        <v>229</v>
      </c>
      <c r="W624" s="111" t="s">
        <v>229</v>
      </c>
      <c r="X624" s="112" t="s">
        <v>229</v>
      </c>
      <c r="Y624" s="114" t="s">
        <v>229</v>
      </c>
      <c r="Z624" s="111" t="s">
        <v>229</v>
      </c>
    </row>
    <row r="625" ht="15.75" customHeight="1">
      <c r="A625" s="109"/>
      <c r="B625" s="110"/>
      <c r="C625" s="110"/>
      <c r="D625" s="109"/>
      <c r="E625" s="109"/>
      <c r="F625" s="109"/>
      <c r="G625" s="111"/>
      <c r="H625" s="111"/>
      <c r="I625" s="112"/>
      <c r="J625" s="112"/>
      <c r="K625" s="113"/>
      <c r="L625" s="109"/>
      <c r="M625" s="109"/>
      <c r="N625" s="113" t="s">
        <v>229</v>
      </c>
      <c r="O625" s="113" t="s">
        <v>229</v>
      </c>
      <c r="P625" s="113" t="s">
        <v>229</v>
      </c>
      <c r="Q625" s="113" t="s">
        <v>229</v>
      </c>
      <c r="R625" s="113" t="s">
        <v>229</v>
      </c>
      <c r="S625" s="113" t="s">
        <v>229</v>
      </c>
      <c r="T625" s="114" t="s">
        <v>229</v>
      </c>
      <c r="U625" s="109" t="s">
        <v>229</v>
      </c>
      <c r="V625" s="112" t="s">
        <v>229</v>
      </c>
      <c r="W625" s="111" t="s">
        <v>229</v>
      </c>
      <c r="X625" s="112" t="s">
        <v>229</v>
      </c>
      <c r="Y625" s="114" t="s">
        <v>229</v>
      </c>
      <c r="Z625" s="111" t="s">
        <v>229</v>
      </c>
    </row>
    <row r="626" ht="15.75" customHeight="1">
      <c r="A626" s="109"/>
      <c r="B626" s="110"/>
      <c r="C626" s="110"/>
      <c r="D626" s="109"/>
      <c r="E626" s="109"/>
      <c r="F626" s="109"/>
      <c r="G626" s="111"/>
      <c r="H626" s="111"/>
      <c r="I626" s="112"/>
      <c r="J626" s="112"/>
      <c r="K626" s="113"/>
      <c r="L626" s="109"/>
      <c r="M626" s="109"/>
      <c r="N626" s="113" t="s">
        <v>229</v>
      </c>
      <c r="O626" s="113" t="s">
        <v>229</v>
      </c>
      <c r="P626" s="113" t="s">
        <v>229</v>
      </c>
      <c r="Q626" s="113" t="s">
        <v>229</v>
      </c>
      <c r="R626" s="113" t="s">
        <v>229</v>
      </c>
      <c r="S626" s="113" t="s">
        <v>229</v>
      </c>
      <c r="T626" s="114" t="s">
        <v>229</v>
      </c>
      <c r="U626" s="109" t="s">
        <v>229</v>
      </c>
      <c r="V626" s="112" t="s">
        <v>229</v>
      </c>
      <c r="W626" s="111" t="s">
        <v>229</v>
      </c>
      <c r="X626" s="112" t="s">
        <v>229</v>
      </c>
      <c r="Y626" s="114" t="s">
        <v>229</v>
      </c>
      <c r="Z626" s="111" t="s">
        <v>229</v>
      </c>
    </row>
    <row r="627" ht="15.75" customHeight="1">
      <c r="A627" s="109"/>
      <c r="B627" s="110"/>
      <c r="C627" s="110"/>
      <c r="D627" s="109"/>
      <c r="E627" s="109"/>
      <c r="F627" s="109"/>
      <c r="G627" s="111"/>
      <c r="H627" s="111"/>
      <c r="I627" s="112"/>
      <c r="J627" s="112"/>
      <c r="K627" s="113"/>
      <c r="L627" s="109"/>
      <c r="M627" s="109"/>
      <c r="N627" s="113" t="s">
        <v>229</v>
      </c>
      <c r="O627" s="113" t="s">
        <v>229</v>
      </c>
      <c r="P627" s="113" t="s">
        <v>229</v>
      </c>
      <c r="Q627" s="113" t="s">
        <v>229</v>
      </c>
      <c r="R627" s="113" t="s">
        <v>229</v>
      </c>
      <c r="S627" s="113" t="s">
        <v>229</v>
      </c>
      <c r="T627" s="114" t="s">
        <v>229</v>
      </c>
      <c r="U627" s="109" t="s">
        <v>229</v>
      </c>
      <c r="V627" s="112" t="s">
        <v>229</v>
      </c>
      <c r="W627" s="111" t="s">
        <v>229</v>
      </c>
      <c r="X627" s="112" t="s">
        <v>229</v>
      </c>
      <c r="Y627" s="114" t="s">
        <v>229</v>
      </c>
      <c r="Z627" s="111" t="s">
        <v>229</v>
      </c>
    </row>
    <row r="628" ht="15.75" customHeight="1">
      <c r="A628" s="109"/>
      <c r="B628" s="110"/>
      <c r="C628" s="110"/>
      <c r="D628" s="109"/>
      <c r="E628" s="109"/>
      <c r="F628" s="109"/>
      <c r="G628" s="111"/>
      <c r="H628" s="111"/>
      <c r="I628" s="112"/>
      <c r="J628" s="112"/>
      <c r="K628" s="113"/>
      <c r="L628" s="109"/>
      <c r="M628" s="109"/>
      <c r="N628" s="113" t="s">
        <v>229</v>
      </c>
      <c r="O628" s="113" t="s">
        <v>229</v>
      </c>
      <c r="P628" s="113" t="s">
        <v>229</v>
      </c>
      <c r="Q628" s="113" t="s">
        <v>229</v>
      </c>
      <c r="R628" s="113" t="s">
        <v>229</v>
      </c>
      <c r="S628" s="113" t="s">
        <v>229</v>
      </c>
      <c r="T628" s="114" t="s">
        <v>229</v>
      </c>
      <c r="U628" s="109" t="s">
        <v>229</v>
      </c>
      <c r="V628" s="112" t="s">
        <v>229</v>
      </c>
      <c r="W628" s="111" t="s">
        <v>229</v>
      </c>
      <c r="X628" s="112" t="s">
        <v>229</v>
      </c>
      <c r="Y628" s="114" t="s">
        <v>229</v>
      </c>
      <c r="Z628" s="111" t="s">
        <v>229</v>
      </c>
    </row>
    <row r="629" ht="15.75" customHeight="1">
      <c r="A629" s="109"/>
      <c r="B629" s="110"/>
      <c r="C629" s="110"/>
      <c r="D629" s="109"/>
      <c r="E629" s="109"/>
      <c r="F629" s="109"/>
      <c r="G629" s="111"/>
      <c r="H629" s="111"/>
      <c r="I629" s="112"/>
      <c r="J629" s="112"/>
      <c r="K629" s="113"/>
      <c r="L629" s="109"/>
      <c r="M629" s="109"/>
      <c r="N629" s="113" t="s">
        <v>229</v>
      </c>
      <c r="O629" s="113" t="s">
        <v>229</v>
      </c>
      <c r="P629" s="113" t="s">
        <v>229</v>
      </c>
      <c r="Q629" s="113" t="s">
        <v>229</v>
      </c>
      <c r="R629" s="113" t="s">
        <v>229</v>
      </c>
      <c r="S629" s="113" t="s">
        <v>229</v>
      </c>
      <c r="T629" s="114" t="s">
        <v>229</v>
      </c>
      <c r="U629" s="109" t="s">
        <v>229</v>
      </c>
      <c r="V629" s="112" t="s">
        <v>229</v>
      </c>
      <c r="W629" s="111" t="s">
        <v>229</v>
      </c>
      <c r="X629" s="112" t="s">
        <v>229</v>
      </c>
      <c r="Y629" s="114" t="s">
        <v>229</v>
      </c>
      <c r="Z629" s="111" t="s">
        <v>229</v>
      </c>
    </row>
    <row r="630" ht="15.75" customHeight="1">
      <c r="A630" s="109"/>
      <c r="B630" s="110"/>
      <c r="C630" s="110"/>
      <c r="D630" s="109"/>
      <c r="E630" s="109"/>
      <c r="F630" s="109"/>
      <c r="G630" s="111"/>
      <c r="H630" s="111"/>
      <c r="I630" s="112"/>
      <c r="J630" s="112"/>
      <c r="K630" s="113"/>
      <c r="L630" s="109"/>
      <c r="M630" s="109"/>
      <c r="N630" s="113" t="s">
        <v>229</v>
      </c>
      <c r="O630" s="113" t="s">
        <v>229</v>
      </c>
      <c r="P630" s="113" t="s">
        <v>229</v>
      </c>
      <c r="Q630" s="113" t="s">
        <v>229</v>
      </c>
      <c r="R630" s="113" t="s">
        <v>229</v>
      </c>
      <c r="S630" s="113" t="s">
        <v>229</v>
      </c>
      <c r="T630" s="114" t="s">
        <v>229</v>
      </c>
      <c r="U630" s="109" t="s">
        <v>229</v>
      </c>
      <c r="V630" s="112" t="s">
        <v>229</v>
      </c>
      <c r="W630" s="111" t="s">
        <v>229</v>
      </c>
      <c r="X630" s="112" t="s">
        <v>229</v>
      </c>
      <c r="Y630" s="114" t="s">
        <v>229</v>
      </c>
      <c r="Z630" s="111" t="s">
        <v>229</v>
      </c>
    </row>
    <row r="631" ht="15.75" customHeight="1">
      <c r="A631" s="109"/>
      <c r="B631" s="110"/>
      <c r="C631" s="110"/>
      <c r="D631" s="109"/>
      <c r="E631" s="109"/>
      <c r="F631" s="109"/>
      <c r="G631" s="111"/>
      <c r="H631" s="111"/>
      <c r="I631" s="112"/>
      <c r="J631" s="112"/>
      <c r="K631" s="113"/>
      <c r="L631" s="109"/>
      <c r="M631" s="109"/>
      <c r="N631" s="113" t="s">
        <v>229</v>
      </c>
      <c r="O631" s="113" t="s">
        <v>229</v>
      </c>
      <c r="P631" s="113" t="s">
        <v>229</v>
      </c>
      <c r="Q631" s="113" t="s">
        <v>229</v>
      </c>
      <c r="R631" s="113" t="s">
        <v>229</v>
      </c>
      <c r="S631" s="113" t="s">
        <v>229</v>
      </c>
      <c r="T631" s="114" t="s">
        <v>229</v>
      </c>
      <c r="U631" s="109" t="s">
        <v>229</v>
      </c>
      <c r="V631" s="112" t="s">
        <v>229</v>
      </c>
      <c r="W631" s="111" t="s">
        <v>229</v>
      </c>
      <c r="X631" s="112" t="s">
        <v>229</v>
      </c>
      <c r="Y631" s="114" t="s">
        <v>229</v>
      </c>
      <c r="Z631" s="111" t="s">
        <v>229</v>
      </c>
    </row>
    <row r="632" ht="15.75" customHeight="1">
      <c r="A632" s="109"/>
      <c r="B632" s="110"/>
      <c r="C632" s="110"/>
      <c r="D632" s="109"/>
      <c r="E632" s="109"/>
      <c r="F632" s="109"/>
      <c r="G632" s="111"/>
      <c r="H632" s="111"/>
      <c r="I632" s="112"/>
      <c r="J632" s="112"/>
      <c r="K632" s="113"/>
      <c r="L632" s="109"/>
      <c r="M632" s="109"/>
      <c r="N632" s="113" t="s">
        <v>229</v>
      </c>
      <c r="O632" s="113" t="s">
        <v>229</v>
      </c>
      <c r="P632" s="113" t="s">
        <v>229</v>
      </c>
      <c r="Q632" s="113" t="s">
        <v>229</v>
      </c>
      <c r="R632" s="113" t="s">
        <v>229</v>
      </c>
      <c r="S632" s="113" t="s">
        <v>229</v>
      </c>
      <c r="T632" s="114" t="s">
        <v>229</v>
      </c>
      <c r="U632" s="109" t="s">
        <v>229</v>
      </c>
      <c r="V632" s="112" t="s">
        <v>229</v>
      </c>
      <c r="W632" s="111" t="s">
        <v>229</v>
      </c>
      <c r="X632" s="112" t="s">
        <v>229</v>
      </c>
      <c r="Y632" s="114" t="s">
        <v>229</v>
      </c>
      <c r="Z632" s="111" t="s">
        <v>229</v>
      </c>
    </row>
    <row r="633" ht="15.75" customHeight="1">
      <c r="A633" s="109"/>
      <c r="B633" s="110"/>
      <c r="C633" s="110"/>
      <c r="D633" s="109"/>
      <c r="E633" s="109"/>
      <c r="F633" s="109"/>
      <c r="G633" s="111"/>
      <c r="H633" s="111"/>
      <c r="I633" s="112"/>
      <c r="J633" s="112"/>
      <c r="K633" s="113"/>
      <c r="L633" s="109"/>
      <c r="M633" s="109"/>
      <c r="N633" s="113" t="s">
        <v>229</v>
      </c>
      <c r="O633" s="113" t="s">
        <v>229</v>
      </c>
      <c r="P633" s="113" t="s">
        <v>229</v>
      </c>
      <c r="Q633" s="113" t="s">
        <v>229</v>
      </c>
      <c r="R633" s="113" t="s">
        <v>229</v>
      </c>
      <c r="S633" s="113" t="s">
        <v>229</v>
      </c>
      <c r="T633" s="114" t="s">
        <v>229</v>
      </c>
      <c r="U633" s="109" t="s">
        <v>229</v>
      </c>
      <c r="V633" s="112" t="s">
        <v>229</v>
      </c>
      <c r="W633" s="111" t="s">
        <v>229</v>
      </c>
      <c r="X633" s="112" t="s">
        <v>229</v>
      </c>
      <c r="Y633" s="114" t="s">
        <v>229</v>
      </c>
      <c r="Z633" s="111" t="s">
        <v>229</v>
      </c>
    </row>
    <row r="634" ht="15.75" customHeight="1">
      <c r="A634" s="109"/>
      <c r="B634" s="110"/>
      <c r="C634" s="110"/>
      <c r="D634" s="109"/>
      <c r="E634" s="109"/>
      <c r="F634" s="109"/>
      <c r="G634" s="111"/>
      <c r="H634" s="111"/>
      <c r="I634" s="112"/>
      <c r="J634" s="112"/>
      <c r="K634" s="113"/>
      <c r="L634" s="109"/>
      <c r="M634" s="109"/>
      <c r="N634" s="113" t="s">
        <v>229</v>
      </c>
      <c r="O634" s="113" t="s">
        <v>229</v>
      </c>
      <c r="P634" s="113" t="s">
        <v>229</v>
      </c>
      <c r="Q634" s="113" t="s">
        <v>229</v>
      </c>
      <c r="R634" s="113" t="s">
        <v>229</v>
      </c>
      <c r="S634" s="113" t="s">
        <v>229</v>
      </c>
      <c r="T634" s="114" t="s">
        <v>229</v>
      </c>
      <c r="U634" s="109" t="s">
        <v>229</v>
      </c>
      <c r="V634" s="112" t="s">
        <v>229</v>
      </c>
      <c r="W634" s="111" t="s">
        <v>229</v>
      </c>
      <c r="X634" s="112" t="s">
        <v>229</v>
      </c>
      <c r="Y634" s="114" t="s">
        <v>229</v>
      </c>
      <c r="Z634" s="111" t="s">
        <v>229</v>
      </c>
    </row>
    <row r="635" ht="15.75" customHeight="1">
      <c r="A635" s="109"/>
      <c r="B635" s="110"/>
      <c r="C635" s="110"/>
      <c r="D635" s="109"/>
      <c r="E635" s="109"/>
      <c r="F635" s="109"/>
      <c r="G635" s="111"/>
      <c r="H635" s="111"/>
      <c r="I635" s="112"/>
      <c r="J635" s="112"/>
      <c r="K635" s="113"/>
      <c r="L635" s="109"/>
      <c r="M635" s="109"/>
      <c r="N635" s="113" t="s">
        <v>229</v>
      </c>
      <c r="O635" s="113" t="s">
        <v>229</v>
      </c>
      <c r="P635" s="113" t="s">
        <v>229</v>
      </c>
      <c r="Q635" s="113" t="s">
        <v>229</v>
      </c>
      <c r="R635" s="113" t="s">
        <v>229</v>
      </c>
      <c r="S635" s="113" t="s">
        <v>229</v>
      </c>
      <c r="T635" s="114" t="s">
        <v>229</v>
      </c>
      <c r="U635" s="109" t="s">
        <v>229</v>
      </c>
      <c r="V635" s="112" t="s">
        <v>229</v>
      </c>
      <c r="W635" s="111" t="s">
        <v>229</v>
      </c>
      <c r="X635" s="112" t="s">
        <v>229</v>
      </c>
      <c r="Y635" s="114" t="s">
        <v>229</v>
      </c>
      <c r="Z635" s="111" t="s">
        <v>229</v>
      </c>
    </row>
    <row r="636" ht="15.75" customHeight="1">
      <c r="A636" s="109"/>
      <c r="B636" s="110"/>
      <c r="C636" s="110"/>
      <c r="D636" s="109"/>
      <c r="E636" s="109"/>
      <c r="F636" s="109"/>
      <c r="G636" s="111"/>
      <c r="H636" s="111"/>
      <c r="I636" s="112"/>
      <c r="J636" s="112"/>
      <c r="K636" s="113"/>
      <c r="L636" s="109"/>
      <c r="M636" s="109"/>
      <c r="N636" s="113" t="s">
        <v>229</v>
      </c>
      <c r="O636" s="113" t="s">
        <v>229</v>
      </c>
      <c r="P636" s="113" t="s">
        <v>229</v>
      </c>
      <c r="Q636" s="113" t="s">
        <v>229</v>
      </c>
      <c r="R636" s="113" t="s">
        <v>229</v>
      </c>
      <c r="S636" s="113" t="s">
        <v>229</v>
      </c>
      <c r="T636" s="114" t="s">
        <v>229</v>
      </c>
      <c r="U636" s="109" t="s">
        <v>229</v>
      </c>
      <c r="V636" s="112" t="s">
        <v>229</v>
      </c>
      <c r="W636" s="111" t="s">
        <v>229</v>
      </c>
      <c r="X636" s="112" t="s">
        <v>229</v>
      </c>
      <c r="Y636" s="114" t="s">
        <v>229</v>
      </c>
      <c r="Z636" s="111" t="s">
        <v>229</v>
      </c>
    </row>
    <row r="637" ht="15.75" customHeight="1">
      <c r="A637" s="109"/>
      <c r="B637" s="110"/>
      <c r="C637" s="110"/>
      <c r="D637" s="109"/>
      <c r="E637" s="109"/>
      <c r="F637" s="109"/>
      <c r="G637" s="111"/>
      <c r="H637" s="111"/>
      <c r="I637" s="112"/>
      <c r="J637" s="112"/>
      <c r="K637" s="113"/>
      <c r="L637" s="109"/>
      <c r="M637" s="109"/>
      <c r="N637" s="113" t="s">
        <v>229</v>
      </c>
      <c r="O637" s="113" t="s">
        <v>229</v>
      </c>
      <c r="P637" s="113" t="s">
        <v>229</v>
      </c>
      <c r="Q637" s="113" t="s">
        <v>229</v>
      </c>
      <c r="R637" s="113" t="s">
        <v>229</v>
      </c>
      <c r="S637" s="113" t="s">
        <v>229</v>
      </c>
      <c r="T637" s="114" t="s">
        <v>229</v>
      </c>
      <c r="U637" s="109" t="s">
        <v>229</v>
      </c>
      <c r="V637" s="112" t="s">
        <v>229</v>
      </c>
      <c r="W637" s="111" t="s">
        <v>229</v>
      </c>
      <c r="X637" s="112" t="s">
        <v>229</v>
      </c>
      <c r="Y637" s="114" t="s">
        <v>229</v>
      </c>
      <c r="Z637" s="111" t="s">
        <v>229</v>
      </c>
    </row>
    <row r="638" ht="15.75" customHeight="1">
      <c r="A638" s="109"/>
      <c r="B638" s="110"/>
      <c r="C638" s="110"/>
      <c r="D638" s="109"/>
      <c r="E638" s="109"/>
      <c r="F638" s="109"/>
      <c r="G638" s="111"/>
      <c r="H638" s="111"/>
      <c r="I638" s="112"/>
      <c r="J638" s="112"/>
      <c r="K638" s="113"/>
      <c r="L638" s="109"/>
      <c r="M638" s="109"/>
      <c r="N638" s="113" t="s">
        <v>229</v>
      </c>
      <c r="O638" s="113" t="s">
        <v>229</v>
      </c>
      <c r="P638" s="113" t="s">
        <v>229</v>
      </c>
      <c r="Q638" s="113" t="s">
        <v>229</v>
      </c>
      <c r="R638" s="113" t="s">
        <v>229</v>
      </c>
      <c r="S638" s="113" t="s">
        <v>229</v>
      </c>
      <c r="T638" s="114" t="s">
        <v>229</v>
      </c>
      <c r="U638" s="109" t="s">
        <v>229</v>
      </c>
      <c r="V638" s="112" t="s">
        <v>229</v>
      </c>
      <c r="W638" s="111" t="s">
        <v>229</v>
      </c>
      <c r="X638" s="112" t="s">
        <v>229</v>
      </c>
      <c r="Y638" s="114" t="s">
        <v>229</v>
      </c>
      <c r="Z638" s="111" t="s">
        <v>229</v>
      </c>
    </row>
    <row r="639" ht="15.75" customHeight="1">
      <c r="A639" s="109"/>
      <c r="B639" s="110"/>
      <c r="C639" s="110"/>
      <c r="D639" s="109"/>
      <c r="E639" s="109"/>
      <c r="F639" s="109"/>
      <c r="G639" s="111"/>
      <c r="H639" s="111"/>
      <c r="I639" s="112"/>
      <c r="J639" s="112"/>
      <c r="K639" s="113"/>
      <c r="L639" s="109"/>
      <c r="M639" s="109"/>
      <c r="N639" s="113" t="s">
        <v>229</v>
      </c>
      <c r="O639" s="113" t="s">
        <v>229</v>
      </c>
      <c r="P639" s="113" t="s">
        <v>229</v>
      </c>
      <c r="Q639" s="113" t="s">
        <v>229</v>
      </c>
      <c r="R639" s="113" t="s">
        <v>229</v>
      </c>
      <c r="S639" s="113" t="s">
        <v>229</v>
      </c>
      <c r="T639" s="114" t="s">
        <v>229</v>
      </c>
      <c r="U639" s="109" t="s">
        <v>229</v>
      </c>
      <c r="V639" s="112" t="s">
        <v>229</v>
      </c>
      <c r="W639" s="111" t="s">
        <v>229</v>
      </c>
      <c r="X639" s="112" t="s">
        <v>229</v>
      </c>
      <c r="Y639" s="114" t="s">
        <v>229</v>
      </c>
      <c r="Z639" s="111" t="s">
        <v>229</v>
      </c>
    </row>
    <row r="640" ht="15.75" customHeight="1">
      <c r="A640" s="109"/>
      <c r="B640" s="110"/>
      <c r="C640" s="110"/>
      <c r="D640" s="109"/>
      <c r="E640" s="109"/>
      <c r="F640" s="109"/>
      <c r="G640" s="111"/>
      <c r="H640" s="111"/>
      <c r="I640" s="112"/>
      <c r="J640" s="112"/>
      <c r="K640" s="113"/>
      <c r="L640" s="109"/>
      <c r="M640" s="109"/>
      <c r="N640" s="113" t="s">
        <v>229</v>
      </c>
      <c r="O640" s="113" t="s">
        <v>229</v>
      </c>
      <c r="P640" s="113" t="s">
        <v>229</v>
      </c>
      <c r="Q640" s="113" t="s">
        <v>229</v>
      </c>
      <c r="R640" s="113" t="s">
        <v>229</v>
      </c>
      <c r="S640" s="113" t="s">
        <v>229</v>
      </c>
      <c r="T640" s="114" t="s">
        <v>229</v>
      </c>
      <c r="U640" s="109" t="s">
        <v>229</v>
      </c>
      <c r="V640" s="112" t="s">
        <v>229</v>
      </c>
      <c r="W640" s="111" t="s">
        <v>229</v>
      </c>
      <c r="X640" s="112" t="s">
        <v>229</v>
      </c>
      <c r="Y640" s="114" t="s">
        <v>229</v>
      </c>
      <c r="Z640" s="111" t="s">
        <v>229</v>
      </c>
    </row>
    <row r="641" ht="15.75" customHeight="1">
      <c r="A641" s="109"/>
      <c r="B641" s="110"/>
      <c r="C641" s="110"/>
      <c r="D641" s="109"/>
      <c r="E641" s="109"/>
      <c r="F641" s="109"/>
      <c r="G641" s="111"/>
      <c r="H641" s="111"/>
      <c r="I641" s="112"/>
      <c r="J641" s="112"/>
      <c r="K641" s="113"/>
      <c r="L641" s="109"/>
      <c r="M641" s="109"/>
      <c r="N641" s="113" t="s">
        <v>229</v>
      </c>
      <c r="O641" s="113" t="s">
        <v>229</v>
      </c>
      <c r="P641" s="113" t="s">
        <v>229</v>
      </c>
      <c r="Q641" s="113" t="s">
        <v>229</v>
      </c>
      <c r="R641" s="113" t="s">
        <v>229</v>
      </c>
      <c r="S641" s="113" t="s">
        <v>229</v>
      </c>
      <c r="T641" s="114" t="s">
        <v>229</v>
      </c>
      <c r="U641" s="109" t="s">
        <v>229</v>
      </c>
      <c r="V641" s="112" t="s">
        <v>229</v>
      </c>
      <c r="W641" s="111" t="s">
        <v>229</v>
      </c>
      <c r="X641" s="112" t="s">
        <v>229</v>
      </c>
      <c r="Y641" s="114" t="s">
        <v>229</v>
      </c>
      <c r="Z641" s="111" t="s">
        <v>229</v>
      </c>
    </row>
    <row r="642" ht="15.75" customHeight="1">
      <c r="A642" s="109"/>
      <c r="B642" s="110"/>
      <c r="C642" s="110"/>
      <c r="D642" s="109"/>
      <c r="E642" s="109"/>
      <c r="F642" s="109"/>
      <c r="G642" s="111"/>
      <c r="H642" s="111"/>
      <c r="I642" s="112"/>
      <c r="J642" s="112"/>
      <c r="K642" s="113"/>
      <c r="L642" s="109"/>
      <c r="M642" s="109"/>
      <c r="N642" s="113" t="s">
        <v>229</v>
      </c>
      <c r="O642" s="113" t="s">
        <v>229</v>
      </c>
      <c r="P642" s="113" t="s">
        <v>229</v>
      </c>
      <c r="Q642" s="113" t="s">
        <v>229</v>
      </c>
      <c r="R642" s="113" t="s">
        <v>229</v>
      </c>
      <c r="S642" s="113" t="s">
        <v>229</v>
      </c>
      <c r="T642" s="114" t="s">
        <v>229</v>
      </c>
      <c r="U642" s="109" t="s">
        <v>229</v>
      </c>
      <c r="V642" s="112" t="s">
        <v>229</v>
      </c>
      <c r="W642" s="111" t="s">
        <v>229</v>
      </c>
      <c r="X642" s="112" t="s">
        <v>229</v>
      </c>
      <c r="Y642" s="114" t="s">
        <v>229</v>
      </c>
      <c r="Z642" s="111" t="s">
        <v>229</v>
      </c>
    </row>
    <row r="643" ht="15.75" customHeight="1">
      <c r="A643" s="109"/>
      <c r="B643" s="110"/>
      <c r="C643" s="110"/>
      <c r="D643" s="109"/>
      <c r="E643" s="109"/>
      <c r="F643" s="109"/>
      <c r="G643" s="111"/>
      <c r="H643" s="111"/>
      <c r="I643" s="112"/>
      <c r="J643" s="112"/>
      <c r="K643" s="113"/>
      <c r="L643" s="109"/>
      <c r="M643" s="109"/>
      <c r="N643" s="113" t="s">
        <v>229</v>
      </c>
      <c r="O643" s="113" t="s">
        <v>229</v>
      </c>
      <c r="P643" s="113" t="s">
        <v>229</v>
      </c>
      <c r="Q643" s="113" t="s">
        <v>229</v>
      </c>
      <c r="R643" s="113" t="s">
        <v>229</v>
      </c>
      <c r="S643" s="113" t="s">
        <v>229</v>
      </c>
      <c r="T643" s="114" t="s">
        <v>229</v>
      </c>
      <c r="U643" s="109" t="s">
        <v>229</v>
      </c>
      <c r="V643" s="112" t="s">
        <v>229</v>
      </c>
      <c r="W643" s="111" t="s">
        <v>229</v>
      </c>
      <c r="X643" s="112" t="s">
        <v>229</v>
      </c>
      <c r="Y643" s="114" t="s">
        <v>229</v>
      </c>
      <c r="Z643" s="111" t="s">
        <v>229</v>
      </c>
    </row>
    <row r="644" ht="15.75" customHeight="1">
      <c r="A644" s="109"/>
      <c r="B644" s="110"/>
      <c r="C644" s="110"/>
      <c r="D644" s="109"/>
      <c r="E644" s="109"/>
      <c r="F644" s="109"/>
      <c r="G644" s="111"/>
      <c r="H644" s="111"/>
      <c r="I644" s="112"/>
      <c r="J644" s="112"/>
      <c r="K644" s="113"/>
      <c r="L644" s="109"/>
      <c r="M644" s="109"/>
      <c r="N644" s="113" t="s">
        <v>229</v>
      </c>
      <c r="O644" s="113" t="s">
        <v>229</v>
      </c>
      <c r="P644" s="113" t="s">
        <v>229</v>
      </c>
      <c r="Q644" s="113" t="s">
        <v>229</v>
      </c>
      <c r="R644" s="113" t="s">
        <v>229</v>
      </c>
      <c r="S644" s="113" t="s">
        <v>229</v>
      </c>
      <c r="T644" s="114" t="s">
        <v>229</v>
      </c>
      <c r="U644" s="109" t="s">
        <v>229</v>
      </c>
      <c r="V644" s="112" t="s">
        <v>229</v>
      </c>
      <c r="W644" s="111" t="s">
        <v>229</v>
      </c>
      <c r="X644" s="112" t="s">
        <v>229</v>
      </c>
      <c r="Y644" s="114" t="s">
        <v>229</v>
      </c>
      <c r="Z644" s="111" t="s">
        <v>229</v>
      </c>
    </row>
    <row r="645" ht="15.75" customHeight="1">
      <c r="A645" s="109"/>
      <c r="B645" s="110"/>
      <c r="C645" s="110"/>
      <c r="D645" s="109"/>
      <c r="E645" s="109"/>
      <c r="F645" s="109"/>
      <c r="G645" s="111"/>
      <c r="H645" s="111"/>
      <c r="I645" s="112"/>
      <c r="J645" s="112"/>
      <c r="K645" s="113"/>
      <c r="L645" s="109"/>
      <c r="M645" s="109"/>
      <c r="N645" s="113" t="s">
        <v>229</v>
      </c>
      <c r="O645" s="113" t="s">
        <v>229</v>
      </c>
      <c r="P645" s="113" t="s">
        <v>229</v>
      </c>
      <c r="Q645" s="113" t="s">
        <v>229</v>
      </c>
      <c r="R645" s="113" t="s">
        <v>229</v>
      </c>
      <c r="S645" s="113" t="s">
        <v>229</v>
      </c>
      <c r="T645" s="114" t="s">
        <v>229</v>
      </c>
      <c r="U645" s="109" t="s">
        <v>229</v>
      </c>
      <c r="V645" s="112" t="s">
        <v>229</v>
      </c>
      <c r="W645" s="111" t="s">
        <v>229</v>
      </c>
      <c r="X645" s="112" t="s">
        <v>229</v>
      </c>
      <c r="Y645" s="114" t="s">
        <v>229</v>
      </c>
      <c r="Z645" s="111" t="s">
        <v>229</v>
      </c>
    </row>
    <row r="646" ht="15.75" customHeight="1">
      <c r="A646" s="109"/>
      <c r="B646" s="110"/>
      <c r="C646" s="110"/>
      <c r="D646" s="109"/>
      <c r="E646" s="109"/>
      <c r="F646" s="109"/>
      <c r="G646" s="111"/>
      <c r="H646" s="111"/>
      <c r="I646" s="112"/>
      <c r="J646" s="112"/>
      <c r="K646" s="113"/>
      <c r="L646" s="109"/>
      <c r="M646" s="109"/>
      <c r="N646" s="113" t="s">
        <v>229</v>
      </c>
      <c r="O646" s="113" t="s">
        <v>229</v>
      </c>
      <c r="P646" s="113" t="s">
        <v>229</v>
      </c>
      <c r="Q646" s="113" t="s">
        <v>229</v>
      </c>
      <c r="R646" s="113" t="s">
        <v>229</v>
      </c>
      <c r="S646" s="113" t="s">
        <v>229</v>
      </c>
      <c r="T646" s="114" t="s">
        <v>229</v>
      </c>
      <c r="U646" s="109" t="s">
        <v>229</v>
      </c>
      <c r="V646" s="112" t="s">
        <v>229</v>
      </c>
      <c r="W646" s="111" t="s">
        <v>229</v>
      </c>
      <c r="X646" s="112" t="s">
        <v>229</v>
      </c>
      <c r="Y646" s="114" t="s">
        <v>229</v>
      </c>
      <c r="Z646" s="111" t="s">
        <v>229</v>
      </c>
    </row>
    <row r="647" ht="15.75" customHeight="1">
      <c r="A647" s="109"/>
      <c r="B647" s="110"/>
      <c r="C647" s="110"/>
      <c r="D647" s="109"/>
      <c r="E647" s="109"/>
      <c r="F647" s="109"/>
      <c r="G647" s="111"/>
      <c r="H647" s="111"/>
      <c r="I647" s="112"/>
      <c r="J647" s="112"/>
      <c r="K647" s="113"/>
      <c r="L647" s="109"/>
      <c r="M647" s="109"/>
      <c r="N647" s="113" t="s">
        <v>229</v>
      </c>
      <c r="O647" s="113" t="s">
        <v>229</v>
      </c>
      <c r="P647" s="113" t="s">
        <v>229</v>
      </c>
      <c r="Q647" s="113" t="s">
        <v>229</v>
      </c>
      <c r="R647" s="113" t="s">
        <v>229</v>
      </c>
      <c r="S647" s="113" t="s">
        <v>229</v>
      </c>
      <c r="T647" s="114" t="s">
        <v>229</v>
      </c>
      <c r="U647" s="109" t="s">
        <v>229</v>
      </c>
      <c r="V647" s="112" t="s">
        <v>229</v>
      </c>
      <c r="W647" s="111" t="s">
        <v>229</v>
      </c>
      <c r="X647" s="112" t="s">
        <v>229</v>
      </c>
      <c r="Y647" s="114" t="s">
        <v>229</v>
      </c>
      <c r="Z647" s="111" t="s">
        <v>229</v>
      </c>
    </row>
    <row r="648" ht="15.75" customHeight="1">
      <c r="A648" s="109"/>
      <c r="B648" s="110"/>
      <c r="C648" s="110"/>
      <c r="D648" s="109"/>
      <c r="E648" s="109"/>
      <c r="F648" s="109"/>
      <c r="G648" s="111"/>
      <c r="H648" s="111"/>
      <c r="I648" s="112"/>
      <c r="J648" s="112"/>
      <c r="K648" s="113"/>
      <c r="L648" s="109"/>
      <c r="M648" s="109"/>
      <c r="N648" s="113" t="s">
        <v>229</v>
      </c>
      <c r="O648" s="113" t="s">
        <v>229</v>
      </c>
      <c r="P648" s="113" t="s">
        <v>229</v>
      </c>
      <c r="Q648" s="113" t="s">
        <v>229</v>
      </c>
      <c r="R648" s="113" t="s">
        <v>229</v>
      </c>
      <c r="S648" s="113" t="s">
        <v>229</v>
      </c>
      <c r="T648" s="114" t="s">
        <v>229</v>
      </c>
      <c r="U648" s="109" t="s">
        <v>229</v>
      </c>
      <c r="V648" s="112" t="s">
        <v>229</v>
      </c>
      <c r="W648" s="111" t="s">
        <v>229</v>
      </c>
      <c r="X648" s="112" t="s">
        <v>229</v>
      </c>
      <c r="Y648" s="114" t="s">
        <v>229</v>
      </c>
      <c r="Z648" s="111" t="s">
        <v>229</v>
      </c>
    </row>
    <row r="649" ht="15.75" customHeight="1">
      <c r="A649" s="109"/>
      <c r="B649" s="110"/>
      <c r="C649" s="110"/>
      <c r="D649" s="109"/>
      <c r="E649" s="109"/>
      <c r="F649" s="109"/>
      <c r="G649" s="111"/>
      <c r="H649" s="111"/>
      <c r="I649" s="112"/>
      <c r="J649" s="112"/>
      <c r="K649" s="113"/>
      <c r="L649" s="109"/>
      <c r="M649" s="109"/>
      <c r="N649" s="113" t="s">
        <v>229</v>
      </c>
      <c r="O649" s="113" t="s">
        <v>229</v>
      </c>
      <c r="P649" s="113" t="s">
        <v>229</v>
      </c>
      <c r="Q649" s="113" t="s">
        <v>229</v>
      </c>
      <c r="R649" s="113" t="s">
        <v>229</v>
      </c>
      <c r="S649" s="113" t="s">
        <v>229</v>
      </c>
      <c r="T649" s="114" t="s">
        <v>229</v>
      </c>
      <c r="U649" s="109" t="s">
        <v>229</v>
      </c>
      <c r="V649" s="112" t="s">
        <v>229</v>
      </c>
      <c r="W649" s="111" t="s">
        <v>229</v>
      </c>
      <c r="X649" s="112" t="s">
        <v>229</v>
      </c>
      <c r="Y649" s="114" t="s">
        <v>229</v>
      </c>
      <c r="Z649" s="111" t="s">
        <v>229</v>
      </c>
    </row>
    <row r="650" ht="15.75" customHeight="1">
      <c r="A650" s="109"/>
      <c r="B650" s="110"/>
      <c r="C650" s="110"/>
      <c r="D650" s="109"/>
      <c r="E650" s="109"/>
      <c r="F650" s="109"/>
      <c r="G650" s="111"/>
      <c r="H650" s="111"/>
      <c r="I650" s="112"/>
      <c r="J650" s="112"/>
      <c r="K650" s="113"/>
      <c r="L650" s="109"/>
      <c r="M650" s="109"/>
      <c r="N650" s="113" t="s">
        <v>229</v>
      </c>
      <c r="O650" s="113" t="s">
        <v>229</v>
      </c>
      <c r="P650" s="113" t="s">
        <v>229</v>
      </c>
      <c r="Q650" s="113" t="s">
        <v>229</v>
      </c>
      <c r="R650" s="113" t="s">
        <v>229</v>
      </c>
      <c r="S650" s="113" t="s">
        <v>229</v>
      </c>
      <c r="T650" s="114" t="s">
        <v>229</v>
      </c>
      <c r="U650" s="109" t="s">
        <v>229</v>
      </c>
      <c r="V650" s="112" t="s">
        <v>229</v>
      </c>
      <c r="W650" s="111" t="s">
        <v>229</v>
      </c>
      <c r="X650" s="112" t="s">
        <v>229</v>
      </c>
      <c r="Y650" s="114" t="s">
        <v>229</v>
      </c>
      <c r="Z650" s="111" t="s">
        <v>229</v>
      </c>
    </row>
    <row r="651" ht="15.75" customHeight="1">
      <c r="A651" s="109"/>
      <c r="B651" s="110"/>
      <c r="C651" s="110"/>
      <c r="D651" s="109"/>
      <c r="E651" s="109"/>
      <c r="F651" s="109"/>
      <c r="G651" s="111"/>
      <c r="H651" s="111"/>
      <c r="I651" s="112"/>
      <c r="J651" s="112"/>
      <c r="K651" s="113"/>
      <c r="L651" s="109"/>
      <c r="M651" s="109"/>
      <c r="N651" s="113" t="s">
        <v>229</v>
      </c>
      <c r="O651" s="113" t="s">
        <v>229</v>
      </c>
      <c r="P651" s="113" t="s">
        <v>229</v>
      </c>
      <c r="Q651" s="113" t="s">
        <v>229</v>
      </c>
      <c r="R651" s="113" t="s">
        <v>229</v>
      </c>
      <c r="S651" s="113" t="s">
        <v>229</v>
      </c>
      <c r="T651" s="114" t="s">
        <v>229</v>
      </c>
      <c r="U651" s="109" t="s">
        <v>229</v>
      </c>
      <c r="V651" s="112" t="s">
        <v>229</v>
      </c>
      <c r="W651" s="111" t="s">
        <v>229</v>
      </c>
      <c r="X651" s="112" t="s">
        <v>229</v>
      </c>
      <c r="Y651" s="114" t="s">
        <v>229</v>
      </c>
      <c r="Z651" s="111" t="s">
        <v>229</v>
      </c>
    </row>
    <row r="652" ht="15.75" customHeight="1">
      <c r="A652" s="109"/>
      <c r="B652" s="110"/>
      <c r="C652" s="110"/>
      <c r="D652" s="109"/>
      <c r="E652" s="109"/>
      <c r="F652" s="109"/>
      <c r="G652" s="111"/>
      <c r="H652" s="111"/>
      <c r="I652" s="112"/>
      <c r="J652" s="112"/>
      <c r="K652" s="113"/>
      <c r="L652" s="109"/>
      <c r="M652" s="109"/>
      <c r="N652" s="113" t="s">
        <v>229</v>
      </c>
      <c r="O652" s="113" t="s">
        <v>229</v>
      </c>
      <c r="P652" s="113" t="s">
        <v>229</v>
      </c>
      <c r="Q652" s="113" t="s">
        <v>229</v>
      </c>
      <c r="R652" s="113" t="s">
        <v>229</v>
      </c>
      <c r="S652" s="113" t="s">
        <v>229</v>
      </c>
      <c r="T652" s="114" t="s">
        <v>229</v>
      </c>
      <c r="U652" s="109" t="s">
        <v>229</v>
      </c>
      <c r="V652" s="112" t="s">
        <v>229</v>
      </c>
      <c r="W652" s="111" t="s">
        <v>229</v>
      </c>
      <c r="X652" s="112" t="s">
        <v>229</v>
      </c>
      <c r="Y652" s="114" t="s">
        <v>229</v>
      </c>
      <c r="Z652" s="111" t="s">
        <v>229</v>
      </c>
    </row>
    <row r="653" ht="15.75" customHeight="1">
      <c r="A653" s="109"/>
      <c r="B653" s="110"/>
      <c r="C653" s="110"/>
      <c r="D653" s="109"/>
      <c r="E653" s="109"/>
      <c r="F653" s="109"/>
      <c r="G653" s="111"/>
      <c r="H653" s="111"/>
      <c r="I653" s="112"/>
      <c r="J653" s="112"/>
      <c r="K653" s="113"/>
      <c r="L653" s="109"/>
      <c r="M653" s="109"/>
      <c r="N653" s="113" t="s">
        <v>229</v>
      </c>
      <c r="O653" s="113" t="s">
        <v>229</v>
      </c>
      <c r="P653" s="113" t="s">
        <v>229</v>
      </c>
      <c r="Q653" s="113" t="s">
        <v>229</v>
      </c>
      <c r="R653" s="113" t="s">
        <v>229</v>
      </c>
      <c r="S653" s="113" t="s">
        <v>229</v>
      </c>
      <c r="T653" s="114" t="s">
        <v>229</v>
      </c>
      <c r="U653" s="109" t="s">
        <v>229</v>
      </c>
      <c r="V653" s="112" t="s">
        <v>229</v>
      </c>
      <c r="W653" s="111" t="s">
        <v>229</v>
      </c>
      <c r="X653" s="112" t="s">
        <v>229</v>
      </c>
      <c r="Y653" s="114" t="s">
        <v>229</v>
      </c>
      <c r="Z653" s="111" t="s">
        <v>229</v>
      </c>
    </row>
    <row r="654" ht="15.75" customHeight="1">
      <c r="A654" s="109"/>
      <c r="B654" s="110"/>
      <c r="C654" s="110"/>
      <c r="D654" s="109"/>
      <c r="E654" s="109"/>
      <c r="F654" s="109"/>
      <c r="G654" s="111"/>
      <c r="H654" s="111"/>
      <c r="I654" s="112"/>
      <c r="J654" s="112"/>
      <c r="K654" s="113"/>
      <c r="L654" s="109"/>
      <c r="M654" s="109"/>
      <c r="N654" s="113" t="s">
        <v>229</v>
      </c>
      <c r="O654" s="113" t="s">
        <v>229</v>
      </c>
      <c r="P654" s="113" t="s">
        <v>229</v>
      </c>
      <c r="Q654" s="113" t="s">
        <v>229</v>
      </c>
      <c r="R654" s="113" t="s">
        <v>229</v>
      </c>
      <c r="S654" s="113" t="s">
        <v>229</v>
      </c>
      <c r="T654" s="114" t="s">
        <v>229</v>
      </c>
      <c r="U654" s="109" t="s">
        <v>229</v>
      </c>
      <c r="V654" s="112" t="s">
        <v>229</v>
      </c>
      <c r="W654" s="111" t="s">
        <v>229</v>
      </c>
      <c r="X654" s="112" t="s">
        <v>229</v>
      </c>
      <c r="Y654" s="114" t="s">
        <v>229</v>
      </c>
      <c r="Z654" s="111" t="s">
        <v>229</v>
      </c>
    </row>
    <row r="655" ht="15.75" customHeight="1">
      <c r="A655" s="109"/>
      <c r="B655" s="110"/>
      <c r="C655" s="110"/>
      <c r="D655" s="109"/>
      <c r="E655" s="109"/>
      <c r="F655" s="109"/>
      <c r="G655" s="111"/>
      <c r="H655" s="111"/>
      <c r="I655" s="112"/>
      <c r="J655" s="112"/>
      <c r="K655" s="113"/>
      <c r="L655" s="109"/>
      <c r="M655" s="109"/>
      <c r="N655" s="113" t="s">
        <v>229</v>
      </c>
      <c r="O655" s="113" t="s">
        <v>229</v>
      </c>
      <c r="P655" s="113" t="s">
        <v>229</v>
      </c>
      <c r="Q655" s="113" t="s">
        <v>229</v>
      </c>
      <c r="R655" s="113" t="s">
        <v>229</v>
      </c>
      <c r="S655" s="113" t="s">
        <v>229</v>
      </c>
      <c r="T655" s="114" t="s">
        <v>229</v>
      </c>
      <c r="U655" s="109" t="s">
        <v>229</v>
      </c>
      <c r="V655" s="112" t="s">
        <v>229</v>
      </c>
      <c r="W655" s="111" t="s">
        <v>229</v>
      </c>
      <c r="X655" s="112" t="s">
        <v>229</v>
      </c>
      <c r="Y655" s="114" t="s">
        <v>229</v>
      </c>
      <c r="Z655" s="111" t="s">
        <v>229</v>
      </c>
    </row>
    <row r="656" ht="15.75" customHeight="1">
      <c r="A656" s="109"/>
      <c r="B656" s="110"/>
      <c r="C656" s="110"/>
      <c r="D656" s="109"/>
      <c r="E656" s="109"/>
      <c r="F656" s="109"/>
      <c r="G656" s="111"/>
      <c r="H656" s="111"/>
      <c r="I656" s="112"/>
      <c r="J656" s="112"/>
      <c r="K656" s="113"/>
      <c r="L656" s="109"/>
      <c r="M656" s="109"/>
      <c r="N656" s="113" t="s">
        <v>229</v>
      </c>
      <c r="O656" s="113" t="s">
        <v>229</v>
      </c>
      <c r="P656" s="113" t="s">
        <v>229</v>
      </c>
      <c r="Q656" s="113" t="s">
        <v>229</v>
      </c>
      <c r="R656" s="113" t="s">
        <v>229</v>
      </c>
      <c r="S656" s="113" t="s">
        <v>229</v>
      </c>
      <c r="T656" s="114" t="s">
        <v>229</v>
      </c>
      <c r="U656" s="109" t="s">
        <v>229</v>
      </c>
      <c r="V656" s="112" t="s">
        <v>229</v>
      </c>
      <c r="W656" s="111" t="s">
        <v>229</v>
      </c>
      <c r="X656" s="112" t="s">
        <v>229</v>
      </c>
      <c r="Y656" s="114" t="s">
        <v>229</v>
      </c>
      <c r="Z656" s="111" t="s">
        <v>229</v>
      </c>
    </row>
    <row r="657" ht="15.75" customHeight="1">
      <c r="A657" s="109"/>
      <c r="B657" s="110"/>
      <c r="C657" s="110"/>
      <c r="D657" s="109"/>
      <c r="E657" s="109"/>
      <c r="F657" s="109"/>
      <c r="G657" s="111"/>
      <c r="H657" s="111"/>
      <c r="I657" s="112"/>
      <c r="J657" s="112"/>
      <c r="K657" s="113"/>
      <c r="L657" s="109"/>
      <c r="M657" s="109"/>
      <c r="N657" s="113" t="s">
        <v>229</v>
      </c>
      <c r="O657" s="113" t="s">
        <v>229</v>
      </c>
      <c r="P657" s="113" t="s">
        <v>229</v>
      </c>
      <c r="Q657" s="113" t="s">
        <v>229</v>
      </c>
      <c r="R657" s="113" t="s">
        <v>229</v>
      </c>
      <c r="S657" s="113" t="s">
        <v>229</v>
      </c>
      <c r="T657" s="114" t="s">
        <v>229</v>
      </c>
      <c r="U657" s="109" t="s">
        <v>229</v>
      </c>
      <c r="V657" s="112" t="s">
        <v>229</v>
      </c>
      <c r="W657" s="111" t="s">
        <v>229</v>
      </c>
      <c r="X657" s="112" t="s">
        <v>229</v>
      </c>
      <c r="Y657" s="114" t="s">
        <v>229</v>
      </c>
      <c r="Z657" s="111" t="s">
        <v>229</v>
      </c>
    </row>
    <row r="658" ht="15.75" customHeight="1">
      <c r="A658" s="109"/>
      <c r="B658" s="110"/>
      <c r="C658" s="110"/>
      <c r="D658" s="109"/>
      <c r="E658" s="109"/>
      <c r="F658" s="109"/>
      <c r="G658" s="111"/>
      <c r="H658" s="111"/>
      <c r="I658" s="112"/>
      <c r="J658" s="112"/>
      <c r="K658" s="113"/>
      <c r="L658" s="109"/>
      <c r="M658" s="109"/>
      <c r="N658" s="113" t="s">
        <v>229</v>
      </c>
      <c r="O658" s="113" t="s">
        <v>229</v>
      </c>
      <c r="P658" s="113" t="s">
        <v>229</v>
      </c>
      <c r="Q658" s="113" t="s">
        <v>229</v>
      </c>
      <c r="R658" s="113" t="s">
        <v>229</v>
      </c>
      <c r="S658" s="113" t="s">
        <v>229</v>
      </c>
      <c r="T658" s="114" t="s">
        <v>229</v>
      </c>
      <c r="U658" s="109" t="s">
        <v>229</v>
      </c>
      <c r="V658" s="112" t="s">
        <v>229</v>
      </c>
      <c r="W658" s="111" t="s">
        <v>229</v>
      </c>
      <c r="X658" s="112" t="s">
        <v>229</v>
      </c>
      <c r="Y658" s="114" t="s">
        <v>229</v>
      </c>
      <c r="Z658" s="111" t="s">
        <v>229</v>
      </c>
    </row>
    <row r="659" ht="15.75" customHeight="1">
      <c r="A659" s="109"/>
      <c r="B659" s="110"/>
      <c r="C659" s="110"/>
      <c r="D659" s="109"/>
      <c r="E659" s="109"/>
      <c r="F659" s="109"/>
      <c r="G659" s="111"/>
      <c r="H659" s="111"/>
      <c r="I659" s="112"/>
      <c r="J659" s="112"/>
      <c r="K659" s="113"/>
      <c r="L659" s="109"/>
      <c r="M659" s="109"/>
      <c r="N659" s="113" t="s">
        <v>229</v>
      </c>
      <c r="O659" s="113" t="s">
        <v>229</v>
      </c>
      <c r="P659" s="113" t="s">
        <v>229</v>
      </c>
      <c r="Q659" s="113" t="s">
        <v>229</v>
      </c>
      <c r="R659" s="113" t="s">
        <v>229</v>
      </c>
      <c r="S659" s="113" t="s">
        <v>229</v>
      </c>
      <c r="T659" s="114" t="s">
        <v>229</v>
      </c>
      <c r="U659" s="109" t="s">
        <v>229</v>
      </c>
      <c r="V659" s="112" t="s">
        <v>229</v>
      </c>
      <c r="W659" s="111" t="s">
        <v>229</v>
      </c>
      <c r="X659" s="112" t="s">
        <v>229</v>
      </c>
      <c r="Y659" s="114" t="s">
        <v>229</v>
      </c>
      <c r="Z659" s="111" t="s">
        <v>229</v>
      </c>
    </row>
    <row r="660" ht="15.75" customHeight="1">
      <c r="A660" s="109"/>
      <c r="B660" s="110"/>
      <c r="C660" s="110"/>
      <c r="D660" s="109"/>
      <c r="E660" s="109"/>
      <c r="F660" s="109"/>
      <c r="G660" s="111"/>
      <c r="H660" s="111"/>
      <c r="I660" s="112"/>
      <c r="J660" s="112"/>
      <c r="K660" s="113"/>
      <c r="L660" s="109"/>
      <c r="M660" s="109"/>
      <c r="N660" s="113" t="s">
        <v>229</v>
      </c>
      <c r="O660" s="113" t="s">
        <v>229</v>
      </c>
      <c r="P660" s="113" t="s">
        <v>229</v>
      </c>
      <c r="Q660" s="113" t="s">
        <v>229</v>
      </c>
      <c r="R660" s="113" t="s">
        <v>229</v>
      </c>
      <c r="S660" s="113" t="s">
        <v>229</v>
      </c>
      <c r="T660" s="114" t="s">
        <v>229</v>
      </c>
      <c r="U660" s="109" t="s">
        <v>229</v>
      </c>
      <c r="V660" s="112" t="s">
        <v>229</v>
      </c>
      <c r="W660" s="111" t="s">
        <v>229</v>
      </c>
      <c r="X660" s="112" t="s">
        <v>229</v>
      </c>
      <c r="Y660" s="114" t="s">
        <v>229</v>
      </c>
      <c r="Z660" s="111" t="s">
        <v>229</v>
      </c>
    </row>
    <row r="661" ht="15.75" customHeight="1">
      <c r="A661" s="109"/>
      <c r="B661" s="110"/>
      <c r="C661" s="110"/>
      <c r="D661" s="109"/>
      <c r="E661" s="109"/>
      <c r="F661" s="109"/>
      <c r="G661" s="111"/>
      <c r="H661" s="111"/>
      <c r="I661" s="112"/>
      <c r="J661" s="112"/>
      <c r="K661" s="113"/>
      <c r="L661" s="109"/>
      <c r="M661" s="109"/>
      <c r="N661" s="113" t="s">
        <v>229</v>
      </c>
      <c r="O661" s="113" t="s">
        <v>229</v>
      </c>
      <c r="P661" s="113" t="s">
        <v>229</v>
      </c>
      <c r="Q661" s="113" t="s">
        <v>229</v>
      </c>
      <c r="R661" s="113" t="s">
        <v>229</v>
      </c>
      <c r="S661" s="113" t="s">
        <v>229</v>
      </c>
      <c r="T661" s="114" t="s">
        <v>229</v>
      </c>
      <c r="U661" s="109" t="s">
        <v>229</v>
      </c>
      <c r="V661" s="112" t="s">
        <v>229</v>
      </c>
      <c r="W661" s="111" t="s">
        <v>229</v>
      </c>
      <c r="X661" s="112" t="s">
        <v>229</v>
      </c>
      <c r="Y661" s="114" t="s">
        <v>229</v>
      </c>
      <c r="Z661" s="111" t="s">
        <v>229</v>
      </c>
    </row>
    <row r="662" ht="15.75" customHeight="1">
      <c r="A662" s="109"/>
      <c r="B662" s="110"/>
      <c r="C662" s="110"/>
      <c r="D662" s="109"/>
      <c r="E662" s="109"/>
      <c r="F662" s="109"/>
      <c r="G662" s="111"/>
      <c r="H662" s="111"/>
      <c r="I662" s="112"/>
      <c r="J662" s="112"/>
      <c r="K662" s="113"/>
      <c r="L662" s="109"/>
      <c r="M662" s="109"/>
      <c r="N662" s="113" t="s">
        <v>229</v>
      </c>
      <c r="O662" s="113" t="s">
        <v>229</v>
      </c>
      <c r="P662" s="113" t="s">
        <v>229</v>
      </c>
      <c r="Q662" s="113" t="s">
        <v>229</v>
      </c>
      <c r="R662" s="113" t="s">
        <v>229</v>
      </c>
      <c r="S662" s="113" t="s">
        <v>229</v>
      </c>
      <c r="T662" s="114" t="s">
        <v>229</v>
      </c>
      <c r="U662" s="109" t="s">
        <v>229</v>
      </c>
      <c r="V662" s="112" t="s">
        <v>229</v>
      </c>
      <c r="W662" s="111" t="s">
        <v>229</v>
      </c>
      <c r="X662" s="112" t="s">
        <v>229</v>
      </c>
      <c r="Y662" s="114" t="s">
        <v>229</v>
      </c>
      <c r="Z662" s="111" t="s">
        <v>229</v>
      </c>
    </row>
    <row r="663" ht="15.75" customHeight="1">
      <c r="A663" s="109"/>
      <c r="B663" s="110"/>
      <c r="C663" s="110"/>
      <c r="D663" s="109"/>
      <c r="E663" s="109"/>
      <c r="F663" s="109"/>
      <c r="G663" s="111"/>
      <c r="H663" s="111"/>
      <c r="I663" s="112"/>
      <c r="J663" s="112"/>
      <c r="K663" s="113"/>
      <c r="L663" s="109"/>
      <c r="M663" s="109"/>
      <c r="N663" s="113" t="s">
        <v>229</v>
      </c>
      <c r="O663" s="113" t="s">
        <v>229</v>
      </c>
      <c r="P663" s="113" t="s">
        <v>229</v>
      </c>
      <c r="Q663" s="113" t="s">
        <v>229</v>
      </c>
      <c r="R663" s="113" t="s">
        <v>229</v>
      </c>
      <c r="S663" s="113" t="s">
        <v>229</v>
      </c>
      <c r="T663" s="114" t="s">
        <v>229</v>
      </c>
      <c r="U663" s="109" t="s">
        <v>229</v>
      </c>
      <c r="V663" s="112" t="s">
        <v>229</v>
      </c>
      <c r="W663" s="111" t="s">
        <v>229</v>
      </c>
      <c r="X663" s="112" t="s">
        <v>229</v>
      </c>
      <c r="Y663" s="114" t="s">
        <v>229</v>
      </c>
      <c r="Z663" s="111" t="s">
        <v>229</v>
      </c>
    </row>
    <row r="664" ht="15.75" customHeight="1">
      <c r="A664" s="109"/>
      <c r="B664" s="110"/>
      <c r="C664" s="110"/>
      <c r="D664" s="109"/>
      <c r="E664" s="109"/>
      <c r="F664" s="109"/>
      <c r="G664" s="111"/>
      <c r="H664" s="111"/>
      <c r="I664" s="112"/>
      <c r="J664" s="112"/>
      <c r="K664" s="113"/>
      <c r="L664" s="109"/>
      <c r="M664" s="109"/>
      <c r="N664" s="113" t="s">
        <v>229</v>
      </c>
      <c r="O664" s="113" t="s">
        <v>229</v>
      </c>
      <c r="P664" s="113" t="s">
        <v>229</v>
      </c>
      <c r="Q664" s="113" t="s">
        <v>229</v>
      </c>
      <c r="R664" s="113" t="s">
        <v>229</v>
      </c>
      <c r="S664" s="113" t="s">
        <v>229</v>
      </c>
      <c r="T664" s="114" t="s">
        <v>229</v>
      </c>
      <c r="U664" s="109" t="s">
        <v>229</v>
      </c>
      <c r="V664" s="112" t="s">
        <v>229</v>
      </c>
      <c r="W664" s="111" t="s">
        <v>229</v>
      </c>
      <c r="X664" s="112" t="s">
        <v>229</v>
      </c>
      <c r="Y664" s="114" t="s">
        <v>229</v>
      </c>
      <c r="Z664" s="111" t="s">
        <v>229</v>
      </c>
    </row>
    <row r="665" ht="15.75" customHeight="1">
      <c r="A665" s="109"/>
      <c r="B665" s="110"/>
      <c r="C665" s="110"/>
      <c r="D665" s="109"/>
      <c r="E665" s="109"/>
      <c r="F665" s="109"/>
      <c r="G665" s="111"/>
      <c r="H665" s="111"/>
      <c r="I665" s="112"/>
      <c r="J665" s="112"/>
      <c r="K665" s="113"/>
      <c r="L665" s="109"/>
      <c r="M665" s="109"/>
      <c r="N665" s="113" t="s">
        <v>229</v>
      </c>
      <c r="O665" s="113" t="s">
        <v>229</v>
      </c>
      <c r="P665" s="113" t="s">
        <v>229</v>
      </c>
      <c r="Q665" s="113" t="s">
        <v>229</v>
      </c>
      <c r="R665" s="113" t="s">
        <v>229</v>
      </c>
      <c r="S665" s="113" t="s">
        <v>229</v>
      </c>
      <c r="T665" s="114" t="s">
        <v>229</v>
      </c>
      <c r="U665" s="109" t="s">
        <v>229</v>
      </c>
      <c r="V665" s="112" t="s">
        <v>229</v>
      </c>
      <c r="W665" s="111" t="s">
        <v>229</v>
      </c>
      <c r="X665" s="112" t="s">
        <v>229</v>
      </c>
      <c r="Y665" s="114" t="s">
        <v>229</v>
      </c>
      <c r="Z665" s="111" t="s">
        <v>229</v>
      </c>
    </row>
    <row r="666" ht="15.75" customHeight="1">
      <c r="A666" s="109"/>
      <c r="B666" s="110"/>
      <c r="C666" s="110"/>
      <c r="D666" s="109"/>
      <c r="E666" s="109"/>
      <c r="F666" s="109"/>
      <c r="G666" s="111"/>
      <c r="H666" s="111"/>
      <c r="I666" s="112"/>
      <c r="J666" s="112"/>
      <c r="K666" s="113"/>
      <c r="L666" s="109"/>
      <c r="M666" s="109"/>
      <c r="N666" s="113" t="s">
        <v>229</v>
      </c>
      <c r="O666" s="113" t="s">
        <v>229</v>
      </c>
      <c r="P666" s="113" t="s">
        <v>229</v>
      </c>
      <c r="Q666" s="113" t="s">
        <v>229</v>
      </c>
      <c r="R666" s="113" t="s">
        <v>229</v>
      </c>
      <c r="S666" s="113" t="s">
        <v>229</v>
      </c>
      <c r="T666" s="114" t="s">
        <v>229</v>
      </c>
      <c r="U666" s="109" t="s">
        <v>229</v>
      </c>
      <c r="V666" s="112" t="s">
        <v>229</v>
      </c>
      <c r="W666" s="111" t="s">
        <v>229</v>
      </c>
      <c r="X666" s="112" t="s">
        <v>229</v>
      </c>
      <c r="Y666" s="114" t="s">
        <v>229</v>
      </c>
      <c r="Z666" s="111" t="s">
        <v>229</v>
      </c>
    </row>
    <row r="667" ht="15.75" customHeight="1">
      <c r="A667" s="109"/>
      <c r="B667" s="110"/>
      <c r="C667" s="110"/>
      <c r="D667" s="109"/>
      <c r="E667" s="109"/>
      <c r="F667" s="109"/>
      <c r="G667" s="111"/>
      <c r="H667" s="111"/>
      <c r="I667" s="112"/>
      <c r="J667" s="112"/>
      <c r="K667" s="113"/>
      <c r="L667" s="109"/>
      <c r="M667" s="109"/>
      <c r="N667" s="113" t="s">
        <v>229</v>
      </c>
      <c r="O667" s="113" t="s">
        <v>229</v>
      </c>
      <c r="P667" s="113" t="s">
        <v>229</v>
      </c>
      <c r="Q667" s="113" t="s">
        <v>229</v>
      </c>
      <c r="R667" s="113" t="s">
        <v>229</v>
      </c>
      <c r="S667" s="113" t="s">
        <v>229</v>
      </c>
      <c r="T667" s="114" t="s">
        <v>229</v>
      </c>
      <c r="U667" s="109" t="s">
        <v>229</v>
      </c>
      <c r="V667" s="112" t="s">
        <v>229</v>
      </c>
      <c r="W667" s="111" t="s">
        <v>229</v>
      </c>
      <c r="X667" s="112" t="s">
        <v>229</v>
      </c>
      <c r="Y667" s="114" t="s">
        <v>229</v>
      </c>
      <c r="Z667" s="111" t="s">
        <v>229</v>
      </c>
    </row>
    <row r="668" ht="15.75" customHeight="1">
      <c r="A668" s="109"/>
      <c r="B668" s="110"/>
      <c r="C668" s="110"/>
      <c r="D668" s="109"/>
      <c r="E668" s="109"/>
      <c r="F668" s="109"/>
      <c r="G668" s="111"/>
      <c r="H668" s="111"/>
      <c r="I668" s="112"/>
      <c r="J668" s="112"/>
      <c r="K668" s="113"/>
      <c r="L668" s="109"/>
      <c r="M668" s="109"/>
      <c r="N668" s="113" t="s">
        <v>229</v>
      </c>
      <c r="O668" s="113" t="s">
        <v>229</v>
      </c>
      <c r="P668" s="113" t="s">
        <v>229</v>
      </c>
      <c r="Q668" s="113" t="s">
        <v>229</v>
      </c>
      <c r="R668" s="113" t="s">
        <v>229</v>
      </c>
      <c r="S668" s="113" t="s">
        <v>229</v>
      </c>
      <c r="T668" s="114" t="s">
        <v>229</v>
      </c>
      <c r="U668" s="109" t="s">
        <v>229</v>
      </c>
      <c r="V668" s="112" t="s">
        <v>229</v>
      </c>
      <c r="W668" s="111" t="s">
        <v>229</v>
      </c>
      <c r="X668" s="112" t="s">
        <v>229</v>
      </c>
      <c r="Y668" s="114" t="s">
        <v>229</v>
      </c>
      <c r="Z668" s="111" t="s">
        <v>229</v>
      </c>
    </row>
    <row r="669" ht="15.75" customHeight="1">
      <c r="A669" s="109"/>
      <c r="B669" s="110"/>
      <c r="C669" s="110"/>
      <c r="D669" s="109"/>
      <c r="E669" s="109"/>
      <c r="F669" s="109"/>
      <c r="G669" s="111"/>
      <c r="H669" s="111"/>
      <c r="I669" s="112"/>
      <c r="J669" s="112"/>
      <c r="K669" s="113"/>
      <c r="L669" s="109"/>
      <c r="M669" s="109"/>
      <c r="N669" s="113" t="s">
        <v>229</v>
      </c>
      <c r="O669" s="113" t="s">
        <v>229</v>
      </c>
      <c r="P669" s="113" t="s">
        <v>229</v>
      </c>
      <c r="Q669" s="113" t="s">
        <v>229</v>
      </c>
      <c r="R669" s="113" t="s">
        <v>229</v>
      </c>
      <c r="S669" s="113" t="s">
        <v>229</v>
      </c>
      <c r="T669" s="114" t="s">
        <v>229</v>
      </c>
      <c r="U669" s="109" t="s">
        <v>229</v>
      </c>
      <c r="V669" s="112" t="s">
        <v>229</v>
      </c>
      <c r="W669" s="111" t="s">
        <v>229</v>
      </c>
      <c r="X669" s="112" t="s">
        <v>229</v>
      </c>
      <c r="Y669" s="114" t="s">
        <v>229</v>
      </c>
      <c r="Z669" s="111" t="s">
        <v>229</v>
      </c>
    </row>
    <row r="670" ht="15.75" customHeight="1">
      <c r="A670" s="109"/>
      <c r="B670" s="110"/>
      <c r="C670" s="110"/>
      <c r="D670" s="109"/>
      <c r="E670" s="109"/>
      <c r="F670" s="109"/>
      <c r="G670" s="111"/>
      <c r="H670" s="111"/>
      <c r="I670" s="112"/>
      <c r="J670" s="112"/>
      <c r="K670" s="113"/>
      <c r="L670" s="109"/>
      <c r="M670" s="109"/>
      <c r="N670" s="113" t="s">
        <v>229</v>
      </c>
      <c r="O670" s="113" t="s">
        <v>229</v>
      </c>
      <c r="P670" s="113" t="s">
        <v>229</v>
      </c>
      <c r="Q670" s="113" t="s">
        <v>229</v>
      </c>
      <c r="R670" s="113" t="s">
        <v>229</v>
      </c>
      <c r="S670" s="113" t="s">
        <v>229</v>
      </c>
      <c r="T670" s="114" t="s">
        <v>229</v>
      </c>
      <c r="U670" s="109" t="s">
        <v>229</v>
      </c>
      <c r="V670" s="112" t="s">
        <v>229</v>
      </c>
      <c r="W670" s="111" t="s">
        <v>229</v>
      </c>
      <c r="X670" s="112" t="s">
        <v>229</v>
      </c>
      <c r="Y670" s="114" t="s">
        <v>229</v>
      </c>
      <c r="Z670" s="111" t="s">
        <v>229</v>
      </c>
    </row>
    <row r="671" ht="15.75" customHeight="1">
      <c r="A671" s="109"/>
      <c r="B671" s="110"/>
      <c r="C671" s="110"/>
      <c r="D671" s="109"/>
      <c r="E671" s="109"/>
      <c r="F671" s="109"/>
      <c r="G671" s="111"/>
      <c r="H671" s="111"/>
      <c r="I671" s="112"/>
      <c r="J671" s="112"/>
      <c r="K671" s="113"/>
      <c r="L671" s="109"/>
      <c r="M671" s="109"/>
      <c r="N671" s="113" t="s">
        <v>229</v>
      </c>
      <c r="O671" s="113" t="s">
        <v>229</v>
      </c>
      <c r="P671" s="113" t="s">
        <v>229</v>
      </c>
      <c r="Q671" s="113" t="s">
        <v>229</v>
      </c>
      <c r="R671" s="113" t="s">
        <v>229</v>
      </c>
      <c r="S671" s="113" t="s">
        <v>229</v>
      </c>
      <c r="T671" s="114" t="s">
        <v>229</v>
      </c>
      <c r="U671" s="109" t="s">
        <v>229</v>
      </c>
      <c r="V671" s="112" t="s">
        <v>229</v>
      </c>
      <c r="W671" s="111" t="s">
        <v>229</v>
      </c>
      <c r="X671" s="112" t="s">
        <v>229</v>
      </c>
      <c r="Y671" s="114" t="s">
        <v>229</v>
      </c>
      <c r="Z671" s="111" t="s">
        <v>229</v>
      </c>
    </row>
    <row r="672" ht="15.75" customHeight="1">
      <c r="A672" s="109"/>
      <c r="B672" s="110"/>
      <c r="C672" s="110"/>
      <c r="D672" s="109"/>
      <c r="E672" s="109"/>
      <c r="F672" s="109"/>
      <c r="G672" s="111"/>
      <c r="H672" s="111"/>
      <c r="I672" s="112"/>
      <c r="J672" s="112"/>
      <c r="K672" s="113"/>
      <c r="L672" s="109"/>
      <c r="M672" s="109"/>
      <c r="N672" s="113" t="s">
        <v>229</v>
      </c>
      <c r="O672" s="113" t="s">
        <v>229</v>
      </c>
      <c r="P672" s="113" t="s">
        <v>229</v>
      </c>
      <c r="Q672" s="113" t="s">
        <v>229</v>
      </c>
      <c r="R672" s="113" t="s">
        <v>229</v>
      </c>
      <c r="S672" s="113" t="s">
        <v>229</v>
      </c>
      <c r="T672" s="114" t="s">
        <v>229</v>
      </c>
      <c r="U672" s="109" t="s">
        <v>229</v>
      </c>
      <c r="V672" s="112" t="s">
        <v>229</v>
      </c>
      <c r="W672" s="111" t="s">
        <v>229</v>
      </c>
      <c r="X672" s="112" t="s">
        <v>229</v>
      </c>
      <c r="Y672" s="114" t="s">
        <v>229</v>
      </c>
      <c r="Z672" s="111" t="s">
        <v>229</v>
      </c>
    </row>
    <row r="673" ht="15.75" customHeight="1">
      <c r="A673" s="109"/>
      <c r="B673" s="110"/>
      <c r="C673" s="110"/>
      <c r="D673" s="109"/>
      <c r="E673" s="109"/>
      <c r="F673" s="109"/>
      <c r="G673" s="111"/>
      <c r="H673" s="111"/>
      <c r="I673" s="112"/>
      <c r="J673" s="112"/>
      <c r="K673" s="113"/>
      <c r="L673" s="109"/>
      <c r="M673" s="109"/>
      <c r="N673" s="113" t="s">
        <v>229</v>
      </c>
      <c r="O673" s="113" t="s">
        <v>229</v>
      </c>
      <c r="P673" s="113" t="s">
        <v>229</v>
      </c>
      <c r="Q673" s="113" t="s">
        <v>229</v>
      </c>
      <c r="R673" s="113" t="s">
        <v>229</v>
      </c>
      <c r="S673" s="113" t="s">
        <v>229</v>
      </c>
      <c r="T673" s="114" t="s">
        <v>229</v>
      </c>
      <c r="U673" s="109" t="s">
        <v>229</v>
      </c>
      <c r="V673" s="112" t="s">
        <v>229</v>
      </c>
      <c r="W673" s="111" t="s">
        <v>229</v>
      </c>
      <c r="X673" s="112" t="s">
        <v>229</v>
      </c>
      <c r="Y673" s="114" t="s">
        <v>229</v>
      </c>
      <c r="Z673" s="111" t="s">
        <v>229</v>
      </c>
    </row>
    <row r="674" ht="15.75" customHeight="1">
      <c r="A674" s="109"/>
      <c r="B674" s="110"/>
      <c r="C674" s="110"/>
      <c r="D674" s="109"/>
      <c r="E674" s="109"/>
      <c r="F674" s="109"/>
      <c r="G674" s="111"/>
      <c r="H674" s="111"/>
      <c r="I674" s="112"/>
      <c r="J674" s="112"/>
      <c r="K674" s="113"/>
      <c r="L674" s="109"/>
      <c r="M674" s="109"/>
      <c r="N674" s="113" t="s">
        <v>229</v>
      </c>
      <c r="O674" s="113" t="s">
        <v>229</v>
      </c>
      <c r="P674" s="113" t="s">
        <v>229</v>
      </c>
      <c r="Q674" s="113" t="s">
        <v>229</v>
      </c>
      <c r="R674" s="113" t="s">
        <v>229</v>
      </c>
      <c r="S674" s="113" t="s">
        <v>229</v>
      </c>
      <c r="T674" s="114" t="s">
        <v>229</v>
      </c>
      <c r="U674" s="109" t="s">
        <v>229</v>
      </c>
      <c r="V674" s="112" t="s">
        <v>229</v>
      </c>
      <c r="W674" s="111" t="s">
        <v>229</v>
      </c>
      <c r="X674" s="112" t="s">
        <v>229</v>
      </c>
      <c r="Y674" s="114" t="s">
        <v>229</v>
      </c>
      <c r="Z674" s="111" t="s">
        <v>229</v>
      </c>
    </row>
    <row r="675" ht="15.75" customHeight="1">
      <c r="A675" s="109"/>
      <c r="B675" s="110"/>
      <c r="C675" s="110"/>
      <c r="D675" s="109"/>
      <c r="E675" s="109"/>
      <c r="F675" s="109"/>
      <c r="G675" s="111"/>
      <c r="H675" s="111"/>
      <c r="I675" s="112"/>
      <c r="J675" s="112"/>
      <c r="K675" s="113"/>
      <c r="L675" s="109"/>
      <c r="M675" s="109"/>
      <c r="N675" s="113" t="s">
        <v>229</v>
      </c>
      <c r="O675" s="113" t="s">
        <v>229</v>
      </c>
      <c r="P675" s="113" t="s">
        <v>229</v>
      </c>
      <c r="Q675" s="113" t="s">
        <v>229</v>
      </c>
      <c r="R675" s="113" t="s">
        <v>229</v>
      </c>
      <c r="S675" s="113" t="s">
        <v>229</v>
      </c>
      <c r="T675" s="114" t="s">
        <v>229</v>
      </c>
      <c r="U675" s="109" t="s">
        <v>229</v>
      </c>
      <c r="V675" s="112" t="s">
        <v>229</v>
      </c>
      <c r="W675" s="111" t="s">
        <v>229</v>
      </c>
      <c r="X675" s="112" t="s">
        <v>229</v>
      </c>
      <c r="Y675" s="114" t="s">
        <v>229</v>
      </c>
      <c r="Z675" s="111" t="s">
        <v>229</v>
      </c>
    </row>
    <row r="676" ht="15.75" customHeight="1">
      <c r="A676" s="109"/>
      <c r="B676" s="110"/>
      <c r="C676" s="110"/>
      <c r="D676" s="109"/>
      <c r="E676" s="109"/>
      <c r="F676" s="109"/>
      <c r="G676" s="111"/>
      <c r="H676" s="111"/>
      <c r="I676" s="112"/>
      <c r="J676" s="112"/>
      <c r="K676" s="113"/>
      <c r="L676" s="109"/>
      <c r="M676" s="109"/>
      <c r="N676" s="113" t="s">
        <v>229</v>
      </c>
      <c r="O676" s="113" t="s">
        <v>229</v>
      </c>
      <c r="P676" s="113" t="s">
        <v>229</v>
      </c>
      <c r="Q676" s="113" t="s">
        <v>229</v>
      </c>
      <c r="R676" s="113" t="s">
        <v>229</v>
      </c>
      <c r="S676" s="113" t="s">
        <v>229</v>
      </c>
      <c r="T676" s="114" t="s">
        <v>229</v>
      </c>
      <c r="U676" s="109" t="s">
        <v>229</v>
      </c>
      <c r="V676" s="112" t="s">
        <v>229</v>
      </c>
      <c r="W676" s="111" t="s">
        <v>229</v>
      </c>
      <c r="X676" s="112" t="s">
        <v>229</v>
      </c>
      <c r="Y676" s="114" t="s">
        <v>229</v>
      </c>
      <c r="Z676" s="111" t="s">
        <v>229</v>
      </c>
    </row>
    <row r="677" ht="15.75" customHeight="1">
      <c r="A677" s="109"/>
      <c r="B677" s="110"/>
      <c r="C677" s="110"/>
      <c r="D677" s="109"/>
      <c r="E677" s="109"/>
      <c r="F677" s="109"/>
      <c r="G677" s="111"/>
      <c r="H677" s="111"/>
      <c r="I677" s="112"/>
      <c r="J677" s="112"/>
      <c r="K677" s="113"/>
      <c r="L677" s="109"/>
      <c r="M677" s="109"/>
      <c r="N677" s="113" t="s">
        <v>229</v>
      </c>
      <c r="O677" s="113" t="s">
        <v>229</v>
      </c>
      <c r="P677" s="113" t="s">
        <v>229</v>
      </c>
      <c r="Q677" s="113" t="s">
        <v>229</v>
      </c>
      <c r="R677" s="113" t="s">
        <v>229</v>
      </c>
      <c r="S677" s="113" t="s">
        <v>229</v>
      </c>
      <c r="T677" s="114" t="s">
        <v>229</v>
      </c>
      <c r="U677" s="109" t="s">
        <v>229</v>
      </c>
      <c r="V677" s="112" t="s">
        <v>229</v>
      </c>
      <c r="W677" s="111" t="s">
        <v>229</v>
      </c>
      <c r="X677" s="112" t="s">
        <v>229</v>
      </c>
      <c r="Y677" s="114" t="s">
        <v>229</v>
      </c>
      <c r="Z677" s="111" t="s">
        <v>229</v>
      </c>
    </row>
    <row r="678" ht="15.75" customHeight="1">
      <c r="A678" s="109"/>
      <c r="B678" s="110"/>
      <c r="C678" s="110"/>
      <c r="D678" s="109"/>
      <c r="E678" s="109"/>
      <c r="F678" s="109"/>
      <c r="G678" s="111"/>
      <c r="H678" s="111"/>
      <c r="I678" s="112"/>
      <c r="J678" s="112"/>
      <c r="K678" s="113"/>
      <c r="L678" s="109"/>
      <c r="M678" s="109"/>
      <c r="N678" s="113" t="s">
        <v>229</v>
      </c>
      <c r="O678" s="113" t="s">
        <v>229</v>
      </c>
      <c r="P678" s="113" t="s">
        <v>229</v>
      </c>
      <c r="Q678" s="113" t="s">
        <v>229</v>
      </c>
      <c r="R678" s="113" t="s">
        <v>229</v>
      </c>
      <c r="S678" s="113" t="s">
        <v>229</v>
      </c>
      <c r="T678" s="114" t="s">
        <v>229</v>
      </c>
      <c r="U678" s="109" t="s">
        <v>229</v>
      </c>
      <c r="V678" s="112" t="s">
        <v>229</v>
      </c>
      <c r="W678" s="111" t="s">
        <v>229</v>
      </c>
      <c r="X678" s="112" t="s">
        <v>229</v>
      </c>
      <c r="Y678" s="114" t="s">
        <v>229</v>
      </c>
      <c r="Z678" s="111" t="s">
        <v>229</v>
      </c>
    </row>
    <row r="679" ht="15.75" customHeight="1">
      <c r="A679" s="109"/>
      <c r="B679" s="110"/>
      <c r="C679" s="110"/>
      <c r="D679" s="109"/>
      <c r="E679" s="109"/>
      <c r="F679" s="109"/>
      <c r="G679" s="111"/>
      <c r="H679" s="111"/>
      <c r="I679" s="112"/>
      <c r="J679" s="112"/>
      <c r="K679" s="113"/>
      <c r="L679" s="109"/>
      <c r="M679" s="109"/>
      <c r="N679" s="113" t="s">
        <v>229</v>
      </c>
      <c r="O679" s="113" t="s">
        <v>229</v>
      </c>
      <c r="P679" s="113" t="s">
        <v>229</v>
      </c>
      <c r="Q679" s="113" t="s">
        <v>229</v>
      </c>
      <c r="R679" s="113" t="s">
        <v>229</v>
      </c>
      <c r="S679" s="113" t="s">
        <v>229</v>
      </c>
      <c r="T679" s="114" t="s">
        <v>229</v>
      </c>
      <c r="U679" s="109" t="s">
        <v>229</v>
      </c>
      <c r="V679" s="112" t="s">
        <v>229</v>
      </c>
      <c r="W679" s="111" t="s">
        <v>229</v>
      </c>
      <c r="X679" s="112" t="s">
        <v>229</v>
      </c>
      <c r="Y679" s="114" t="s">
        <v>229</v>
      </c>
      <c r="Z679" s="111" t="s">
        <v>229</v>
      </c>
    </row>
    <row r="680" ht="15.75" customHeight="1">
      <c r="A680" s="109"/>
      <c r="B680" s="110"/>
      <c r="C680" s="110"/>
      <c r="D680" s="109"/>
      <c r="E680" s="109"/>
      <c r="F680" s="109"/>
      <c r="G680" s="111"/>
      <c r="H680" s="111"/>
      <c r="I680" s="112"/>
      <c r="J680" s="112"/>
      <c r="K680" s="113"/>
      <c r="L680" s="109"/>
      <c r="M680" s="109"/>
      <c r="N680" s="113" t="s">
        <v>229</v>
      </c>
      <c r="O680" s="113" t="s">
        <v>229</v>
      </c>
      <c r="P680" s="113" t="s">
        <v>229</v>
      </c>
      <c r="Q680" s="113" t="s">
        <v>229</v>
      </c>
      <c r="R680" s="113" t="s">
        <v>229</v>
      </c>
      <c r="S680" s="113" t="s">
        <v>229</v>
      </c>
      <c r="T680" s="114" t="s">
        <v>229</v>
      </c>
      <c r="U680" s="109" t="s">
        <v>229</v>
      </c>
      <c r="V680" s="112" t="s">
        <v>229</v>
      </c>
      <c r="W680" s="111" t="s">
        <v>229</v>
      </c>
      <c r="X680" s="112" t="s">
        <v>229</v>
      </c>
      <c r="Y680" s="114" t="s">
        <v>229</v>
      </c>
      <c r="Z680" s="111" t="s">
        <v>229</v>
      </c>
    </row>
    <row r="681" ht="15.75" customHeight="1">
      <c r="A681" s="109"/>
      <c r="B681" s="110"/>
      <c r="C681" s="110"/>
      <c r="D681" s="109"/>
      <c r="E681" s="109"/>
      <c r="F681" s="109"/>
      <c r="G681" s="111"/>
      <c r="H681" s="111"/>
      <c r="I681" s="112"/>
      <c r="J681" s="112"/>
      <c r="K681" s="113"/>
      <c r="L681" s="109"/>
      <c r="M681" s="109"/>
      <c r="N681" s="113" t="s">
        <v>229</v>
      </c>
      <c r="O681" s="113" t="s">
        <v>229</v>
      </c>
      <c r="P681" s="113" t="s">
        <v>229</v>
      </c>
      <c r="Q681" s="113" t="s">
        <v>229</v>
      </c>
      <c r="R681" s="113" t="s">
        <v>229</v>
      </c>
      <c r="S681" s="113" t="s">
        <v>229</v>
      </c>
      <c r="T681" s="114" t="s">
        <v>229</v>
      </c>
      <c r="U681" s="109" t="s">
        <v>229</v>
      </c>
      <c r="V681" s="112" t="s">
        <v>229</v>
      </c>
      <c r="W681" s="111" t="s">
        <v>229</v>
      </c>
      <c r="X681" s="112" t="s">
        <v>229</v>
      </c>
      <c r="Y681" s="114" t="s">
        <v>229</v>
      </c>
      <c r="Z681" s="111" t="s">
        <v>229</v>
      </c>
    </row>
    <row r="682" ht="15.75" customHeight="1">
      <c r="A682" s="109"/>
      <c r="B682" s="110"/>
      <c r="C682" s="110"/>
      <c r="D682" s="109"/>
      <c r="E682" s="109"/>
      <c r="F682" s="109"/>
      <c r="G682" s="111"/>
      <c r="H682" s="111"/>
      <c r="I682" s="112"/>
      <c r="J682" s="112"/>
      <c r="K682" s="113"/>
      <c r="L682" s="109"/>
      <c r="M682" s="109"/>
      <c r="N682" s="113" t="s">
        <v>229</v>
      </c>
      <c r="O682" s="113" t="s">
        <v>229</v>
      </c>
      <c r="P682" s="113" t="s">
        <v>229</v>
      </c>
      <c r="Q682" s="113" t="s">
        <v>229</v>
      </c>
      <c r="R682" s="113" t="s">
        <v>229</v>
      </c>
      <c r="S682" s="113" t="s">
        <v>229</v>
      </c>
      <c r="T682" s="114" t="s">
        <v>229</v>
      </c>
      <c r="U682" s="109" t="s">
        <v>229</v>
      </c>
      <c r="V682" s="112" t="s">
        <v>229</v>
      </c>
      <c r="W682" s="111" t="s">
        <v>229</v>
      </c>
      <c r="X682" s="112" t="s">
        <v>229</v>
      </c>
      <c r="Y682" s="114" t="s">
        <v>229</v>
      </c>
      <c r="Z682" s="111" t="s">
        <v>229</v>
      </c>
    </row>
    <row r="683" ht="15.75" customHeight="1">
      <c r="A683" s="109"/>
      <c r="B683" s="110"/>
      <c r="C683" s="110"/>
      <c r="D683" s="109"/>
      <c r="E683" s="109"/>
      <c r="F683" s="109"/>
      <c r="G683" s="111"/>
      <c r="H683" s="111"/>
      <c r="I683" s="112"/>
      <c r="J683" s="112"/>
      <c r="K683" s="113"/>
      <c r="L683" s="109"/>
      <c r="M683" s="109"/>
      <c r="N683" s="113" t="s">
        <v>229</v>
      </c>
      <c r="O683" s="113" t="s">
        <v>229</v>
      </c>
      <c r="P683" s="113" t="s">
        <v>229</v>
      </c>
      <c r="Q683" s="113" t="s">
        <v>229</v>
      </c>
      <c r="R683" s="113" t="s">
        <v>229</v>
      </c>
      <c r="S683" s="113" t="s">
        <v>229</v>
      </c>
      <c r="T683" s="114" t="s">
        <v>229</v>
      </c>
      <c r="U683" s="109" t="s">
        <v>229</v>
      </c>
      <c r="V683" s="112" t="s">
        <v>229</v>
      </c>
      <c r="W683" s="111" t="s">
        <v>229</v>
      </c>
      <c r="X683" s="112" t="s">
        <v>229</v>
      </c>
      <c r="Y683" s="114" t="s">
        <v>229</v>
      </c>
      <c r="Z683" s="111" t="s">
        <v>229</v>
      </c>
    </row>
    <row r="684" ht="15.75" customHeight="1">
      <c r="A684" s="109"/>
      <c r="B684" s="110"/>
      <c r="C684" s="110"/>
      <c r="D684" s="109"/>
      <c r="E684" s="109"/>
      <c r="F684" s="109"/>
      <c r="G684" s="111"/>
      <c r="H684" s="111"/>
      <c r="I684" s="112"/>
      <c r="J684" s="112"/>
      <c r="K684" s="113"/>
      <c r="L684" s="109"/>
      <c r="M684" s="109"/>
      <c r="N684" s="113" t="s">
        <v>229</v>
      </c>
      <c r="O684" s="113" t="s">
        <v>229</v>
      </c>
      <c r="P684" s="113" t="s">
        <v>229</v>
      </c>
      <c r="Q684" s="113" t="s">
        <v>229</v>
      </c>
      <c r="R684" s="113" t="s">
        <v>229</v>
      </c>
      <c r="S684" s="113" t="s">
        <v>229</v>
      </c>
      <c r="T684" s="114" t="s">
        <v>229</v>
      </c>
      <c r="U684" s="109" t="s">
        <v>229</v>
      </c>
      <c r="V684" s="112" t="s">
        <v>229</v>
      </c>
      <c r="W684" s="111" t="s">
        <v>229</v>
      </c>
      <c r="X684" s="112" t="s">
        <v>229</v>
      </c>
      <c r="Y684" s="114" t="s">
        <v>229</v>
      </c>
      <c r="Z684" s="111" t="s">
        <v>229</v>
      </c>
    </row>
    <row r="685" ht="15.75" customHeight="1">
      <c r="A685" s="109"/>
      <c r="B685" s="110"/>
      <c r="C685" s="110"/>
      <c r="D685" s="109"/>
      <c r="E685" s="109"/>
      <c r="F685" s="109"/>
      <c r="G685" s="111"/>
      <c r="H685" s="111"/>
      <c r="I685" s="112"/>
      <c r="J685" s="112"/>
      <c r="K685" s="113"/>
      <c r="L685" s="109"/>
      <c r="M685" s="109"/>
      <c r="N685" s="113" t="s">
        <v>229</v>
      </c>
      <c r="O685" s="113" t="s">
        <v>229</v>
      </c>
      <c r="P685" s="113" t="s">
        <v>229</v>
      </c>
      <c r="Q685" s="113" t="s">
        <v>229</v>
      </c>
      <c r="R685" s="113" t="s">
        <v>229</v>
      </c>
      <c r="S685" s="113" t="s">
        <v>229</v>
      </c>
      <c r="T685" s="114" t="s">
        <v>229</v>
      </c>
      <c r="U685" s="109" t="s">
        <v>229</v>
      </c>
      <c r="V685" s="112" t="s">
        <v>229</v>
      </c>
      <c r="W685" s="111" t="s">
        <v>229</v>
      </c>
      <c r="X685" s="112" t="s">
        <v>229</v>
      </c>
      <c r="Y685" s="114" t="s">
        <v>229</v>
      </c>
      <c r="Z685" s="111" t="s">
        <v>229</v>
      </c>
    </row>
    <row r="686" ht="15.75" customHeight="1">
      <c r="A686" s="109"/>
      <c r="B686" s="110"/>
      <c r="C686" s="110"/>
      <c r="D686" s="109"/>
      <c r="E686" s="109"/>
      <c r="F686" s="109"/>
      <c r="G686" s="111"/>
      <c r="H686" s="111"/>
      <c r="I686" s="112"/>
      <c r="J686" s="112"/>
      <c r="K686" s="113"/>
      <c r="L686" s="109"/>
      <c r="M686" s="109"/>
      <c r="N686" s="113" t="s">
        <v>229</v>
      </c>
      <c r="O686" s="113" t="s">
        <v>229</v>
      </c>
      <c r="P686" s="113" t="s">
        <v>229</v>
      </c>
      <c r="Q686" s="113" t="s">
        <v>229</v>
      </c>
      <c r="R686" s="113" t="s">
        <v>229</v>
      </c>
      <c r="S686" s="113" t="s">
        <v>229</v>
      </c>
      <c r="T686" s="114" t="s">
        <v>229</v>
      </c>
      <c r="U686" s="109" t="s">
        <v>229</v>
      </c>
      <c r="V686" s="112" t="s">
        <v>229</v>
      </c>
      <c r="W686" s="111" t="s">
        <v>229</v>
      </c>
      <c r="X686" s="112" t="s">
        <v>229</v>
      </c>
      <c r="Y686" s="114" t="s">
        <v>229</v>
      </c>
      <c r="Z686" s="111" t="s">
        <v>229</v>
      </c>
    </row>
    <row r="687" ht="15.75" customHeight="1">
      <c r="A687" s="109"/>
      <c r="B687" s="110"/>
      <c r="C687" s="110"/>
      <c r="D687" s="109"/>
      <c r="E687" s="109"/>
      <c r="F687" s="109"/>
      <c r="G687" s="111"/>
      <c r="H687" s="111"/>
      <c r="I687" s="112"/>
      <c r="J687" s="112"/>
      <c r="K687" s="113"/>
      <c r="L687" s="109"/>
      <c r="M687" s="109"/>
      <c r="N687" s="113" t="s">
        <v>229</v>
      </c>
      <c r="O687" s="113" t="s">
        <v>229</v>
      </c>
      <c r="P687" s="113" t="s">
        <v>229</v>
      </c>
      <c r="Q687" s="113" t="s">
        <v>229</v>
      </c>
      <c r="R687" s="113" t="s">
        <v>229</v>
      </c>
      <c r="S687" s="113" t="s">
        <v>229</v>
      </c>
      <c r="T687" s="114" t="s">
        <v>229</v>
      </c>
      <c r="U687" s="109" t="s">
        <v>229</v>
      </c>
      <c r="V687" s="112" t="s">
        <v>229</v>
      </c>
      <c r="W687" s="111" t="s">
        <v>229</v>
      </c>
      <c r="X687" s="112" t="s">
        <v>229</v>
      </c>
      <c r="Y687" s="114" t="s">
        <v>229</v>
      </c>
      <c r="Z687" s="111" t="s">
        <v>229</v>
      </c>
    </row>
    <row r="688" ht="15.75" customHeight="1">
      <c r="A688" s="109"/>
      <c r="B688" s="110"/>
      <c r="C688" s="110"/>
      <c r="D688" s="109"/>
      <c r="E688" s="109"/>
      <c r="F688" s="109"/>
      <c r="G688" s="111"/>
      <c r="H688" s="111"/>
      <c r="I688" s="112"/>
      <c r="J688" s="112"/>
      <c r="K688" s="113"/>
      <c r="L688" s="109"/>
      <c r="M688" s="109"/>
      <c r="N688" s="113" t="s">
        <v>229</v>
      </c>
      <c r="O688" s="113" t="s">
        <v>229</v>
      </c>
      <c r="P688" s="113" t="s">
        <v>229</v>
      </c>
      <c r="Q688" s="113" t="s">
        <v>229</v>
      </c>
      <c r="R688" s="113" t="s">
        <v>229</v>
      </c>
      <c r="S688" s="113" t="s">
        <v>229</v>
      </c>
      <c r="T688" s="114" t="s">
        <v>229</v>
      </c>
      <c r="U688" s="109" t="s">
        <v>229</v>
      </c>
      <c r="V688" s="112" t="s">
        <v>229</v>
      </c>
      <c r="W688" s="111" t="s">
        <v>229</v>
      </c>
      <c r="X688" s="112" t="s">
        <v>229</v>
      </c>
      <c r="Y688" s="114" t="s">
        <v>229</v>
      </c>
      <c r="Z688" s="111" t="s">
        <v>229</v>
      </c>
    </row>
    <row r="689" ht="15.75" customHeight="1">
      <c r="A689" s="109"/>
      <c r="B689" s="110"/>
      <c r="C689" s="110"/>
      <c r="D689" s="109"/>
      <c r="E689" s="109"/>
      <c r="F689" s="109"/>
      <c r="G689" s="111"/>
      <c r="H689" s="111"/>
      <c r="I689" s="112"/>
      <c r="J689" s="112"/>
      <c r="K689" s="113"/>
      <c r="L689" s="109"/>
      <c r="M689" s="109"/>
      <c r="N689" s="113" t="s">
        <v>229</v>
      </c>
      <c r="O689" s="113" t="s">
        <v>229</v>
      </c>
      <c r="P689" s="113" t="s">
        <v>229</v>
      </c>
      <c r="Q689" s="113" t="s">
        <v>229</v>
      </c>
      <c r="R689" s="113" t="s">
        <v>229</v>
      </c>
      <c r="S689" s="113" t="s">
        <v>229</v>
      </c>
      <c r="T689" s="114" t="s">
        <v>229</v>
      </c>
      <c r="U689" s="109" t="s">
        <v>229</v>
      </c>
      <c r="V689" s="112" t="s">
        <v>229</v>
      </c>
      <c r="W689" s="111" t="s">
        <v>229</v>
      </c>
      <c r="X689" s="112" t="s">
        <v>229</v>
      </c>
      <c r="Y689" s="114" t="s">
        <v>229</v>
      </c>
      <c r="Z689" s="111" t="s">
        <v>229</v>
      </c>
    </row>
    <row r="690" ht="15.75" customHeight="1">
      <c r="A690" s="109"/>
      <c r="B690" s="110"/>
      <c r="C690" s="110"/>
      <c r="D690" s="109"/>
      <c r="E690" s="109"/>
      <c r="F690" s="109"/>
      <c r="G690" s="111"/>
      <c r="H690" s="111"/>
      <c r="I690" s="112"/>
      <c r="J690" s="112"/>
      <c r="K690" s="113"/>
      <c r="L690" s="109"/>
      <c r="M690" s="109"/>
      <c r="N690" s="113" t="s">
        <v>229</v>
      </c>
      <c r="O690" s="113" t="s">
        <v>229</v>
      </c>
      <c r="P690" s="113" t="s">
        <v>229</v>
      </c>
      <c r="Q690" s="113" t="s">
        <v>229</v>
      </c>
      <c r="R690" s="113" t="s">
        <v>229</v>
      </c>
      <c r="S690" s="113" t="s">
        <v>229</v>
      </c>
      <c r="T690" s="114" t="s">
        <v>229</v>
      </c>
      <c r="U690" s="109" t="s">
        <v>229</v>
      </c>
      <c r="V690" s="112" t="s">
        <v>229</v>
      </c>
      <c r="W690" s="111" t="s">
        <v>229</v>
      </c>
      <c r="X690" s="112" t="s">
        <v>229</v>
      </c>
      <c r="Y690" s="114" t="s">
        <v>229</v>
      </c>
      <c r="Z690" s="111" t="s">
        <v>229</v>
      </c>
    </row>
    <row r="691" ht="15.75" customHeight="1">
      <c r="A691" s="109"/>
      <c r="B691" s="110"/>
      <c r="C691" s="110"/>
      <c r="D691" s="109"/>
      <c r="E691" s="109"/>
      <c r="F691" s="109"/>
      <c r="G691" s="111"/>
      <c r="H691" s="111"/>
      <c r="I691" s="112"/>
      <c r="J691" s="112"/>
      <c r="K691" s="113"/>
      <c r="L691" s="109"/>
      <c r="M691" s="109"/>
      <c r="N691" s="113" t="s">
        <v>229</v>
      </c>
      <c r="O691" s="113" t="s">
        <v>229</v>
      </c>
      <c r="P691" s="113" t="s">
        <v>229</v>
      </c>
      <c r="Q691" s="113" t="s">
        <v>229</v>
      </c>
      <c r="R691" s="113" t="s">
        <v>229</v>
      </c>
      <c r="S691" s="113" t="s">
        <v>229</v>
      </c>
      <c r="T691" s="114" t="s">
        <v>229</v>
      </c>
      <c r="U691" s="109" t="s">
        <v>229</v>
      </c>
      <c r="V691" s="112" t="s">
        <v>229</v>
      </c>
      <c r="W691" s="111" t="s">
        <v>229</v>
      </c>
      <c r="X691" s="112" t="s">
        <v>229</v>
      </c>
      <c r="Y691" s="114" t="s">
        <v>229</v>
      </c>
      <c r="Z691" s="111" t="s">
        <v>229</v>
      </c>
    </row>
    <row r="692" ht="15.75" customHeight="1">
      <c r="A692" s="109"/>
      <c r="B692" s="110"/>
      <c r="C692" s="110"/>
      <c r="D692" s="109"/>
      <c r="E692" s="109"/>
      <c r="F692" s="109"/>
      <c r="G692" s="111"/>
      <c r="H692" s="111"/>
      <c r="I692" s="112"/>
      <c r="J692" s="112"/>
      <c r="K692" s="113"/>
      <c r="L692" s="109"/>
      <c r="M692" s="109"/>
      <c r="N692" s="113" t="s">
        <v>229</v>
      </c>
      <c r="O692" s="113" t="s">
        <v>229</v>
      </c>
      <c r="P692" s="113" t="s">
        <v>229</v>
      </c>
      <c r="Q692" s="113" t="s">
        <v>229</v>
      </c>
      <c r="R692" s="113" t="s">
        <v>229</v>
      </c>
      <c r="S692" s="113" t="s">
        <v>229</v>
      </c>
      <c r="T692" s="114" t="s">
        <v>229</v>
      </c>
      <c r="U692" s="109" t="s">
        <v>229</v>
      </c>
      <c r="V692" s="112" t="s">
        <v>229</v>
      </c>
      <c r="W692" s="111" t="s">
        <v>229</v>
      </c>
      <c r="X692" s="112" t="s">
        <v>229</v>
      </c>
      <c r="Y692" s="114" t="s">
        <v>229</v>
      </c>
      <c r="Z692" s="111" t="s">
        <v>229</v>
      </c>
    </row>
    <row r="693" ht="15.75" customHeight="1">
      <c r="A693" s="109"/>
      <c r="B693" s="110"/>
      <c r="C693" s="110"/>
      <c r="D693" s="109"/>
      <c r="E693" s="109"/>
      <c r="F693" s="109"/>
      <c r="G693" s="111"/>
      <c r="H693" s="111"/>
      <c r="I693" s="112"/>
      <c r="J693" s="112"/>
      <c r="K693" s="113"/>
      <c r="L693" s="109"/>
      <c r="M693" s="109"/>
      <c r="N693" s="113" t="s">
        <v>229</v>
      </c>
      <c r="O693" s="113" t="s">
        <v>229</v>
      </c>
      <c r="P693" s="113" t="s">
        <v>229</v>
      </c>
      <c r="Q693" s="113" t="s">
        <v>229</v>
      </c>
      <c r="R693" s="113" t="s">
        <v>229</v>
      </c>
      <c r="S693" s="113" t="s">
        <v>229</v>
      </c>
      <c r="T693" s="114" t="s">
        <v>229</v>
      </c>
      <c r="U693" s="109" t="s">
        <v>229</v>
      </c>
      <c r="V693" s="112" t="s">
        <v>229</v>
      </c>
      <c r="W693" s="111" t="s">
        <v>229</v>
      </c>
      <c r="X693" s="112" t="s">
        <v>229</v>
      </c>
      <c r="Y693" s="114" t="s">
        <v>229</v>
      </c>
      <c r="Z693" s="111" t="s">
        <v>229</v>
      </c>
    </row>
    <row r="694" ht="15.75" customHeight="1">
      <c r="A694" s="109"/>
      <c r="B694" s="110"/>
      <c r="C694" s="110"/>
      <c r="D694" s="109"/>
      <c r="E694" s="109"/>
      <c r="F694" s="109"/>
      <c r="G694" s="111"/>
      <c r="H694" s="111"/>
      <c r="I694" s="112"/>
      <c r="J694" s="112"/>
      <c r="K694" s="113"/>
      <c r="L694" s="109"/>
      <c r="M694" s="109"/>
      <c r="N694" s="113" t="s">
        <v>229</v>
      </c>
      <c r="O694" s="113" t="s">
        <v>229</v>
      </c>
      <c r="P694" s="113" t="s">
        <v>229</v>
      </c>
      <c r="Q694" s="113" t="s">
        <v>229</v>
      </c>
      <c r="R694" s="113" t="s">
        <v>229</v>
      </c>
      <c r="S694" s="113" t="s">
        <v>229</v>
      </c>
      <c r="T694" s="114" t="s">
        <v>229</v>
      </c>
      <c r="U694" s="109" t="s">
        <v>229</v>
      </c>
      <c r="V694" s="112" t="s">
        <v>229</v>
      </c>
      <c r="W694" s="111" t="s">
        <v>229</v>
      </c>
      <c r="X694" s="112" t="s">
        <v>229</v>
      </c>
      <c r="Y694" s="114" t="s">
        <v>229</v>
      </c>
      <c r="Z694" s="111" t="s">
        <v>229</v>
      </c>
    </row>
    <row r="695" ht="15.75" customHeight="1">
      <c r="A695" s="109"/>
      <c r="B695" s="110"/>
      <c r="C695" s="110"/>
      <c r="D695" s="109"/>
      <c r="E695" s="109"/>
      <c r="F695" s="109"/>
      <c r="G695" s="111"/>
      <c r="H695" s="111"/>
      <c r="I695" s="112"/>
      <c r="J695" s="112"/>
      <c r="K695" s="113"/>
      <c r="L695" s="109"/>
      <c r="M695" s="109"/>
      <c r="N695" s="113" t="s">
        <v>229</v>
      </c>
      <c r="O695" s="113" t="s">
        <v>229</v>
      </c>
      <c r="P695" s="113" t="s">
        <v>229</v>
      </c>
      <c r="Q695" s="113" t="s">
        <v>229</v>
      </c>
      <c r="R695" s="113" t="s">
        <v>229</v>
      </c>
      <c r="S695" s="113" t="s">
        <v>229</v>
      </c>
      <c r="T695" s="114" t="s">
        <v>229</v>
      </c>
      <c r="U695" s="109" t="s">
        <v>229</v>
      </c>
      <c r="V695" s="112" t="s">
        <v>229</v>
      </c>
      <c r="W695" s="111" t="s">
        <v>229</v>
      </c>
      <c r="X695" s="112" t="s">
        <v>229</v>
      </c>
      <c r="Y695" s="114" t="s">
        <v>229</v>
      </c>
      <c r="Z695" s="111" t="s">
        <v>229</v>
      </c>
    </row>
    <row r="696" ht="15.75" customHeight="1">
      <c r="A696" s="109"/>
      <c r="B696" s="110"/>
      <c r="C696" s="110"/>
      <c r="D696" s="109"/>
      <c r="E696" s="109"/>
      <c r="F696" s="109"/>
      <c r="G696" s="111"/>
      <c r="H696" s="111"/>
      <c r="I696" s="112"/>
      <c r="J696" s="112"/>
      <c r="K696" s="113"/>
      <c r="L696" s="109"/>
      <c r="M696" s="109"/>
      <c r="N696" s="113" t="s">
        <v>229</v>
      </c>
      <c r="O696" s="113" t="s">
        <v>229</v>
      </c>
      <c r="P696" s="113" t="s">
        <v>229</v>
      </c>
      <c r="Q696" s="113" t="s">
        <v>229</v>
      </c>
      <c r="R696" s="113" t="s">
        <v>229</v>
      </c>
      <c r="S696" s="113" t="s">
        <v>229</v>
      </c>
      <c r="T696" s="114" t="s">
        <v>229</v>
      </c>
      <c r="U696" s="109" t="s">
        <v>229</v>
      </c>
      <c r="V696" s="112" t="s">
        <v>229</v>
      </c>
      <c r="W696" s="111" t="s">
        <v>229</v>
      </c>
      <c r="X696" s="112" t="s">
        <v>229</v>
      </c>
      <c r="Y696" s="114" t="s">
        <v>229</v>
      </c>
      <c r="Z696" s="111" t="s">
        <v>229</v>
      </c>
    </row>
    <row r="697" ht="15.75" customHeight="1">
      <c r="A697" s="109"/>
      <c r="B697" s="110"/>
      <c r="C697" s="110"/>
      <c r="D697" s="109"/>
      <c r="E697" s="109"/>
      <c r="F697" s="109"/>
      <c r="G697" s="111"/>
      <c r="H697" s="111"/>
      <c r="I697" s="112"/>
      <c r="J697" s="112"/>
      <c r="K697" s="113"/>
      <c r="L697" s="109"/>
      <c r="M697" s="109"/>
      <c r="N697" s="113" t="s">
        <v>229</v>
      </c>
      <c r="O697" s="113" t="s">
        <v>229</v>
      </c>
      <c r="P697" s="113" t="s">
        <v>229</v>
      </c>
      <c r="Q697" s="113" t="s">
        <v>229</v>
      </c>
      <c r="R697" s="113" t="s">
        <v>229</v>
      </c>
      <c r="S697" s="113" t="s">
        <v>229</v>
      </c>
      <c r="T697" s="114" t="s">
        <v>229</v>
      </c>
      <c r="U697" s="109" t="s">
        <v>229</v>
      </c>
      <c r="V697" s="112" t="s">
        <v>229</v>
      </c>
      <c r="W697" s="111" t="s">
        <v>229</v>
      </c>
      <c r="X697" s="112" t="s">
        <v>229</v>
      </c>
      <c r="Y697" s="114" t="s">
        <v>229</v>
      </c>
      <c r="Z697" s="111" t="s">
        <v>229</v>
      </c>
    </row>
    <row r="698" ht="15.75" customHeight="1">
      <c r="A698" s="109"/>
      <c r="B698" s="110"/>
      <c r="C698" s="110"/>
      <c r="D698" s="109"/>
      <c r="E698" s="109"/>
      <c r="F698" s="109"/>
      <c r="G698" s="111"/>
      <c r="H698" s="111"/>
      <c r="I698" s="112"/>
      <c r="J698" s="112"/>
      <c r="K698" s="113"/>
      <c r="L698" s="109"/>
      <c r="M698" s="109"/>
      <c r="N698" s="113" t="s">
        <v>229</v>
      </c>
      <c r="O698" s="113" t="s">
        <v>229</v>
      </c>
      <c r="P698" s="113" t="s">
        <v>229</v>
      </c>
      <c r="Q698" s="113" t="s">
        <v>229</v>
      </c>
      <c r="R698" s="113" t="s">
        <v>229</v>
      </c>
      <c r="S698" s="113" t="s">
        <v>229</v>
      </c>
      <c r="T698" s="114" t="s">
        <v>229</v>
      </c>
      <c r="U698" s="109" t="s">
        <v>229</v>
      </c>
      <c r="V698" s="112" t="s">
        <v>229</v>
      </c>
      <c r="W698" s="111" t="s">
        <v>229</v>
      </c>
      <c r="X698" s="112" t="s">
        <v>229</v>
      </c>
      <c r="Y698" s="114" t="s">
        <v>229</v>
      </c>
      <c r="Z698" s="111" t="s">
        <v>229</v>
      </c>
    </row>
    <row r="699" ht="15.75" customHeight="1">
      <c r="A699" s="109"/>
      <c r="B699" s="110"/>
      <c r="C699" s="110"/>
      <c r="D699" s="109"/>
      <c r="E699" s="109"/>
      <c r="F699" s="109"/>
      <c r="G699" s="111"/>
      <c r="H699" s="111"/>
      <c r="I699" s="112"/>
      <c r="J699" s="112"/>
      <c r="K699" s="113"/>
      <c r="L699" s="109"/>
      <c r="M699" s="109"/>
      <c r="N699" s="113" t="s">
        <v>229</v>
      </c>
      <c r="O699" s="113" t="s">
        <v>229</v>
      </c>
      <c r="P699" s="113" t="s">
        <v>229</v>
      </c>
      <c r="Q699" s="113" t="s">
        <v>229</v>
      </c>
      <c r="R699" s="113" t="s">
        <v>229</v>
      </c>
      <c r="S699" s="113" t="s">
        <v>229</v>
      </c>
      <c r="T699" s="114" t="s">
        <v>229</v>
      </c>
      <c r="U699" s="109" t="s">
        <v>229</v>
      </c>
      <c r="V699" s="112" t="s">
        <v>229</v>
      </c>
      <c r="W699" s="111" t="s">
        <v>229</v>
      </c>
      <c r="X699" s="112" t="s">
        <v>229</v>
      </c>
      <c r="Y699" s="114" t="s">
        <v>229</v>
      </c>
      <c r="Z699" s="111" t="s">
        <v>229</v>
      </c>
    </row>
    <row r="700" ht="15.75" customHeight="1">
      <c r="A700" s="109"/>
      <c r="B700" s="110"/>
      <c r="C700" s="110"/>
      <c r="D700" s="109"/>
      <c r="E700" s="109"/>
      <c r="F700" s="109"/>
      <c r="G700" s="111"/>
      <c r="H700" s="111"/>
      <c r="I700" s="112"/>
      <c r="J700" s="112"/>
      <c r="K700" s="113"/>
      <c r="L700" s="109"/>
      <c r="M700" s="109"/>
      <c r="N700" s="113" t="s">
        <v>229</v>
      </c>
      <c r="O700" s="113" t="s">
        <v>229</v>
      </c>
      <c r="P700" s="113" t="s">
        <v>229</v>
      </c>
      <c r="Q700" s="113" t="s">
        <v>229</v>
      </c>
      <c r="R700" s="113" t="s">
        <v>229</v>
      </c>
      <c r="S700" s="113" t="s">
        <v>229</v>
      </c>
      <c r="T700" s="114" t="s">
        <v>229</v>
      </c>
      <c r="U700" s="109" t="s">
        <v>229</v>
      </c>
      <c r="V700" s="112" t="s">
        <v>229</v>
      </c>
      <c r="W700" s="111" t="s">
        <v>229</v>
      </c>
      <c r="X700" s="112" t="s">
        <v>229</v>
      </c>
      <c r="Y700" s="114" t="s">
        <v>229</v>
      </c>
      <c r="Z700" s="111" t="s">
        <v>229</v>
      </c>
    </row>
    <row r="701" ht="15.75" customHeight="1">
      <c r="A701" s="109"/>
      <c r="B701" s="110"/>
      <c r="C701" s="110"/>
      <c r="D701" s="109"/>
      <c r="E701" s="109"/>
      <c r="F701" s="109"/>
      <c r="G701" s="111"/>
      <c r="H701" s="111"/>
      <c r="I701" s="112"/>
      <c r="J701" s="112"/>
      <c r="K701" s="113"/>
      <c r="L701" s="109"/>
      <c r="M701" s="109"/>
      <c r="N701" s="113" t="s">
        <v>229</v>
      </c>
      <c r="O701" s="113" t="s">
        <v>229</v>
      </c>
      <c r="P701" s="113" t="s">
        <v>229</v>
      </c>
      <c r="Q701" s="113" t="s">
        <v>229</v>
      </c>
      <c r="R701" s="113" t="s">
        <v>229</v>
      </c>
      <c r="S701" s="113" t="s">
        <v>229</v>
      </c>
      <c r="T701" s="114" t="s">
        <v>229</v>
      </c>
      <c r="U701" s="109" t="s">
        <v>229</v>
      </c>
      <c r="V701" s="112" t="s">
        <v>229</v>
      </c>
      <c r="W701" s="111" t="s">
        <v>229</v>
      </c>
      <c r="X701" s="112" t="s">
        <v>229</v>
      </c>
      <c r="Y701" s="114" t="s">
        <v>229</v>
      </c>
      <c r="Z701" s="111" t="s">
        <v>229</v>
      </c>
    </row>
    <row r="702" ht="15.75" customHeight="1">
      <c r="A702" s="109"/>
      <c r="B702" s="110"/>
      <c r="C702" s="110"/>
      <c r="D702" s="109"/>
      <c r="E702" s="109"/>
      <c r="F702" s="109"/>
      <c r="G702" s="111"/>
      <c r="H702" s="111"/>
      <c r="I702" s="112"/>
      <c r="J702" s="112"/>
      <c r="K702" s="113"/>
      <c r="L702" s="109"/>
      <c r="M702" s="109"/>
      <c r="N702" s="113" t="s">
        <v>229</v>
      </c>
      <c r="O702" s="113" t="s">
        <v>229</v>
      </c>
      <c r="P702" s="113" t="s">
        <v>229</v>
      </c>
      <c r="Q702" s="113" t="s">
        <v>229</v>
      </c>
      <c r="R702" s="113" t="s">
        <v>229</v>
      </c>
      <c r="S702" s="113" t="s">
        <v>229</v>
      </c>
      <c r="T702" s="114" t="s">
        <v>229</v>
      </c>
      <c r="U702" s="109" t="s">
        <v>229</v>
      </c>
      <c r="V702" s="112" t="s">
        <v>229</v>
      </c>
      <c r="W702" s="111" t="s">
        <v>229</v>
      </c>
      <c r="X702" s="112" t="s">
        <v>229</v>
      </c>
      <c r="Y702" s="114" t="s">
        <v>229</v>
      </c>
      <c r="Z702" s="111" t="s">
        <v>229</v>
      </c>
    </row>
    <row r="703" ht="15.75" customHeight="1">
      <c r="A703" s="109"/>
      <c r="B703" s="110"/>
      <c r="C703" s="110"/>
      <c r="D703" s="109"/>
      <c r="E703" s="109"/>
      <c r="F703" s="109"/>
      <c r="G703" s="111"/>
      <c r="H703" s="111"/>
      <c r="I703" s="112"/>
      <c r="J703" s="112"/>
      <c r="K703" s="113"/>
      <c r="L703" s="109"/>
      <c r="M703" s="109"/>
      <c r="N703" s="113" t="s">
        <v>229</v>
      </c>
      <c r="O703" s="113" t="s">
        <v>229</v>
      </c>
      <c r="P703" s="113" t="s">
        <v>229</v>
      </c>
      <c r="Q703" s="113" t="s">
        <v>229</v>
      </c>
      <c r="R703" s="113" t="s">
        <v>229</v>
      </c>
      <c r="S703" s="113" t="s">
        <v>229</v>
      </c>
      <c r="T703" s="114" t="s">
        <v>229</v>
      </c>
      <c r="U703" s="109" t="s">
        <v>229</v>
      </c>
      <c r="V703" s="112" t="s">
        <v>229</v>
      </c>
      <c r="W703" s="111" t="s">
        <v>229</v>
      </c>
      <c r="X703" s="112" t="s">
        <v>229</v>
      </c>
      <c r="Y703" s="114" t="s">
        <v>229</v>
      </c>
      <c r="Z703" s="111" t="s">
        <v>229</v>
      </c>
    </row>
    <row r="704" ht="15.75" customHeight="1">
      <c r="A704" s="109"/>
      <c r="B704" s="110"/>
      <c r="C704" s="110"/>
      <c r="D704" s="109"/>
      <c r="E704" s="109"/>
      <c r="F704" s="109"/>
      <c r="G704" s="111"/>
      <c r="H704" s="111"/>
      <c r="I704" s="112"/>
      <c r="J704" s="112"/>
      <c r="K704" s="113"/>
      <c r="L704" s="109"/>
      <c r="M704" s="109"/>
      <c r="N704" s="113" t="s">
        <v>229</v>
      </c>
      <c r="O704" s="113" t="s">
        <v>229</v>
      </c>
      <c r="P704" s="113" t="s">
        <v>229</v>
      </c>
      <c r="Q704" s="113" t="s">
        <v>229</v>
      </c>
      <c r="R704" s="113" t="s">
        <v>229</v>
      </c>
      <c r="S704" s="113" t="s">
        <v>229</v>
      </c>
      <c r="T704" s="114" t="s">
        <v>229</v>
      </c>
      <c r="U704" s="109" t="s">
        <v>229</v>
      </c>
      <c r="V704" s="112" t="s">
        <v>229</v>
      </c>
      <c r="W704" s="111" t="s">
        <v>229</v>
      </c>
      <c r="X704" s="112" t="s">
        <v>229</v>
      </c>
      <c r="Y704" s="114" t="s">
        <v>229</v>
      </c>
      <c r="Z704" s="111" t="s">
        <v>229</v>
      </c>
    </row>
    <row r="705" ht="15.75" customHeight="1">
      <c r="A705" s="109"/>
      <c r="B705" s="110"/>
      <c r="C705" s="110"/>
      <c r="D705" s="109"/>
      <c r="E705" s="109"/>
      <c r="F705" s="109"/>
      <c r="G705" s="111"/>
      <c r="H705" s="111"/>
      <c r="I705" s="112"/>
      <c r="J705" s="112"/>
      <c r="K705" s="113"/>
      <c r="L705" s="109"/>
      <c r="M705" s="109"/>
      <c r="N705" s="113" t="s">
        <v>229</v>
      </c>
      <c r="O705" s="113" t="s">
        <v>229</v>
      </c>
      <c r="P705" s="113" t="s">
        <v>229</v>
      </c>
      <c r="Q705" s="113" t="s">
        <v>229</v>
      </c>
      <c r="R705" s="113" t="s">
        <v>229</v>
      </c>
      <c r="S705" s="113" t="s">
        <v>229</v>
      </c>
      <c r="T705" s="114" t="s">
        <v>229</v>
      </c>
      <c r="U705" s="109" t="s">
        <v>229</v>
      </c>
      <c r="V705" s="112" t="s">
        <v>229</v>
      </c>
      <c r="W705" s="111" t="s">
        <v>229</v>
      </c>
      <c r="X705" s="112" t="s">
        <v>229</v>
      </c>
      <c r="Y705" s="114" t="s">
        <v>229</v>
      </c>
      <c r="Z705" s="111" t="s">
        <v>229</v>
      </c>
    </row>
    <row r="706" ht="15.75" customHeight="1">
      <c r="A706" s="109"/>
      <c r="B706" s="110"/>
      <c r="C706" s="110"/>
      <c r="D706" s="109"/>
      <c r="E706" s="109"/>
      <c r="F706" s="109"/>
      <c r="G706" s="111"/>
      <c r="H706" s="111"/>
      <c r="I706" s="112"/>
      <c r="J706" s="112"/>
      <c r="K706" s="113"/>
      <c r="L706" s="109"/>
      <c r="M706" s="109"/>
      <c r="N706" s="113" t="s">
        <v>229</v>
      </c>
      <c r="O706" s="113" t="s">
        <v>229</v>
      </c>
      <c r="P706" s="113" t="s">
        <v>229</v>
      </c>
      <c r="Q706" s="113" t="s">
        <v>229</v>
      </c>
      <c r="R706" s="113" t="s">
        <v>229</v>
      </c>
      <c r="S706" s="113" t="s">
        <v>229</v>
      </c>
      <c r="T706" s="114" t="s">
        <v>229</v>
      </c>
      <c r="U706" s="109" t="s">
        <v>229</v>
      </c>
      <c r="V706" s="112" t="s">
        <v>229</v>
      </c>
      <c r="W706" s="111" t="s">
        <v>229</v>
      </c>
      <c r="X706" s="112" t="s">
        <v>229</v>
      </c>
      <c r="Y706" s="114" t="s">
        <v>229</v>
      </c>
      <c r="Z706" s="111" t="s">
        <v>229</v>
      </c>
    </row>
    <row r="707" ht="15.75" customHeight="1">
      <c r="A707" s="109"/>
      <c r="B707" s="110"/>
      <c r="C707" s="110"/>
      <c r="D707" s="109"/>
      <c r="E707" s="109"/>
      <c r="F707" s="109"/>
      <c r="G707" s="111"/>
      <c r="H707" s="111"/>
      <c r="I707" s="112"/>
      <c r="J707" s="112"/>
      <c r="K707" s="113"/>
      <c r="L707" s="109"/>
      <c r="M707" s="109"/>
      <c r="N707" s="113" t="s">
        <v>229</v>
      </c>
      <c r="O707" s="113" t="s">
        <v>229</v>
      </c>
      <c r="P707" s="113" t="s">
        <v>229</v>
      </c>
      <c r="Q707" s="113" t="s">
        <v>229</v>
      </c>
      <c r="R707" s="113" t="s">
        <v>229</v>
      </c>
      <c r="S707" s="113" t="s">
        <v>229</v>
      </c>
      <c r="T707" s="114" t="s">
        <v>229</v>
      </c>
      <c r="U707" s="109" t="s">
        <v>229</v>
      </c>
      <c r="V707" s="112" t="s">
        <v>229</v>
      </c>
      <c r="W707" s="111" t="s">
        <v>229</v>
      </c>
      <c r="X707" s="112" t="s">
        <v>229</v>
      </c>
      <c r="Y707" s="114" t="s">
        <v>229</v>
      </c>
      <c r="Z707" s="111" t="s">
        <v>229</v>
      </c>
    </row>
    <row r="708" ht="15.75" customHeight="1">
      <c r="A708" s="109"/>
      <c r="B708" s="110"/>
      <c r="C708" s="110"/>
      <c r="D708" s="109"/>
      <c r="E708" s="109"/>
      <c r="F708" s="109"/>
      <c r="G708" s="111"/>
      <c r="H708" s="111"/>
      <c r="I708" s="112"/>
      <c r="J708" s="112"/>
      <c r="K708" s="113"/>
      <c r="L708" s="109"/>
      <c r="M708" s="109"/>
      <c r="N708" s="113" t="s">
        <v>229</v>
      </c>
      <c r="O708" s="113" t="s">
        <v>229</v>
      </c>
      <c r="P708" s="113" t="s">
        <v>229</v>
      </c>
      <c r="Q708" s="113" t="s">
        <v>229</v>
      </c>
      <c r="R708" s="113" t="s">
        <v>229</v>
      </c>
      <c r="S708" s="113" t="s">
        <v>229</v>
      </c>
      <c r="T708" s="114" t="s">
        <v>229</v>
      </c>
      <c r="U708" s="109" t="s">
        <v>229</v>
      </c>
      <c r="V708" s="112" t="s">
        <v>229</v>
      </c>
      <c r="W708" s="111" t="s">
        <v>229</v>
      </c>
      <c r="X708" s="112" t="s">
        <v>229</v>
      </c>
      <c r="Y708" s="114" t="s">
        <v>229</v>
      </c>
      <c r="Z708" s="111" t="s">
        <v>229</v>
      </c>
    </row>
    <row r="709" ht="15.75" customHeight="1">
      <c r="A709" s="109"/>
      <c r="B709" s="110"/>
      <c r="C709" s="110"/>
      <c r="D709" s="109"/>
      <c r="E709" s="109"/>
      <c r="F709" s="109"/>
      <c r="G709" s="111"/>
      <c r="H709" s="111"/>
      <c r="I709" s="112"/>
      <c r="J709" s="112"/>
      <c r="K709" s="113"/>
      <c r="L709" s="109"/>
      <c r="M709" s="109"/>
      <c r="N709" s="113" t="s">
        <v>229</v>
      </c>
      <c r="O709" s="113" t="s">
        <v>229</v>
      </c>
      <c r="P709" s="113" t="s">
        <v>229</v>
      </c>
      <c r="Q709" s="113" t="s">
        <v>229</v>
      </c>
      <c r="R709" s="113" t="s">
        <v>229</v>
      </c>
      <c r="S709" s="113" t="s">
        <v>229</v>
      </c>
      <c r="T709" s="114" t="s">
        <v>229</v>
      </c>
      <c r="U709" s="109" t="s">
        <v>229</v>
      </c>
      <c r="V709" s="112" t="s">
        <v>229</v>
      </c>
      <c r="W709" s="111" t="s">
        <v>229</v>
      </c>
      <c r="X709" s="112" t="s">
        <v>229</v>
      </c>
      <c r="Y709" s="114" t="s">
        <v>229</v>
      </c>
      <c r="Z709" s="111" t="s">
        <v>229</v>
      </c>
    </row>
    <row r="710" ht="15.75" customHeight="1">
      <c r="A710" s="109"/>
      <c r="B710" s="110"/>
      <c r="C710" s="110"/>
      <c r="D710" s="109"/>
      <c r="E710" s="109"/>
      <c r="F710" s="109"/>
      <c r="G710" s="111"/>
      <c r="H710" s="111"/>
      <c r="I710" s="112"/>
      <c r="J710" s="112"/>
      <c r="K710" s="113"/>
      <c r="L710" s="109"/>
      <c r="M710" s="109"/>
      <c r="N710" s="113" t="s">
        <v>229</v>
      </c>
      <c r="O710" s="113" t="s">
        <v>229</v>
      </c>
      <c r="P710" s="113" t="s">
        <v>229</v>
      </c>
      <c r="Q710" s="113" t="s">
        <v>229</v>
      </c>
      <c r="R710" s="113" t="s">
        <v>229</v>
      </c>
      <c r="S710" s="113" t="s">
        <v>229</v>
      </c>
      <c r="T710" s="114" t="s">
        <v>229</v>
      </c>
      <c r="U710" s="109" t="s">
        <v>229</v>
      </c>
      <c r="V710" s="112" t="s">
        <v>229</v>
      </c>
      <c r="W710" s="111" t="s">
        <v>229</v>
      </c>
      <c r="X710" s="112" t="s">
        <v>229</v>
      </c>
      <c r="Y710" s="114" t="s">
        <v>229</v>
      </c>
      <c r="Z710" s="111" t="s">
        <v>229</v>
      </c>
    </row>
    <row r="711" ht="15.75" customHeight="1">
      <c r="A711" s="109"/>
      <c r="B711" s="110"/>
      <c r="C711" s="110"/>
      <c r="D711" s="109"/>
      <c r="E711" s="109"/>
      <c r="F711" s="109"/>
      <c r="G711" s="111"/>
      <c r="H711" s="111"/>
      <c r="I711" s="112"/>
      <c r="J711" s="112"/>
      <c r="K711" s="113"/>
      <c r="L711" s="109"/>
      <c r="M711" s="109"/>
      <c r="N711" s="113" t="s">
        <v>229</v>
      </c>
      <c r="O711" s="113" t="s">
        <v>229</v>
      </c>
      <c r="P711" s="113" t="s">
        <v>229</v>
      </c>
      <c r="Q711" s="113" t="s">
        <v>229</v>
      </c>
      <c r="R711" s="113" t="s">
        <v>229</v>
      </c>
      <c r="S711" s="113" t="s">
        <v>229</v>
      </c>
      <c r="T711" s="114" t="s">
        <v>229</v>
      </c>
      <c r="U711" s="109" t="s">
        <v>229</v>
      </c>
      <c r="V711" s="112" t="s">
        <v>229</v>
      </c>
      <c r="W711" s="111" t="s">
        <v>229</v>
      </c>
      <c r="X711" s="112" t="s">
        <v>229</v>
      </c>
      <c r="Y711" s="114" t="s">
        <v>229</v>
      </c>
      <c r="Z711" s="111" t="s">
        <v>229</v>
      </c>
    </row>
    <row r="712" ht="15.75" customHeight="1">
      <c r="A712" s="109"/>
      <c r="B712" s="110"/>
      <c r="C712" s="110"/>
      <c r="D712" s="109"/>
      <c r="E712" s="109"/>
      <c r="F712" s="109"/>
      <c r="G712" s="111"/>
      <c r="H712" s="111"/>
      <c r="I712" s="112"/>
      <c r="J712" s="112"/>
      <c r="K712" s="113"/>
      <c r="L712" s="109"/>
      <c r="M712" s="109"/>
      <c r="N712" s="113" t="s">
        <v>229</v>
      </c>
      <c r="O712" s="113" t="s">
        <v>229</v>
      </c>
      <c r="P712" s="113" t="s">
        <v>229</v>
      </c>
      <c r="Q712" s="113" t="s">
        <v>229</v>
      </c>
      <c r="R712" s="113" t="s">
        <v>229</v>
      </c>
      <c r="S712" s="113" t="s">
        <v>229</v>
      </c>
      <c r="T712" s="114" t="s">
        <v>229</v>
      </c>
      <c r="U712" s="109" t="s">
        <v>229</v>
      </c>
      <c r="V712" s="112" t="s">
        <v>229</v>
      </c>
      <c r="W712" s="111" t="s">
        <v>229</v>
      </c>
      <c r="X712" s="112" t="s">
        <v>229</v>
      </c>
      <c r="Y712" s="114" t="s">
        <v>229</v>
      </c>
      <c r="Z712" s="111" t="s">
        <v>229</v>
      </c>
    </row>
    <row r="713" ht="15.75" customHeight="1">
      <c r="A713" s="109"/>
      <c r="B713" s="110"/>
      <c r="C713" s="110"/>
      <c r="D713" s="109"/>
      <c r="E713" s="109"/>
      <c r="F713" s="109"/>
      <c r="G713" s="111"/>
      <c r="H713" s="111"/>
      <c r="I713" s="112"/>
      <c r="J713" s="112"/>
      <c r="K713" s="113"/>
      <c r="L713" s="109"/>
      <c r="M713" s="109"/>
      <c r="N713" s="113" t="s">
        <v>229</v>
      </c>
      <c r="O713" s="113" t="s">
        <v>229</v>
      </c>
      <c r="P713" s="113" t="s">
        <v>229</v>
      </c>
      <c r="Q713" s="113" t="s">
        <v>229</v>
      </c>
      <c r="R713" s="113" t="s">
        <v>229</v>
      </c>
      <c r="S713" s="113" t="s">
        <v>229</v>
      </c>
      <c r="T713" s="114" t="s">
        <v>229</v>
      </c>
      <c r="U713" s="109" t="s">
        <v>229</v>
      </c>
      <c r="V713" s="112" t="s">
        <v>229</v>
      </c>
      <c r="W713" s="111" t="s">
        <v>229</v>
      </c>
      <c r="X713" s="112" t="s">
        <v>229</v>
      </c>
      <c r="Y713" s="114" t="s">
        <v>229</v>
      </c>
      <c r="Z713" s="111" t="s">
        <v>229</v>
      </c>
    </row>
    <row r="714" ht="15.75" customHeight="1">
      <c r="A714" s="109"/>
      <c r="B714" s="110"/>
      <c r="C714" s="110"/>
      <c r="D714" s="109"/>
      <c r="E714" s="109"/>
      <c r="F714" s="109"/>
      <c r="G714" s="111"/>
      <c r="H714" s="111"/>
      <c r="I714" s="112"/>
      <c r="J714" s="112"/>
      <c r="K714" s="113"/>
      <c r="L714" s="109"/>
      <c r="M714" s="109"/>
      <c r="N714" s="113" t="s">
        <v>229</v>
      </c>
      <c r="O714" s="113" t="s">
        <v>229</v>
      </c>
      <c r="P714" s="113" t="s">
        <v>229</v>
      </c>
      <c r="Q714" s="113" t="s">
        <v>229</v>
      </c>
      <c r="R714" s="113" t="s">
        <v>229</v>
      </c>
      <c r="S714" s="113" t="s">
        <v>229</v>
      </c>
      <c r="T714" s="114" t="s">
        <v>229</v>
      </c>
      <c r="U714" s="109" t="s">
        <v>229</v>
      </c>
      <c r="V714" s="112" t="s">
        <v>229</v>
      </c>
      <c r="W714" s="111" t="s">
        <v>229</v>
      </c>
      <c r="X714" s="112" t="s">
        <v>229</v>
      </c>
      <c r="Y714" s="114" t="s">
        <v>229</v>
      </c>
      <c r="Z714" s="111" t="s">
        <v>229</v>
      </c>
    </row>
    <row r="715" ht="15.75" customHeight="1">
      <c r="A715" s="109"/>
      <c r="B715" s="110"/>
      <c r="C715" s="110"/>
      <c r="D715" s="109"/>
      <c r="E715" s="109"/>
      <c r="F715" s="109"/>
      <c r="G715" s="111"/>
      <c r="H715" s="111"/>
      <c r="I715" s="112"/>
      <c r="J715" s="112"/>
      <c r="K715" s="113"/>
      <c r="L715" s="109"/>
      <c r="M715" s="109"/>
      <c r="N715" s="113" t="s">
        <v>229</v>
      </c>
      <c r="O715" s="113" t="s">
        <v>229</v>
      </c>
      <c r="P715" s="113" t="s">
        <v>229</v>
      </c>
      <c r="Q715" s="113" t="s">
        <v>229</v>
      </c>
      <c r="R715" s="113" t="s">
        <v>229</v>
      </c>
      <c r="S715" s="113" t="s">
        <v>229</v>
      </c>
      <c r="T715" s="114" t="s">
        <v>229</v>
      </c>
      <c r="U715" s="109" t="s">
        <v>229</v>
      </c>
      <c r="V715" s="112" t="s">
        <v>229</v>
      </c>
      <c r="W715" s="111" t="s">
        <v>229</v>
      </c>
      <c r="X715" s="112" t="s">
        <v>229</v>
      </c>
      <c r="Y715" s="114" t="s">
        <v>229</v>
      </c>
      <c r="Z715" s="111" t="s">
        <v>229</v>
      </c>
    </row>
    <row r="716" ht="15.75" customHeight="1">
      <c r="A716" s="109"/>
      <c r="B716" s="110"/>
      <c r="C716" s="110"/>
      <c r="D716" s="109"/>
      <c r="E716" s="109"/>
      <c r="F716" s="109"/>
      <c r="G716" s="111"/>
      <c r="H716" s="111"/>
      <c r="I716" s="112"/>
      <c r="J716" s="112"/>
      <c r="K716" s="113"/>
      <c r="L716" s="109"/>
      <c r="M716" s="109"/>
      <c r="N716" s="113" t="s">
        <v>229</v>
      </c>
      <c r="O716" s="113" t="s">
        <v>229</v>
      </c>
      <c r="P716" s="113" t="s">
        <v>229</v>
      </c>
      <c r="Q716" s="113" t="s">
        <v>229</v>
      </c>
      <c r="R716" s="113" t="s">
        <v>229</v>
      </c>
      <c r="S716" s="113" t="s">
        <v>229</v>
      </c>
      <c r="T716" s="114" t="s">
        <v>229</v>
      </c>
      <c r="U716" s="109" t="s">
        <v>229</v>
      </c>
      <c r="V716" s="112" t="s">
        <v>229</v>
      </c>
      <c r="W716" s="111" t="s">
        <v>229</v>
      </c>
      <c r="X716" s="112" t="s">
        <v>229</v>
      </c>
      <c r="Y716" s="114" t="s">
        <v>229</v>
      </c>
      <c r="Z716" s="111" t="s">
        <v>229</v>
      </c>
    </row>
    <row r="717" ht="15.75" customHeight="1">
      <c r="A717" s="109"/>
      <c r="B717" s="110"/>
      <c r="C717" s="110"/>
      <c r="D717" s="109"/>
      <c r="E717" s="109"/>
      <c r="F717" s="109"/>
      <c r="G717" s="111"/>
      <c r="H717" s="111"/>
      <c r="I717" s="112"/>
      <c r="J717" s="112"/>
      <c r="K717" s="113"/>
      <c r="L717" s="109"/>
      <c r="M717" s="109"/>
      <c r="N717" s="113" t="s">
        <v>229</v>
      </c>
      <c r="O717" s="113" t="s">
        <v>229</v>
      </c>
      <c r="P717" s="113" t="s">
        <v>229</v>
      </c>
      <c r="Q717" s="113" t="s">
        <v>229</v>
      </c>
      <c r="R717" s="113" t="s">
        <v>229</v>
      </c>
      <c r="S717" s="113" t="s">
        <v>229</v>
      </c>
      <c r="T717" s="114" t="s">
        <v>229</v>
      </c>
      <c r="U717" s="109" t="s">
        <v>229</v>
      </c>
      <c r="V717" s="112" t="s">
        <v>229</v>
      </c>
      <c r="W717" s="111" t="s">
        <v>229</v>
      </c>
      <c r="X717" s="112" t="s">
        <v>229</v>
      </c>
      <c r="Y717" s="114" t="s">
        <v>229</v>
      </c>
      <c r="Z717" s="111" t="s">
        <v>229</v>
      </c>
    </row>
    <row r="718" ht="15.75" customHeight="1">
      <c r="A718" s="109"/>
      <c r="B718" s="110"/>
      <c r="C718" s="110"/>
      <c r="D718" s="109"/>
      <c r="E718" s="109"/>
      <c r="F718" s="109"/>
      <c r="G718" s="111"/>
      <c r="H718" s="111"/>
      <c r="I718" s="112"/>
      <c r="J718" s="112"/>
      <c r="K718" s="113"/>
      <c r="L718" s="109"/>
      <c r="M718" s="109"/>
      <c r="N718" s="113" t="s">
        <v>229</v>
      </c>
      <c r="O718" s="113" t="s">
        <v>229</v>
      </c>
      <c r="P718" s="113" t="s">
        <v>229</v>
      </c>
      <c r="Q718" s="113" t="s">
        <v>229</v>
      </c>
      <c r="R718" s="113" t="s">
        <v>229</v>
      </c>
      <c r="S718" s="113" t="s">
        <v>229</v>
      </c>
      <c r="T718" s="114" t="s">
        <v>229</v>
      </c>
      <c r="U718" s="109" t="s">
        <v>229</v>
      </c>
      <c r="V718" s="112" t="s">
        <v>229</v>
      </c>
      <c r="W718" s="111" t="s">
        <v>229</v>
      </c>
      <c r="X718" s="112" t="s">
        <v>229</v>
      </c>
      <c r="Y718" s="114" t="s">
        <v>229</v>
      </c>
      <c r="Z718" s="111" t="s">
        <v>229</v>
      </c>
    </row>
    <row r="719" ht="15.75" customHeight="1">
      <c r="A719" s="109"/>
      <c r="B719" s="110"/>
      <c r="C719" s="110"/>
      <c r="D719" s="109"/>
      <c r="E719" s="109"/>
      <c r="F719" s="109"/>
      <c r="G719" s="111"/>
      <c r="H719" s="111"/>
      <c r="I719" s="112"/>
      <c r="J719" s="112"/>
      <c r="K719" s="113"/>
      <c r="L719" s="109"/>
      <c r="M719" s="109"/>
      <c r="N719" s="113" t="s">
        <v>229</v>
      </c>
      <c r="O719" s="113" t="s">
        <v>229</v>
      </c>
      <c r="P719" s="113" t="s">
        <v>229</v>
      </c>
      <c r="Q719" s="113" t="s">
        <v>229</v>
      </c>
      <c r="R719" s="113" t="s">
        <v>229</v>
      </c>
      <c r="S719" s="113" t="s">
        <v>229</v>
      </c>
      <c r="T719" s="114" t="s">
        <v>229</v>
      </c>
      <c r="U719" s="109" t="s">
        <v>229</v>
      </c>
      <c r="V719" s="112" t="s">
        <v>229</v>
      </c>
      <c r="W719" s="111" t="s">
        <v>229</v>
      </c>
      <c r="X719" s="112" t="s">
        <v>229</v>
      </c>
      <c r="Y719" s="114" t="s">
        <v>229</v>
      </c>
      <c r="Z719" s="111" t="s">
        <v>229</v>
      </c>
    </row>
    <row r="720" ht="15.75" customHeight="1">
      <c r="A720" s="109"/>
      <c r="B720" s="110"/>
      <c r="C720" s="110"/>
      <c r="D720" s="109"/>
      <c r="E720" s="109"/>
      <c r="F720" s="109"/>
      <c r="G720" s="111"/>
      <c r="H720" s="111"/>
      <c r="I720" s="112"/>
      <c r="J720" s="112"/>
      <c r="K720" s="113"/>
      <c r="L720" s="109"/>
      <c r="M720" s="109"/>
      <c r="N720" s="113" t="s">
        <v>229</v>
      </c>
      <c r="O720" s="113" t="s">
        <v>229</v>
      </c>
      <c r="P720" s="113" t="s">
        <v>229</v>
      </c>
      <c r="Q720" s="113" t="s">
        <v>229</v>
      </c>
      <c r="R720" s="113" t="s">
        <v>229</v>
      </c>
      <c r="S720" s="113" t="s">
        <v>229</v>
      </c>
      <c r="T720" s="114" t="s">
        <v>229</v>
      </c>
      <c r="U720" s="109" t="s">
        <v>229</v>
      </c>
      <c r="V720" s="112" t="s">
        <v>229</v>
      </c>
      <c r="W720" s="111" t="s">
        <v>229</v>
      </c>
      <c r="X720" s="112" t="s">
        <v>229</v>
      </c>
      <c r="Y720" s="114" t="s">
        <v>229</v>
      </c>
      <c r="Z720" s="111" t="s">
        <v>229</v>
      </c>
    </row>
    <row r="721" ht="15.75" customHeight="1">
      <c r="A721" s="109"/>
      <c r="B721" s="110"/>
      <c r="C721" s="110"/>
      <c r="D721" s="109"/>
      <c r="E721" s="109"/>
      <c r="F721" s="109"/>
      <c r="G721" s="111"/>
      <c r="H721" s="111"/>
      <c r="I721" s="112"/>
      <c r="J721" s="112"/>
      <c r="K721" s="113"/>
      <c r="L721" s="109"/>
      <c r="M721" s="109"/>
      <c r="N721" s="113" t="s">
        <v>229</v>
      </c>
      <c r="O721" s="113" t="s">
        <v>229</v>
      </c>
      <c r="P721" s="113" t="s">
        <v>229</v>
      </c>
      <c r="Q721" s="113" t="s">
        <v>229</v>
      </c>
      <c r="R721" s="113" t="s">
        <v>229</v>
      </c>
      <c r="S721" s="113" t="s">
        <v>229</v>
      </c>
      <c r="T721" s="114" t="s">
        <v>229</v>
      </c>
      <c r="U721" s="109" t="s">
        <v>229</v>
      </c>
      <c r="V721" s="112" t="s">
        <v>229</v>
      </c>
      <c r="W721" s="111" t="s">
        <v>229</v>
      </c>
      <c r="X721" s="112" t="s">
        <v>229</v>
      </c>
      <c r="Y721" s="114" t="s">
        <v>229</v>
      </c>
      <c r="Z721" s="111" t="s">
        <v>229</v>
      </c>
    </row>
    <row r="722" ht="15.75" customHeight="1">
      <c r="A722" s="109"/>
      <c r="B722" s="110"/>
      <c r="C722" s="110"/>
      <c r="D722" s="109"/>
      <c r="E722" s="109"/>
      <c r="F722" s="109"/>
      <c r="G722" s="111"/>
      <c r="H722" s="111"/>
      <c r="I722" s="112"/>
      <c r="J722" s="112"/>
      <c r="K722" s="113"/>
      <c r="L722" s="109"/>
      <c r="M722" s="109"/>
      <c r="N722" s="113" t="s">
        <v>229</v>
      </c>
      <c r="O722" s="113" t="s">
        <v>229</v>
      </c>
      <c r="P722" s="113" t="s">
        <v>229</v>
      </c>
      <c r="Q722" s="113" t="s">
        <v>229</v>
      </c>
      <c r="R722" s="113" t="s">
        <v>229</v>
      </c>
      <c r="S722" s="113" t="s">
        <v>229</v>
      </c>
      <c r="T722" s="114" t="s">
        <v>229</v>
      </c>
      <c r="U722" s="109" t="s">
        <v>229</v>
      </c>
      <c r="V722" s="112" t="s">
        <v>229</v>
      </c>
      <c r="W722" s="111" t="s">
        <v>229</v>
      </c>
      <c r="X722" s="112" t="s">
        <v>229</v>
      </c>
      <c r="Y722" s="114" t="s">
        <v>229</v>
      </c>
      <c r="Z722" s="111" t="s">
        <v>229</v>
      </c>
    </row>
    <row r="723" ht="15.75" customHeight="1">
      <c r="A723" s="109"/>
      <c r="B723" s="110"/>
      <c r="C723" s="110"/>
      <c r="D723" s="109"/>
      <c r="E723" s="109"/>
      <c r="F723" s="109"/>
      <c r="G723" s="111"/>
      <c r="H723" s="111"/>
      <c r="I723" s="112"/>
      <c r="J723" s="112"/>
      <c r="K723" s="113"/>
      <c r="L723" s="109"/>
      <c r="M723" s="109"/>
      <c r="N723" s="113" t="s">
        <v>229</v>
      </c>
      <c r="O723" s="113" t="s">
        <v>229</v>
      </c>
      <c r="P723" s="113" t="s">
        <v>229</v>
      </c>
      <c r="Q723" s="113" t="s">
        <v>229</v>
      </c>
      <c r="R723" s="113" t="s">
        <v>229</v>
      </c>
      <c r="S723" s="113" t="s">
        <v>229</v>
      </c>
      <c r="T723" s="114" t="s">
        <v>229</v>
      </c>
      <c r="U723" s="109" t="s">
        <v>229</v>
      </c>
      <c r="V723" s="112" t="s">
        <v>229</v>
      </c>
      <c r="W723" s="111" t="s">
        <v>229</v>
      </c>
      <c r="X723" s="112" t="s">
        <v>229</v>
      </c>
      <c r="Y723" s="114" t="s">
        <v>229</v>
      </c>
      <c r="Z723" s="111" t="s">
        <v>229</v>
      </c>
    </row>
    <row r="724" ht="15.75" customHeight="1">
      <c r="A724" s="109"/>
      <c r="B724" s="110"/>
      <c r="C724" s="110"/>
      <c r="D724" s="109"/>
      <c r="E724" s="109"/>
      <c r="F724" s="109"/>
      <c r="G724" s="111"/>
      <c r="H724" s="111"/>
      <c r="I724" s="112"/>
      <c r="J724" s="112"/>
      <c r="K724" s="113"/>
      <c r="L724" s="109"/>
      <c r="M724" s="109"/>
      <c r="N724" s="113" t="s">
        <v>229</v>
      </c>
      <c r="O724" s="113" t="s">
        <v>229</v>
      </c>
      <c r="P724" s="113" t="s">
        <v>229</v>
      </c>
      <c r="Q724" s="113" t="s">
        <v>229</v>
      </c>
      <c r="R724" s="113" t="s">
        <v>229</v>
      </c>
      <c r="S724" s="113" t="s">
        <v>229</v>
      </c>
      <c r="T724" s="114" t="s">
        <v>229</v>
      </c>
      <c r="U724" s="109" t="s">
        <v>229</v>
      </c>
      <c r="V724" s="112" t="s">
        <v>229</v>
      </c>
      <c r="W724" s="111" t="s">
        <v>229</v>
      </c>
      <c r="X724" s="112" t="s">
        <v>229</v>
      </c>
      <c r="Y724" s="114" t="s">
        <v>229</v>
      </c>
      <c r="Z724" s="111" t="s">
        <v>229</v>
      </c>
    </row>
    <row r="725" ht="15.75" customHeight="1">
      <c r="A725" s="109"/>
      <c r="B725" s="110"/>
      <c r="C725" s="110"/>
      <c r="D725" s="109"/>
      <c r="E725" s="109"/>
      <c r="F725" s="109"/>
      <c r="G725" s="111"/>
      <c r="H725" s="111"/>
      <c r="I725" s="112"/>
      <c r="J725" s="112"/>
      <c r="K725" s="113"/>
      <c r="L725" s="109"/>
      <c r="M725" s="109"/>
      <c r="N725" s="113" t="s">
        <v>229</v>
      </c>
      <c r="O725" s="113" t="s">
        <v>229</v>
      </c>
      <c r="P725" s="113" t="s">
        <v>229</v>
      </c>
      <c r="Q725" s="113" t="s">
        <v>229</v>
      </c>
      <c r="R725" s="113" t="s">
        <v>229</v>
      </c>
      <c r="S725" s="113" t="s">
        <v>229</v>
      </c>
      <c r="T725" s="114" t="s">
        <v>229</v>
      </c>
      <c r="U725" s="109" t="s">
        <v>229</v>
      </c>
      <c r="V725" s="112" t="s">
        <v>229</v>
      </c>
      <c r="W725" s="111" t="s">
        <v>229</v>
      </c>
      <c r="X725" s="112" t="s">
        <v>229</v>
      </c>
      <c r="Y725" s="114" t="s">
        <v>229</v>
      </c>
      <c r="Z725" s="111" t="s">
        <v>229</v>
      </c>
    </row>
    <row r="726" ht="15.75" customHeight="1">
      <c r="A726" s="109"/>
      <c r="B726" s="110"/>
      <c r="C726" s="110"/>
      <c r="D726" s="109"/>
      <c r="E726" s="109"/>
      <c r="F726" s="109"/>
      <c r="G726" s="111"/>
      <c r="H726" s="111"/>
      <c r="I726" s="112"/>
      <c r="J726" s="112"/>
      <c r="K726" s="113"/>
      <c r="L726" s="109"/>
      <c r="M726" s="109"/>
      <c r="N726" s="113" t="s">
        <v>229</v>
      </c>
      <c r="O726" s="113" t="s">
        <v>229</v>
      </c>
      <c r="P726" s="113" t="s">
        <v>229</v>
      </c>
      <c r="Q726" s="113" t="s">
        <v>229</v>
      </c>
      <c r="R726" s="113" t="s">
        <v>229</v>
      </c>
      <c r="S726" s="113" t="s">
        <v>229</v>
      </c>
      <c r="T726" s="114" t="s">
        <v>229</v>
      </c>
      <c r="U726" s="109" t="s">
        <v>229</v>
      </c>
      <c r="V726" s="112" t="s">
        <v>229</v>
      </c>
      <c r="W726" s="111" t="s">
        <v>229</v>
      </c>
      <c r="X726" s="112" t="s">
        <v>229</v>
      </c>
      <c r="Y726" s="114" t="s">
        <v>229</v>
      </c>
      <c r="Z726" s="111" t="s">
        <v>229</v>
      </c>
    </row>
    <row r="727" ht="15.75" customHeight="1">
      <c r="A727" s="109"/>
      <c r="B727" s="110"/>
      <c r="C727" s="110"/>
      <c r="D727" s="109"/>
      <c r="E727" s="109"/>
      <c r="F727" s="109"/>
      <c r="G727" s="111"/>
      <c r="H727" s="111"/>
      <c r="I727" s="112"/>
      <c r="J727" s="112"/>
      <c r="K727" s="113"/>
      <c r="L727" s="109"/>
      <c r="M727" s="109"/>
      <c r="N727" s="113" t="s">
        <v>229</v>
      </c>
      <c r="O727" s="113" t="s">
        <v>229</v>
      </c>
      <c r="P727" s="113" t="s">
        <v>229</v>
      </c>
      <c r="Q727" s="113" t="s">
        <v>229</v>
      </c>
      <c r="R727" s="113" t="s">
        <v>229</v>
      </c>
      <c r="S727" s="113" t="s">
        <v>229</v>
      </c>
      <c r="T727" s="114" t="s">
        <v>229</v>
      </c>
      <c r="U727" s="109" t="s">
        <v>229</v>
      </c>
      <c r="V727" s="112" t="s">
        <v>229</v>
      </c>
      <c r="W727" s="111" t="s">
        <v>229</v>
      </c>
      <c r="X727" s="112" t="s">
        <v>229</v>
      </c>
      <c r="Y727" s="114" t="s">
        <v>229</v>
      </c>
      <c r="Z727" s="111" t="s">
        <v>229</v>
      </c>
    </row>
    <row r="728" ht="15.75" customHeight="1">
      <c r="A728" s="109"/>
      <c r="B728" s="110"/>
      <c r="C728" s="110"/>
      <c r="D728" s="109"/>
      <c r="E728" s="109"/>
      <c r="F728" s="109"/>
      <c r="G728" s="111"/>
      <c r="H728" s="111"/>
      <c r="I728" s="112"/>
      <c r="J728" s="112"/>
      <c r="K728" s="113"/>
      <c r="L728" s="109"/>
      <c r="M728" s="109"/>
      <c r="N728" s="113" t="s">
        <v>229</v>
      </c>
      <c r="O728" s="113" t="s">
        <v>229</v>
      </c>
      <c r="P728" s="113" t="s">
        <v>229</v>
      </c>
      <c r="Q728" s="113" t="s">
        <v>229</v>
      </c>
      <c r="R728" s="113" t="s">
        <v>229</v>
      </c>
      <c r="S728" s="113" t="s">
        <v>229</v>
      </c>
      <c r="T728" s="114" t="s">
        <v>229</v>
      </c>
      <c r="U728" s="109" t="s">
        <v>229</v>
      </c>
      <c r="V728" s="112" t="s">
        <v>229</v>
      </c>
      <c r="W728" s="111" t="s">
        <v>229</v>
      </c>
      <c r="X728" s="112" t="s">
        <v>229</v>
      </c>
      <c r="Y728" s="114" t="s">
        <v>229</v>
      </c>
      <c r="Z728" s="111" t="s">
        <v>229</v>
      </c>
    </row>
    <row r="729" ht="15.75" customHeight="1">
      <c r="A729" s="109"/>
      <c r="B729" s="110"/>
      <c r="C729" s="110"/>
      <c r="D729" s="109"/>
      <c r="E729" s="109"/>
      <c r="F729" s="109"/>
      <c r="G729" s="111"/>
      <c r="H729" s="111"/>
      <c r="I729" s="112"/>
      <c r="J729" s="112"/>
      <c r="K729" s="113"/>
      <c r="L729" s="109"/>
      <c r="M729" s="109"/>
      <c r="N729" s="113" t="s">
        <v>229</v>
      </c>
      <c r="O729" s="113" t="s">
        <v>229</v>
      </c>
      <c r="P729" s="113" t="s">
        <v>229</v>
      </c>
      <c r="Q729" s="113" t="s">
        <v>229</v>
      </c>
      <c r="R729" s="113" t="s">
        <v>229</v>
      </c>
      <c r="S729" s="113" t="s">
        <v>229</v>
      </c>
      <c r="T729" s="114" t="s">
        <v>229</v>
      </c>
      <c r="U729" s="109" t="s">
        <v>229</v>
      </c>
      <c r="V729" s="112" t="s">
        <v>229</v>
      </c>
      <c r="W729" s="111" t="s">
        <v>229</v>
      </c>
      <c r="X729" s="112" t="s">
        <v>229</v>
      </c>
      <c r="Y729" s="114" t="s">
        <v>229</v>
      </c>
      <c r="Z729" s="111" t="s">
        <v>229</v>
      </c>
    </row>
    <row r="730" ht="15.75" customHeight="1">
      <c r="A730" s="109"/>
      <c r="B730" s="110"/>
      <c r="C730" s="110"/>
      <c r="D730" s="109"/>
      <c r="E730" s="109"/>
      <c r="F730" s="109"/>
      <c r="G730" s="111"/>
      <c r="H730" s="111"/>
      <c r="I730" s="112"/>
      <c r="J730" s="112"/>
      <c r="K730" s="113"/>
      <c r="L730" s="109"/>
      <c r="M730" s="109"/>
      <c r="N730" s="113" t="s">
        <v>229</v>
      </c>
      <c r="O730" s="113" t="s">
        <v>229</v>
      </c>
      <c r="P730" s="113" t="s">
        <v>229</v>
      </c>
      <c r="Q730" s="113" t="s">
        <v>229</v>
      </c>
      <c r="R730" s="113" t="s">
        <v>229</v>
      </c>
      <c r="S730" s="113" t="s">
        <v>229</v>
      </c>
      <c r="T730" s="114" t="s">
        <v>229</v>
      </c>
      <c r="U730" s="109" t="s">
        <v>229</v>
      </c>
      <c r="V730" s="112" t="s">
        <v>229</v>
      </c>
      <c r="W730" s="111" t="s">
        <v>229</v>
      </c>
      <c r="X730" s="112" t="s">
        <v>229</v>
      </c>
      <c r="Y730" s="114" t="s">
        <v>229</v>
      </c>
      <c r="Z730" s="111" t="s">
        <v>229</v>
      </c>
    </row>
    <row r="731" ht="15.75" customHeight="1">
      <c r="A731" s="109"/>
      <c r="B731" s="110"/>
      <c r="C731" s="110"/>
      <c r="D731" s="109"/>
      <c r="E731" s="109"/>
      <c r="F731" s="109"/>
      <c r="G731" s="111"/>
      <c r="H731" s="111"/>
      <c r="I731" s="112"/>
      <c r="J731" s="112"/>
      <c r="K731" s="113"/>
      <c r="L731" s="109"/>
      <c r="M731" s="109"/>
      <c r="N731" s="113" t="s">
        <v>229</v>
      </c>
      <c r="O731" s="113" t="s">
        <v>229</v>
      </c>
      <c r="P731" s="113" t="s">
        <v>229</v>
      </c>
      <c r="Q731" s="113" t="s">
        <v>229</v>
      </c>
      <c r="R731" s="113" t="s">
        <v>229</v>
      </c>
      <c r="S731" s="113" t="s">
        <v>229</v>
      </c>
      <c r="T731" s="114" t="s">
        <v>229</v>
      </c>
      <c r="U731" s="109" t="s">
        <v>229</v>
      </c>
      <c r="V731" s="112" t="s">
        <v>229</v>
      </c>
      <c r="W731" s="111" t="s">
        <v>229</v>
      </c>
      <c r="X731" s="112" t="s">
        <v>229</v>
      </c>
      <c r="Y731" s="114" t="s">
        <v>229</v>
      </c>
      <c r="Z731" s="111" t="s">
        <v>229</v>
      </c>
    </row>
    <row r="732" ht="15.75" customHeight="1">
      <c r="A732" s="109"/>
      <c r="B732" s="110"/>
      <c r="C732" s="110"/>
      <c r="D732" s="109"/>
      <c r="E732" s="109"/>
      <c r="F732" s="109"/>
      <c r="G732" s="111"/>
      <c r="H732" s="111"/>
      <c r="I732" s="112"/>
      <c r="J732" s="112"/>
      <c r="K732" s="113"/>
      <c r="L732" s="109"/>
      <c r="M732" s="109"/>
      <c r="N732" s="113" t="s">
        <v>229</v>
      </c>
      <c r="O732" s="113" t="s">
        <v>229</v>
      </c>
      <c r="P732" s="113" t="s">
        <v>229</v>
      </c>
      <c r="Q732" s="113" t="s">
        <v>229</v>
      </c>
      <c r="R732" s="113" t="s">
        <v>229</v>
      </c>
      <c r="S732" s="113" t="s">
        <v>229</v>
      </c>
      <c r="T732" s="114" t="s">
        <v>229</v>
      </c>
      <c r="U732" s="109" t="s">
        <v>229</v>
      </c>
      <c r="V732" s="112" t="s">
        <v>229</v>
      </c>
      <c r="W732" s="111" t="s">
        <v>229</v>
      </c>
      <c r="X732" s="112" t="s">
        <v>229</v>
      </c>
      <c r="Y732" s="114" t="s">
        <v>229</v>
      </c>
      <c r="Z732" s="111" t="s">
        <v>229</v>
      </c>
    </row>
    <row r="733" ht="15.75" customHeight="1">
      <c r="A733" s="109"/>
      <c r="B733" s="110"/>
      <c r="C733" s="110"/>
      <c r="D733" s="109"/>
      <c r="E733" s="109"/>
      <c r="F733" s="109"/>
      <c r="G733" s="111"/>
      <c r="H733" s="111"/>
      <c r="I733" s="112"/>
      <c r="J733" s="112"/>
      <c r="K733" s="113"/>
      <c r="L733" s="109"/>
      <c r="M733" s="109"/>
      <c r="N733" s="113" t="s">
        <v>229</v>
      </c>
      <c r="O733" s="113" t="s">
        <v>229</v>
      </c>
      <c r="P733" s="113" t="s">
        <v>229</v>
      </c>
      <c r="Q733" s="113" t="s">
        <v>229</v>
      </c>
      <c r="R733" s="113" t="s">
        <v>229</v>
      </c>
      <c r="S733" s="113" t="s">
        <v>229</v>
      </c>
      <c r="T733" s="114" t="s">
        <v>229</v>
      </c>
      <c r="U733" s="109" t="s">
        <v>229</v>
      </c>
      <c r="V733" s="112" t="s">
        <v>229</v>
      </c>
      <c r="W733" s="111" t="s">
        <v>229</v>
      </c>
      <c r="X733" s="112" t="s">
        <v>229</v>
      </c>
      <c r="Y733" s="114" t="s">
        <v>229</v>
      </c>
      <c r="Z733" s="111" t="s">
        <v>229</v>
      </c>
    </row>
    <row r="734" ht="15.75" customHeight="1">
      <c r="A734" s="109"/>
      <c r="B734" s="110"/>
      <c r="C734" s="110"/>
      <c r="D734" s="109"/>
      <c r="E734" s="109"/>
      <c r="F734" s="109"/>
      <c r="G734" s="111"/>
      <c r="H734" s="111"/>
      <c r="I734" s="112"/>
      <c r="J734" s="112"/>
      <c r="K734" s="113"/>
      <c r="L734" s="109"/>
      <c r="M734" s="109"/>
      <c r="N734" s="113" t="s">
        <v>229</v>
      </c>
      <c r="O734" s="113" t="s">
        <v>229</v>
      </c>
      <c r="P734" s="113" t="s">
        <v>229</v>
      </c>
      <c r="Q734" s="113" t="s">
        <v>229</v>
      </c>
      <c r="R734" s="113" t="s">
        <v>229</v>
      </c>
      <c r="S734" s="113" t="s">
        <v>229</v>
      </c>
      <c r="T734" s="114" t="s">
        <v>229</v>
      </c>
      <c r="U734" s="109" t="s">
        <v>229</v>
      </c>
      <c r="V734" s="112" t="s">
        <v>229</v>
      </c>
      <c r="W734" s="111" t="s">
        <v>229</v>
      </c>
      <c r="X734" s="112" t="s">
        <v>229</v>
      </c>
      <c r="Y734" s="114" t="s">
        <v>229</v>
      </c>
      <c r="Z734" s="111" t="s">
        <v>229</v>
      </c>
    </row>
    <row r="735" ht="15.75" customHeight="1">
      <c r="A735" s="109"/>
      <c r="B735" s="110"/>
      <c r="C735" s="110"/>
      <c r="D735" s="109"/>
      <c r="E735" s="109"/>
      <c r="F735" s="109"/>
      <c r="G735" s="111"/>
      <c r="H735" s="111"/>
      <c r="I735" s="112"/>
      <c r="J735" s="112"/>
      <c r="K735" s="113"/>
      <c r="L735" s="109"/>
      <c r="M735" s="109"/>
      <c r="N735" s="113" t="s">
        <v>229</v>
      </c>
      <c r="O735" s="113" t="s">
        <v>229</v>
      </c>
      <c r="P735" s="113" t="s">
        <v>229</v>
      </c>
      <c r="Q735" s="113" t="s">
        <v>229</v>
      </c>
      <c r="R735" s="113" t="s">
        <v>229</v>
      </c>
      <c r="S735" s="113" t="s">
        <v>229</v>
      </c>
      <c r="T735" s="114" t="s">
        <v>229</v>
      </c>
      <c r="U735" s="109" t="s">
        <v>229</v>
      </c>
      <c r="V735" s="112" t="s">
        <v>229</v>
      </c>
      <c r="W735" s="111" t="s">
        <v>229</v>
      </c>
      <c r="X735" s="112" t="s">
        <v>229</v>
      </c>
      <c r="Y735" s="114" t="s">
        <v>229</v>
      </c>
      <c r="Z735" s="111" t="s">
        <v>229</v>
      </c>
    </row>
    <row r="736" ht="15.75" customHeight="1">
      <c r="A736" s="109"/>
      <c r="B736" s="110"/>
      <c r="C736" s="110"/>
      <c r="D736" s="109"/>
      <c r="E736" s="109"/>
      <c r="F736" s="109"/>
      <c r="G736" s="111"/>
      <c r="H736" s="111"/>
      <c r="I736" s="112"/>
      <c r="J736" s="112"/>
      <c r="K736" s="113"/>
      <c r="L736" s="109"/>
      <c r="M736" s="109"/>
      <c r="N736" s="113" t="s">
        <v>229</v>
      </c>
      <c r="O736" s="113" t="s">
        <v>229</v>
      </c>
      <c r="P736" s="113" t="s">
        <v>229</v>
      </c>
      <c r="Q736" s="113" t="s">
        <v>229</v>
      </c>
      <c r="R736" s="113" t="s">
        <v>229</v>
      </c>
      <c r="S736" s="113" t="s">
        <v>229</v>
      </c>
      <c r="T736" s="114" t="s">
        <v>229</v>
      </c>
      <c r="U736" s="109" t="s">
        <v>229</v>
      </c>
      <c r="V736" s="112" t="s">
        <v>229</v>
      </c>
      <c r="W736" s="111" t="s">
        <v>229</v>
      </c>
      <c r="X736" s="112" t="s">
        <v>229</v>
      </c>
      <c r="Y736" s="114" t="s">
        <v>229</v>
      </c>
      <c r="Z736" s="111" t="s">
        <v>229</v>
      </c>
    </row>
    <row r="737" ht="15.75" customHeight="1">
      <c r="A737" s="109"/>
      <c r="B737" s="110"/>
      <c r="C737" s="110"/>
      <c r="D737" s="109"/>
      <c r="E737" s="109"/>
      <c r="F737" s="109"/>
      <c r="G737" s="111"/>
      <c r="H737" s="111"/>
      <c r="I737" s="112"/>
      <c r="J737" s="112"/>
      <c r="K737" s="113"/>
      <c r="L737" s="109"/>
      <c r="M737" s="109"/>
      <c r="N737" s="113" t="s">
        <v>229</v>
      </c>
      <c r="O737" s="113" t="s">
        <v>229</v>
      </c>
      <c r="P737" s="113" t="s">
        <v>229</v>
      </c>
      <c r="Q737" s="113" t="s">
        <v>229</v>
      </c>
      <c r="R737" s="113" t="s">
        <v>229</v>
      </c>
      <c r="S737" s="113" t="s">
        <v>229</v>
      </c>
      <c r="T737" s="114" t="s">
        <v>229</v>
      </c>
      <c r="U737" s="109" t="s">
        <v>229</v>
      </c>
      <c r="V737" s="112" t="s">
        <v>229</v>
      </c>
      <c r="W737" s="111" t="s">
        <v>229</v>
      </c>
      <c r="X737" s="112" t="s">
        <v>229</v>
      </c>
      <c r="Y737" s="114" t="s">
        <v>229</v>
      </c>
      <c r="Z737" s="111" t="s">
        <v>229</v>
      </c>
    </row>
    <row r="738" ht="15.75" customHeight="1">
      <c r="A738" s="109"/>
      <c r="B738" s="110"/>
      <c r="C738" s="110"/>
      <c r="D738" s="109"/>
      <c r="E738" s="109"/>
      <c r="F738" s="109"/>
      <c r="G738" s="111"/>
      <c r="H738" s="111"/>
      <c r="I738" s="112"/>
      <c r="J738" s="112"/>
      <c r="K738" s="113"/>
      <c r="L738" s="109"/>
      <c r="M738" s="109"/>
      <c r="N738" s="113" t="s">
        <v>229</v>
      </c>
      <c r="O738" s="113" t="s">
        <v>229</v>
      </c>
      <c r="P738" s="113" t="s">
        <v>229</v>
      </c>
      <c r="Q738" s="113" t="s">
        <v>229</v>
      </c>
      <c r="R738" s="113" t="s">
        <v>229</v>
      </c>
      <c r="S738" s="113" t="s">
        <v>229</v>
      </c>
      <c r="T738" s="114" t="s">
        <v>229</v>
      </c>
      <c r="U738" s="109" t="s">
        <v>229</v>
      </c>
      <c r="V738" s="112" t="s">
        <v>229</v>
      </c>
      <c r="W738" s="111" t="s">
        <v>229</v>
      </c>
      <c r="X738" s="112" t="s">
        <v>229</v>
      </c>
      <c r="Y738" s="114" t="s">
        <v>229</v>
      </c>
      <c r="Z738" s="111" t="s">
        <v>229</v>
      </c>
    </row>
    <row r="739" ht="15.75" customHeight="1">
      <c r="A739" s="109"/>
      <c r="B739" s="110"/>
      <c r="C739" s="110"/>
      <c r="D739" s="109"/>
      <c r="E739" s="109"/>
      <c r="F739" s="109"/>
      <c r="G739" s="111"/>
      <c r="H739" s="111"/>
      <c r="I739" s="112"/>
      <c r="J739" s="112"/>
      <c r="K739" s="113"/>
      <c r="L739" s="109"/>
      <c r="M739" s="109"/>
      <c r="N739" s="113" t="s">
        <v>229</v>
      </c>
      <c r="O739" s="113" t="s">
        <v>229</v>
      </c>
      <c r="P739" s="113" t="s">
        <v>229</v>
      </c>
      <c r="Q739" s="113" t="s">
        <v>229</v>
      </c>
      <c r="R739" s="113" t="s">
        <v>229</v>
      </c>
      <c r="S739" s="113" t="s">
        <v>229</v>
      </c>
      <c r="T739" s="114" t="s">
        <v>229</v>
      </c>
      <c r="U739" s="109" t="s">
        <v>229</v>
      </c>
      <c r="V739" s="112" t="s">
        <v>229</v>
      </c>
      <c r="W739" s="111" t="s">
        <v>229</v>
      </c>
      <c r="X739" s="112" t="s">
        <v>229</v>
      </c>
      <c r="Y739" s="114" t="s">
        <v>229</v>
      </c>
      <c r="Z739" s="111" t="s">
        <v>229</v>
      </c>
    </row>
    <row r="740" ht="15.75" customHeight="1">
      <c r="A740" s="109"/>
      <c r="B740" s="110"/>
      <c r="C740" s="110"/>
      <c r="D740" s="109"/>
      <c r="E740" s="109"/>
      <c r="F740" s="109"/>
      <c r="G740" s="111"/>
      <c r="H740" s="111"/>
      <c r="I740" s="112"/>
      <c r="J740" s="112"/>
      <c r="K740" s="113"/>
      <c r="L740" s="109"/>
      <c r="M740" s="109"/>
      <c r="N740" s="113" t="s">
        <v>229</v>
      </c>
      <c r="O740" s="113" t="s">
        <v>229</v>
      </c>
      <c r="P740" s="113" t="s">
        <v>229</v>
      </c>
      <c r="Q740" s="113" t="s">
        <v>229</v>
      </c>
      <c r="R740" s="113" t="s">
        <v>229</v>
      </c>
      <c r="S740" s="113" t="s">
        <v>229</v>
      </c>
      <c r="T740" s="114" t="s">
        <v>229</v>
      </c>
      <c r="U740" s="109" t="s">
        <v>229</v>
      </c>
      <c r="V740" s="112" t="s">
        <v>229</v>
      </c>
      <c r="W740" s="111" t="s">
        <v>229</v>
      </c>
      <c r="X740" s="112" t="s">
        <v>229</v>
      </c>
      <c r="Y740" s="114" t="s">
        <v>229</v>
      </c>
      <c r="Z740" s="111" t="s">
        <v>229</v>
      </c>
    </row>
    <row r="741" ht="15.75" customHeight="1">
      <c r="A741" s="109"/>
      <c r="B741" s="110"/>
      <c r="C741" s="110"/>
      <c r="D741" s="109"/>
      <c r="E741" s="109"/>
      <c r="F741" s="109"/>
      <c r="G741" s="111"/>
      <c r="H741" s="111"/>
      <c r="I741" s="112"/>
      <c r="J741" s="112"/>
      <c r="K741" s="113"/>
      <c r="L741" s="109"/>
      <c r="M741" s="109"/>
      <c r="N741" s="113" t="s">
        <v>229</v>
      </c>
      <c r="O741" s="113" t="s">
        <v>229</v>
      </c>
      <c r="P741" s="113" t="s">
        <v>229</v>
      </c>
      <c r="Q741" s="113" t="s">
        <v>229</v>
      </c>
      <c r="R741" s="113" t="s">
        <v>229</v>
      </c>
      <c r="S741" s="113" t="s">
        <v>229</v>
      </c>
      <c r="T741" s="114" t="s">
        <v>229</v>
      </c>
      <c r="U741" s="109" t="s">
        <v>229</v>
      </c>
      <c r="V741" s="112" t="s">
        <v>229</v>
      </c>
      <c r="W741" s="111" t="s">
        <v>229</v>
      </c>
      <c r="X741" s="112" t="s">
        <v>229</v>
      </c>
      <c r="Y741" s="114" t="s">
        <v>229</v>
      </c>
      <c r="Z741" s="111" t="s">
        <v>229</v>
      </c>
    </row>
    <row r="742" ht="15.75" customHeight="1">
      <c r="A742" s="109"/>
      <c r="B742" s="110"/>
      <c r="C742" s="110"/>
      <c r="D742" s="109"/>
      <c r="E742" s="109"/>
      <c r="F742" s="109"/>
      <c r="G742" s="111"/>
      <c r="H742" s="111"/>
      <c r="I742" s="112"/>
      <c r="J742" s="112"/>
      <c r="K742" s="113"/>
      <c r="L742" s="109"/>
      <c r="M742" s="109"/>
      <c r="N742" s="113" t="s">
        <v>229</v>
      </c>
      <c r="O742" s="113" t="s">
        <v>229</v>
      </c>
      <c r="P742" s="113" t="s">
        <v>229</v>
      </c>
      <c r="Q742" s="113" t="s">
        <v>229</v>
      </c>
      <c r="R742" s="113" t="s">
        <v>229</v>
      </c>
      <c r="S742" s="113" t="s">
        <v>229</v>
      </c>
      <c r="T742" s="114" t="s">
        <v>229</v>
      </c>
      <c r="U742" s="109" t="s">
        <v>229</v>
      </c>
      <c r="V742" s="112" t="s">
        <v>229</v>
      </c>
      <c r="W742" s="111" t="s">
        <v>229</v>
      </c>
      <c r="X742" s="112" t="s">
        <v>229</v>
      </c>
      <c r="Y742" s="114" t="s">
        <v>229</v>
      </c>
      <c r="Z742" s="111" t="s">
        <v>229</v>
      </c>
    </row>
    <row r="743" ht="15.75" customHeight="1">
      <c r="A743" s="109"/>
      <c r="B743" s="110"/>
      <c r="C743" s="110"/>
      <c r="D743" s="109"/>
      <c r="E743" s="109"/>
      <c r="F743" s="109"/>
      <c r="G743" s="111"/>
      <c r="H743" s="111"/>
      <c r="I743" s="112"/>
      <c r="J743" s="112"/>
      <c r="K743" s="113"/>
      <c r="L743" s="109"/>
      <c r="M743" s="109"/>
      <c r="N743" s="113" t="s">
        <v>229</v>
      </c>
      <c r="O743" s="113" t="s">
        <v>229</v>
      </c>
      <c r="P743" s="113" t="s">
        <v>229</v>
      </c>
      <c r="Q743" s="113" t="s">
        <v>229</v>
      </c>
      <c r="R743" s="113" t="s">
        <v>229</v>
      </c>
      <c r="S743" s="113" t="s">
        <v>229</v>
      </c>
      <c r="T743" s="114" t="s">
        <v>229</v>
      </c>
      <c r="U743" s="109" t="s">
        <v>229</v>
      </c>
      <c r="V743" s="112" t="s">
        <v>229</v>
      </c>
      <c r="W743" s="111" t="s">
        <v>229</v>
      </c>
      <c r="X743" s="112" t="s">
        <v>229</v>
      </c>
      <c r="Y743" s="114" t="s">
        <v>229</v>
      </c>
      <c r="Z743" s="111" t="s">
        <v>229</v>
      </c>
    </row>
    <row r="744" ht="15.75" customHeight="1">
      <c r="A744" s="109"/>
      <c r="B744" s="110"/>
      <c r="C744" s="110"/>
      <c r="D744" s="109"/>
      <c r="E744" s="109"/>
      <c r="F744" s="109"/>
      <c r="G744" s="111"/>
      <c r="H744" s="111"/>
      <c r="I744" s="112"/>
      <c r="J744" s="112"/>
      <c r="K744" s="113"/>
      <c r="L744" s="109"/>
      <c r="M744" s="109"/>
      <c r="N744" s="113" t="s">
        <v>229</v>
      </c>
      <c r="O744" s="113" t="s">
        <v>229</v>
      </c>
      <c r="P744" s="113" t="s">
        <v>229</v>
      </c>
      <c r="Q744" s="113" t="s">
        <v>229</v>
      </c>
      <c r="R744" s="113" t="s">
        <v>229</v>
      </c>
      <c r="S744" s="113" t="s">
        <v>229</v>
      </c>
      <c r="T744" s="114" t="s">
        <v>229</v>
      </c>
      <c r="U744" s="109" t="s">
        <v>229</v>
      </c>
      <c r="V744" s="112" t="s">
        <v>229</v>
      </c>
      <c r="W744" s="111" t="s">
        <v>229</v>
      </c>
      <c r="X744" s="112" t="s">
        <v>229</v>
      </c>
      <c r="Y744" s="114" t="s">
        <v>229</v>
      </c>
      <c r="Z744" s="111" t="s">
        <v>229</v>
      </c>
    </row>
    <row r="745" ht="15.75" customHeight="1">
      <c r="A745" s="109"/>
      <c r="B745" s="110"/>
      <c r="C745" s="110"/>
      <c r="D745" s="109"/>
      <c r="E745" s="109"/>
      <c r="F745" s="109"/>
      <c r="G745" s="111"/>
      <c r="H745" s="111"/>
      <c r="I745" s="112"/>
      <c r="J745" s="112"/>
      <c r="K745" s="113"/>
      <c r="L745" s="109"/>
      <c r="M745" s="109"/>
      <c r="N745" s="113" t="s">
        <v>229</v>
      </c>
      <c r="O745" s="113" t="s">
        <v>229</v>
      </c>
      <c r="P745" s="113" t="s">
        <v>229</v>
      </c>
      <c r="Q745" s="113" t="s">
        <v>229</v>
      </c>
      <c r="R745" s="113" t="s">
        <v>229</v>
      </c>
      <c r="S745" s="113" t="s">
        <v>229</v>
      </c>
      <c r="T745" s="114" t="s">
        <v>229</v>
      </c>
      <c r="U745" s="109" t="s">
        <v>229</v>
      </c>
      <c r="V745" s="112" t="s">
        <v>229</v>
      </c>
      <c r="W745" s="111" t="s">
        <v>229</v>
      </c>
      <c r="X745" s="112" t="s">
        <v>229</v>
      </c>
      <c r="Y745" s="114" t="s">
        <v>229</v>
      </c>
      <c r="Z745" s="111" t="s">
        <v>229</v>
      </c>
    </row>
    <row r="746" ht="15.75" customHeight="1">
      <c r="A746" s="109"/>
      <c r="B746" s="110"/>
      <c r="C746" s="110"/>
      <c r="D746" s="109"/>
      <c r="E746" s="109"/>
      <c r="F746" s="109"/>
      <c r="G746" s="111"/>
      <c r="H746" s="111"/>
      <c r="I746" s="112"/>
      <c r="J746" s="112"/>
      <c r="K746" s="113"/>
      <c r="L746" s="109"/>
      <c r="M746" s="109"/>
      <c r="N746" s="113" t="s">
        <v>229</v>
      </c>
      <c r="O746" s="113" t="s">
        <v>229</v>
      </c>
      <c r="P746" s="113" t="s">
        <v>229</v>
      </c>
      <c r="Q746" s="113" t="s">
        <v>229</v>
      </c>
      <c r="R746" s="113" t="s">
        <v>229</v>
      </c>
      <c r="S746" s="113" t="s">
        <v>229</v>
      </c>
      <c r="T746" s="114" t="s">
        <v>229</v>
      </c>
      <c r="U746" s="109" t="s">
        <v>229</v>
      </c>
      <c r="V746" s="112" t="s">
        <v>229</v>
      </c>
      <c r="W746" s="111" t="s">
        <v>229</v>
      </c>
      <c r="X746" s="112" t="s">
        <v>229</v>
      </c>
      <c r="Y746" s="114" t="s">
        <v>229</v>
      </c>
      <c r="Z746" s="111" t="s">
        <v>229</v>
      </c>
    </row>
    <row r="747" ht="15.75" customHeight="1">
      <c r="A747" s="109"/>
      <c r="B747" s="110"/>
      <c r="C747" s="110"/>
      <c r="D747" s="109"/>
      <c r="E747" s="109"/>
      <c r="F747" s="109"/>
      <c r="G747" s="111"/>
      <c r="H747" s="111"/>
      <c r="I747" s="112"/>
      <c r="J747" s="112"/>
      <c r="K747" s="113"/>
      <c r="L747" s="109"/>
      <c r="M747" s="109"/>
      <c r="N747" s="113" t="s">
        <v>229</v>
      </c>
      <c r="O747" s="113" t="s">
        <v>229</v>
      </c>
      <c r="P747" s="113" t="s">
        <v>229</v>
      </c>
      <c r="Q747" s="113" t="s">
        <v>229</v>
      </c>
      <c r="R747" s="113" t="s">
        <v>229</v>
      </c>
      <c r="S747" s="113" t="s">
        <v>229</v>
      </c>
      <c r="T747" s="114" t="s">
        <v>229</v>
      </c>
      <c r="U747" s="109" t="s">
        <v>229</v>
      </c>
      <c r="V747" s="112" t="s">
        <v>229</v>
      </c>
      <c r="W747" s="111" t="s">
        <v>229</v>
      </c>
      <c r="X747" s="112" t="s">
        <v>229</v>
      </c>
      <c r="Y747" s="114" t="s">
        <v>229</v>
      </c>
      <c r="Z747" s="111" t="s">
        <v>229</v>
      </c>
    </row>
    <row r="748" ht="15.75" customHeight="1">
      <c r="A748" s="109"/>
      <c r="B748" s="110"/>
      <c r="C748" s="110"/>
      <c r="D748" s="109"/>
      <c r="E748" s="109"/>
      <c r="F748" s="109"/>
      <c r="G748" s="111"/>
      <c r="H748" s="111"/>
      <c r="I748" s="112"/>
      <c r="J748" s="112"/>
      <c r="K748" s="113"/>
      <c r="L748" s="109"/>
      <c r="M748" s="109"/>
      <c r="N748" s="113" t="s">
        <v>229</v>
      </c>
      <c r="O748" s="113" t="s">
        <v>229</v>
      </c>
      <c r="P748" s="113" t="s">
        <v>229</v>
      </c>
      <c r="Q748" s="113" t="s">
        <v>229</v>
      </c>
      <c r="R748" s="113" t="s">
        <v>229</v>
      </c>
      <c r="S748" s="113" t="s">
        <v>229</v>
      </c>
      <c r="T748" s="114" t="s">
        <v>229</v>
      </c>
      <c r="U748" s="109" t="s">
        <v>229</v>
      </c>
      <c r="V748" s="112" t="s">
        <v>229</v>
      </c>
      <c r="W748" s="111" t="s">
        <v>229</v>
      </c>
      <c r="X748" s="112" t="s">
        <v>229</v>
      </c>
      <c r="Y748" s="114" t="s">
        <v>229</v>
      </c>
      <c r="Z748" s="111" t="s">
        <v>229</v>
      </c>
    </row>
    <row r="749" ht="15.75" customHeight="1">
      <c r="A749" s="109"/>
      <c r="B749" s="110"/>
      <c r="C749" s="110"/>
      <c r="D749" s="109"/>
      <c r="E749" s="109"/>
      <c r="F749" s="109"/>
      <c r="G749" s="111"/>
      <c r="H749" s="111"/>
      <c r="I749" s="112"/>
      <c r="J749" s="112"/>
      <c r="K749" s="113"/>
      <c r="L749" s="109"/>
      <c r="M749" s="109"/>
      <c r="N749" s="113" t="s">
        <v>229</v>
      </c>
      <c r="O749" s="113" t="s">
        <v>229</v>
      </c>
      <c r="P749" s="113" t="s">
        <v>229</v>
      </c>
      <c r="Q749" s="113" t="s">
        <v>229</v>
      </c>
      <c r="R749" s="113" t="s">
        <v>229</v>
      </c>
      <c r="S749" s="113" t="s">
        <v>229</v>
      </c>
      <c r="T749" s="114" t="s">
        <v>229</v>
      </c>
      <c r="U749" s="109" t="s">
        <v>229</v>
      </c>
      <c r="V749" s="112" t="s">
        <v>229</v>
      </c>
      <c r="W749" s="111" t="s">
        <v>229</v>
      </c>
      <c r="X749" s="112" t="s">
        <v>229</v>
      </c>
      <c r="Y749" s="114" t="s">
        <v>229</v>
      </c>
      <c r="Z749" s="111" t="s">
        <v>229</v>
      </c>
    </row>
    <row r="750" ht="15.75" customHeight="1">
      <c r="A750" s="109"/>
      <c r="B750" s="110"/>
      <c r="C750" s="110"/>
      <c r="D750" s="109"/>
      <c r="E750" s="109"/>
      <c r="F750" s="109"/>
      <c r="G750" s="111"/>
      <c r="H750" s="111"/>
      <c r="I750" s="112"/>
      <c r="J750" s="112"/>
      <c r="K750" s="113"/>
      <c r="L750" s="109"/>
      <c r="M750" s="109"/>
      <c r="N750" s="113" t="s">
        <v>229</v>
      </c>
      <c r="O750" s="113" t="s">
        <v>229</v>
      </c>
      <c r="P750" s="113" t="s">
        <v>229</v>
      </c>
      <c r="Q750" s="113" t="s">
        <v>229</v>
      </c>
      <c r="R750" s="113" t="s">
        <v>229</v>
      </c>
      <c r="S750" s="113" t="s">
        <v>229</v>
      </c>
      <c r="T750" s="114" t="s">
        <v>229</v>
      </c>
      <c r="U750" s="109" t="s">
        <v>229</v>
      </c>
      <c r="V750" s="112" t="s">
        <v>229</v>
      </c>
      <c r="W750" s="111" t="s">
        <v>229</v>
      </c>
      <c r="X750" s="112" t="s">
        <v>229</v>
      </c>
      <c r="Y750" s="114" t="s">
        <v>229</v>
      </c>
      <c r="Z750" s="111" t="s">
        <v>229</v>
      </c>
    </row>
    <row r="751" ht="15.75" customHeight="1">
      <c r="A751" s="109"/>
      <c r="B751" s="110"/>
      <c r="C751" s="110"/>
      <c r="D751" s="109"/>
      <c r="E751" s="109"/>
      <c r="F751" s="109"/>
      <c r="G751" s="111"/>
      <c r="H751" s="111"/>
      <c r="I751" s="112"/>
      <c r="J751" s="112"/>
      <c r="K751" s="113"/>
      <c r="L751" s="109"/>
      <c r="M751" s="109"/>
      <c r="N751" s="113" t="s">
        <v>229</v>
      </c>
      <c r="O751" s="113" t="s">
        <v>229</v>
      </c>
      <c r="P751" s="113" t="s">
        <v>229</v>
      </c>
      <c r="Q751" s="113" t="s">
        <v>229</v>
      </c>
      <c r="R751" s="113" t="s">
        <v>229</v>
      </c>
      <c r="S751" s="113" t="s">
        <v>229</v>
      </c>
      <c r="T751" s="114" t="s">
        <v>229</v>
      </c>
      <c r="U751" s="109" t="s">
        <v>229</v>
      </c>
      <c r="V751" s="112" t="s">
        <v>229</v>
      </c>
      <c r="W751" s="111" t="s">
        <v>229</v>
      </c>
      <c r="X751" s="112" t="s">
        <v>229</v>
      </c>
      <c r="Y751" s="114" t="s">
        <v>229</v>
      </c>
      <c r="Z751" s="111" t="s">
        <v>229</v>
      </c>
    </row>
    <row r="752" ht="15.75" customHeight="1">
      <c r="A752" s="109"/>
      <c r="B752" s="110"/>
      <c r="C752" s="110"/>
      <c r="D752" s="109"/>
      <c r="E752" s="109"/>
      <c r="F752" s="109"/>
      <c r="G752" s="111"/>
      <c r="H752" s="111"/>
      <c r="I752" s="112"/>
      <c r="J752" s="112"/>
      <c r="K752" s="113"/>
      <c r="L752" s="109"/>
      <c r="M752" s="109"/>
      <c r="N752" s="113" t="s">
        <v>229</v>
      </c>
      <c r="O752" s="113" t="s">
        <v>229</v>
      </c>
      <c r="P752" s="113" t="s">
        <v>229</v>
      </c>
      <c r="Q752" s="113" t="s">
        <v>229</v>
      </c>
      <c r="R752" s="113" t="s">
        <v>229</v>
      </c>
      <c r="S752" s="113" t="s">
        <v>229</v>
      </c>
      <c r="T752" s="114" t="s">
        <v>229</v>
      </c>
      <c r="U752" s="109" t="s">
        <v>229</v>
      </c>
      <c r="V752" s="112" t="s">
        <v>229</v>
      </c>
      <c r="W752" s="111" t="s">
        <v>229</v>
      </c>
      <c r="X752" s="112" t="s">
        <v>229</v>
      </c>
      <c r="Y752" s="114" t="s">
        <v>229</v>
      </c>
      <c r="Z752" s="111" t="s">
        <v>229</v>
      </c>
    </row>
    <row r="753" ht="15.75" customHeight="1">
      <c r="A753" s="109"/>
      <c r="B753" s="110"/>
      <c r="C753" s="110"/>
      <c r="D753" s="109"/>
      <c r="E753" s="109"/>
      <c r="F753" s="109"/>
      <c r="G753" s="111"/>
      <c r="H753" s="111"/>
      <c r="I753" s="112"/>
      <c r="J753" s="112"/>
      <c r="K753" s="113"/>
      <c r="L753" s="109"/>
      <c r="M753" s="109"/>
      <c r="N753" s="113" t="s">
        <v>229</v>
      </c>
      <c r="O753" s="113" t="s">
        <v>229</v>
      </c>
      <c r="P753" s="113" t="s">
        <v>229</v>
      </c>
      <c r="Q753" s="113" t="s">
        <v>229</v>
      </c>
      <c r="R753" s="113" t="s">
        <v>229</v>
      </c>
      <c r="S753" s="113" t="s">
        <v>229</v>
      </c>
      <c r="T753" s="114" t="s">
        <v>229</v>
      </c>
      <c r="U753" s="109" t="s">
        <v>229</v>
      </c>
      <c r="V753" s="112" t="s">
        <v>229</v>
      </c>
      <c r="W753" s="111" t="s">
        <v>229</v>
      </c>
      <c r="X753" s="112" t="s">
        <v>229</v>
      </c>
      <c r="Y753" s="114" t="s">
        <v>229</v>
      </c>
      <c r="Z753" s="111" t="s">
        <v>229</v>
      </c>
    </row>
    <row r="754" ht="15.75" customHeight="1">
      <c r="A754" s="109"/>
      <c r="B754" s="110"/>
      <c r="C754" s="110"/>
      <c r="D754" s="109"/>
      <c r="E754" s="109"/>
      <c r="F754" s="109"/>
      <c r="G754" s="111"/>
      <c r="H754" s="111"/>
      <c r="I754" s="112"/>
      <c r="J754" s="112"/>
      <c r="K754" s="113"/>
      <c r="L754" s="109"/>
      <c r="M754" s="109"/>
      <c r="N754" s="113" t="s">
        <v>229</v>
      </c>
      <c r="O754" s="113" t="s">
        <v>229</v>
      </c>
      <c r="P754" s="113" t="s">
        <v>229</v>
      </c>
      <c r="Q754" s="113" t="s">
        <v>229</v>
      </c>
      <c r="R754" s="113" t="s">
        <v>229</v>
      </c>
      <c r="S754" s="113" t="s">
        <v>229</v>
      </c>
      <c r="T754" s="114" t="s">
        <v>229</v>
      </c>
      <c r="U754" s="109" t="s">
        <v>229</v>
      </c>
      <c r="V754" s="112" t="s">
        <v>229</v>
      </c>
      <c r="W754" s="111" t="s">
        <v>229</v>
      </c>
      <c r="X754" s="112" t="s">
        <v>229</v>
      </c>
      <c r="Y754" s="114" t="s">
        <v>229</v>
      </c>
      <c r="Z754" s="111" t="s">
        <v>229</v>
      </c>
    </row>
    <row r="755" ht="15.75" customHeight="1">
      <c r="A755" s="109"/>
      <c r="B755" s="110"/>
      <c r="C755" s="110"/>
      <c r="D755" s="109"/>
      <c r="E755" s="109"/>
      <c r="F755" s="109"/>
      <c r="G755" s="111"/>
      <c r="H755" s="111"/>
      <c r="I755" s="112"/>
      <c r="J755" s="112"/>
      <c r="K755" s="113"/>
      <c r="L755" s="109"/>
      <c r="M755" s="109"/>
      <c r="N755" s="113" t="s">
        <v>229</v>
      </c>
      <c r="O755" s="113" t="s">
        <v>229</v>
      </c>
      <c r="P755" s="113" t="s">
        <v>229</v>
      </c>
      <c r="Q755" s="113" t="s">
        <v>229</v>
      </c>
      <c r="R755" s="113" t="s">
        <v>229</v>
      </c>
      <c r="S755" s="113" t="s">
        <v>229</v>
      </c>
      <c r="T755" s="114" t="s">
        <v>229</v>
      </c>
      <c r="U755" s="109" t="s">
        <v>229</v>
      </c>
      <c r="V755" s="112" t="s">
        <v>229</v>
      </c>
      <c r="W755" s="111" t="s">
        <v>229</v>
      </c>
      <c r="X755" s="112" t="s">
        <v>229</v>
      </c>
      <c r="Y755" s="114" t="s">
        <v>229</v>
      </c>
      <c r="Z755" s="111" t="s">
        <v>229</v>
      </c>
    </row>
    <row r="756" ht="15.75" customHeight="1">
      <c r="A756" s="109"/>
      <c r="B756" s="110"/>
      <c r="C756" s="110"/>
      <c r="D756" s="109"/>
      <c r="E756" s="109"/>
      <c r="F756" s="109"/>
      <c r="G756" s="111"/>
      <c r="H756" s="111"/>
      <c r="I756" s="112"/>
      <c r="J756" s="112"/>
      <c r="K756" s="113"/>
      <c r="L756" s="109"/>
      <c r="M756" s="109"/>
      <c r="N756" s="113" t="s">
        <v>229</v>
      </c>
      <c r="O756" s="113" t="s">
        <v>229</v>
      </c>
      <c r="P756" s="113" t="s">
        <v>229</v>
      </c>
      <c r="Q756" s="113" t="s">
        <v>229</v>
      </c>
      <c r="R756" s="113" t="s">
        <v>229</v>
      </c>
      <c r="S756" s="113" t="s">
        <v>229</v>
      </c>
      <c r="T756" s="114" t="s">
        <v>229</v>
      </c>
      <c r="U756" s="109" t="s">
        <v>229</v>
      </c>
      <c r="V756" s="112" t="s">
        <v>229</v>
      </c>
      <c r="W756" s="111" t="s">
        <v>229</v>
      </c>
      <c r="X756" s="112" t="s">
        <v>229</v>
      </c>
      <c r="Y756" s="114" t="s">
        <v>229</v>
      </c>
      <c r="Z756" s="111" t="s">
        <v>229</v>
      </c>
    </row>
    <row r="757" ht="15.75" customHeight="1">
      <c r="A757" s="109"/>
      <c r="B757" s="110"/>
      <c r="C757" s="110"/>
      <c r="D757" s="109"/>
      <c r="E757" s="109"/>
      <c r="F757" s="109"/>
      <c r="G757" s="111"/>
      <c r="H757" s="111"/>
      <c r="I757" s="112"/>
      <c r="J757" s="112"/>
      <c r="K757" s="113"/>
      <c r="L757" s="109"/>
      <c r="M757" s="109"/>
      <c r="N757" s="113" t="s">
        <v>229</v>
      </c>
      <c r="O757" s="113" t="s">
        <v>229</v>
      </c>
      <c r="P757" s="113" t="s">
        <v>229</v>
      </c>
      <c r="Q757" s="113" t="s">
        <v>229</v>
      </c>
      <c r="R757" s="113" t="s">
        <v>229</v>
      </c>
      <c r="S757" s="113" t="s">
        <v>229</v>
      </c>
      <c r="T757" s="114" t="s">
        <v>229</v>
      </c>
      <c r="U757" s="109" t="s">
        <v>229</v>
      </c>
      <c r="V757" s="112" t="s">
        <v>229</v>
      </c>
      <c r="W757" s="111" t="s">
        <v>229</v>
      </c>
      <c r="X757" s="112" t="s">
        <v>229</v>
      </c>
      <c r="Y757" s="114" t="s">
        <v>229</v>
      </c>
      <c r="Z757" s="111" t="s">
        <v>229</v>
      </c>
    </row>
    <row r="758" ht="15.75" customHeight="1">
      <c r="A758" s="109"/>
      <c r="B758" s="110"/>
      <c r="C758" s="110"/>
      <c r="D758" s="109"/>
      <c r="E758" s="109"/>
      <c r="F758" s="109"/>
      <c r="G758" s="111"/>
      <c r="H758" s="111"/>
      <c r="I758" s="112"/>
      <c r="J758" s="112"/>
      <c r="K758" s="113"/>
      <c r="L758" s="109"/>
      <c r="M758" s="109"/>
      <c r="N758" s="113" t="s">
        <v>229</v>
      </c>
      <c r="O758" s="113" t="s">
        <v>229</v>
      </c>
      <c r="P758" s="113" t="s">
        <v>229</v>
      </c>
      <c r="Q758" s="113" t="s">
        <v>229</v>
      </c>
      <c r="R758" s="113" t="s">
        <v>229</v>
      </c>
      <c r="S758" s="113" t="s">
        <v>229</v>
      </c>
      <c r="T758" s="114" t="s">
        <v>229</v>
      </c>
      <c r="U758" s="109" t="s">
        <v>229</v>
      </c>
      <c r="V758" s="112" t="s">
        <v>229</v>
      </c>
      <c r="W758" s="111" t="s">
        <v>229</v>
      </c>
      <c r="X758" s="112" t="s">
        <v>229</v>
      </c>
      <c r="Y758" s="114" t="s">
        <v>229</v>
      </c>
      <c r="Z758" s="111" t="s">
        <v>229</v>
      </c>
    </row>
    <row r="759" ht="15.75" customHeight="1">
      <c r="A759" s="109"/>
      <c r="B759" s="110"/>
      <c r="C759" s="110"/>
      <c r="D759" s="109"/>
      <c r="E759" s="109"/>
      <c r="F759" s="109"/>
      <c r="G759" s="111"/>
      <c r="H759" s="111"/>
      <c r="I759" s="112"/>
      <c r="J759" s="112"/>
      <c r="K759" s="113"/>
      <c r="L759" s="109"/>
      <c r="M759" s="109"/>
      <c r="N759" s="113" t="s">
        <v>229</v>
      </c>
      <c r="O759" s="113" t="s">
        <v>229</v>
      </c>
      <c r="P759" s="113" t="s">
        <v>229</v>
      </c>
      <c r="Q759" s="113" t="s">
        <v>229</v>
      </c>
      <c r="R759" s="113" t="s">
        <v>229</v>
      </c>
      <c r="S759" s="113" t="s">
        <v>229</v>
      </c>
      <c r="T759" s="114" t="s">
        <v>229</v>
      </c>
      <c r="U759" s="109" t="s">
        <v>229</v>
      </c>
      <c r="V759" s="112" t="s">
        <v>229</v>
      </c>
      <c r="W759" s="111" t="s">
        <v>229</v>
      </c>
      <c r="X759" s="112" t="s">
        <v>229</v>
      </c>
      <c r="Y759" s="114" t="s">
        <v>229</v>
      </c>
      <c r="Z759" s="111" t="s">
        <v>229</v>
      </c>
    </row>
    <row r="760" ht="15.75" customHeight="1">
      <c r="A760" s="109"/>
      <c r="B760" s="110"/>
      <c r="C760" s="110"/>
      <c r="D760" s="109"/>
      <c r="E760" s="109"/>
      <c r="F760" s="109"/>
      <c r="G760" s="111"/>
      <c r="H760" s="111"/>
      <c r="I760" s="112"/>
      <c r="J760" s="112"/>
      <c r="K760" s="113"/>
      <c r="L760" s="109"/>
      <c r="M760" s="109"/>
      <c r="N760" s="113" t="s">
        <v>229</v>
      </c>
      <c r="O760" s="113" t="s">
        <v>229</v>
      </c>
      <c r="P760" s="113" t="s">
        <v>229</v>
      </c>
      <c r="Q760" s="113" t="s">
        <v>229</v>
      </c>
      <c r="R760" s="113" t="s">
        <v>229</v>
      </c>
      <c r="S760" s="113" t="s">
        <v>229</v>
      </c>
      <c r="T760" s="114" t="s">
        <v>229</v>
      </c>
      <c r="U760" s="109" t="s">
        <v>229</v>
      </c>
      <c r="V760" s="112" t="s">
        <v>229</v>
      </c>
      <c r="W760" s="111" t="s">
        <v>229</v>
      </c>
      <c r="X760" s="112" t="s">
        <v>229</v>
      </c>
      <c r="Y760" s="114" t="s">
        <v>229</v>
      </c>
      <c r="Z760" s="111" t="s">
        <v>229</v>
      </c>
    </row>
    <row r="761" ht="15.75" customHeight="1">
      <c r="A761" s="109"/>
      <c r="B761" s="110"/>
      <c r="C761" s="110"/>
      <c r="D761" s="109"/>
      <c r="E761" s="109"/>
      <c r="F761" s="109"/>
      <c r="G761" s="111"/>
      <c r="H761" s="111"/>
      <c r="I761" s="112"/>
      <c r="J761" s="112"/>
      <c r="K761" s="113"/>
      <c r="L761" s="109"/>
      <c r="M761" s="109"/>
      <c r="N761" s="113" t="s">
        <v>229</v>
      </c>
      <c r="O761" s="113" t="s">
        <v>229</v>
      </c>
      <c r="P761" s="113" t="s">
        <v>229</v>
      </c>
      <c r="Q761" s="113" t="s">
        <v>229</v>
      </c>
      <c r="R761" s="113" t="s">
        <v>229</v>
      </c>
      <c r="S761" s="113" t="s">
        <v>229</v>
      </c>
      <c r="T761" s="114" t="s">
        <v>229</v>
      </c>
      <c r="U761" s="109" t="s">
        <v>229</v>
      </c>
      <c r="V761" s="112" t="s">
        <v>229</v>
      </c>
      <c r="W761" s="111" t="s">
        <v>229</v>
      </c>
      <c r="X761" s="112" t="s">
        <v>229</v>
      </c>
      <c r="Y761" s="114" t="s">
        <v>229</v>
      </c>
      <c r="Z761" s="111" t="s">
        <v>229</v>
      </c>
    </row>
    <row r="762" ht="15.75" customHeight="1">
      <c r="A762" s="109"/>
      <c r="B762" s="110"/>
      <c r="C762" s="110"/>
      <c r="D762" s="109"/>
      <c r="E762" s="109"/>
      <c r="F762" s="109"/>
      <c r="G762" s="111"/>
      <c r="H762" s="111"/>
      <c r="I762" s="112"/>
      <c r="J762" s="112"/>
      <c r="K762" s="113"/>
      <c r="L762" s="109"/>
      <c r="M762" s="109"/>
      <c r="N762" s="113" t="s">
        <v>229</v>
      </c>
      <c r="O762" s="113" t="s">
        <v>229</v>
      </c>
      <c r="P762" s="113" t="s">
        <v>229</v>
      </c>
      <c r="Q762" s="113" t="s">
        <v>229</v>
      </c>
      <c r="R762" s="113" t="s">
        <v>229</v>
      </c>
      <c r="S762" s="113" t="s">
        <v>229</v>
      </c>
      <c r="T762" s="114" t="s">
        <v>229</v>
      </c>
      <c r="U762" s="109" t="s">
        <v>229</v>
      </c>
      <c r="V762" s="112" t="s">
        <v>229</v>
      </c>
      <c r="W762" s="111" t="s">
        <v>229</v>
      </c>
      <c r="X762" s="112" t="s">
        <v>229</v>
      </c>
      <c r="Y762" s="114" t="s">
        <v>229</v>
      </c>
      <c r="Z762" s="111" t="s">
        <v>229</v>
      </c>
    </row>
    <row r="763" ht="15.75" customHeight="1">
      <c r="A763" s="109"/>
      <c r="B763" s="110"/>
      <c r="C763" s="110"/>
      <c r="D763" s="109"/>
      <c r="E763" s="109"/>
      <c r="F763" s="109"/>
      <c r="G763" s="111"/>
      <c r="H763" s="111"/>
      <c r="I763" s="112"/>
      <c r="J763" s="112"/>
      <c r="K763" s="113"/>
      <c r="L763" s="109"/>
      <c r="M763" s="109"/>
      <c r="N763" s="113" t="s">
        <v>229</v>
      </c>
      <c r="O763" s="113" t="s">
        <v>229</v>
      </c>
      <c r="P763" s="113" t="s">
        <v>229</v>
      </c>
      <c r="Q763" s="113" t="s">
        <v>229</v>
      </c>
      <c r="R763" s="113" t="s">
        <v>229</v>
      </c>
      <c r="S763" s="113" t="s">
        <v>229</v>
      </c>
      <c r="T763" s="114" t="s">
        <v>229</v>
      </c>
      <c r="U763" s="109" t="s">
        <v>229</v>
      </c>
      <c r="V763" s="112" t="s">
        <v>229</v>
      </c>
      <c r="W763" s="111" t="s">
        <v>229</v>
      </c>
      <c r="X763" s="112" t="s">
        <v>229</v>
      </c>
      <c r="Y763" s="114" t="s">
        <v>229</v>
      </c>
      <c r="Z763" s="111" t="s">
        <v>229</v>
      </c>
    </row>
    <row r="764" ht="15.75" customHeight="1">
      <c r="A764" s="109"/>
      <c r="B764" s="110"/>
      <c r="C764" s="110"/>
      <c r="D764" s="109"/>
      <c r="E764" s="109"/>
      <c r="F764" s="109"/>
      <c r="G764" s="111"/>
      <c r="H764" s="111"/>
      <c r="I764" s="112"/>
      <c r="J764" s="112"/>
      <c r="K764" s="113"/>
      <c r="L764" s="109"/>
      <c r="M764" s="109"/>
      <c r="N764" s="113" t="s">
        <v>229</v>
      </c>
      <c r="O764" s="113" t="s">
        <v>229</v>
      </c>
      <c r="P764" s="113" t="s">
        <v>229</v>
      </c>
      <c r="Q764" s="113" t="s">
        <v>229</v>
      </c>
      <c r="R764" s="113" t="s">
        <v>229</v>
      </c>
      <c r="S764" s="113" t="s">
        <v>229</v>
      </c>
      <c r="T764" s="114" t="s">
        <v>229</v>
      </c>
      <c r="U764" s="109" t="s">
        <v>229</v>
      </c>
      <c r="V764" s="112" t="s">
        <v>229</v>
      </c>
      <c r="W764" s="111" t="s">
        <v>229</v>
      </c>
      <c r="X764" s="112" t="s">
        <v>229</v>
      </c>
      <c r="Y764" s="114" t="s">
        <v>229</v>
      </c>
      <c r="Z764" s="111" t="s">
        <v>229</v>
      </c>
    </row>
    <row r="765" ht="15.75" customHeight="1">
      <c r="A765" s="109"/>
      <c r="B765" s="110"/>
      <c r="C765" s="110"/>
      <c r="D765" s="109"/>
      <c r="E765" s="109"/>
      <c r="F765" s="109"/>
      <c r="G765" s="111"/>
      <c r="H765" s="111"/>
      <c r="I765" s="112"/>
      <c r="J765" s="112"/>
      <c r="K765" s="113"/>
      <c r="L765" s="109"/>
      <c r="M765" s="109"/>
      <c r="N765" s="113" t="s">
        <v>229</v>
      </c>
      <c r="O765" s="113" t="s">
        <v>229</v>
      </c>
      <c r="P765" s="113" t="s">
        <v>229</v>
      </c>
      <c r="Q765" s="113" t="s">
        <v>229</v>
      </c>
      <c r="R765" s="113" t="s">
        <v>229</v>
      </c>
      <c r="S765" s="113" t="s">
        <v>229</v>
      </c>
      <c r="T765" s="114" t="s">
        <v>229</v>
      </c>
      <c r="U765" s="109" t="s">
        <v>229</v>
      </c>
      <c r="V765" s="112" t="s">
        <v>229</v>
      </c>
      <c r="W765" s="111" t="s">
        <v>229</v>
      </c>
      <c r="X765" s="112" t="s">
        <v>229</v>
      </c>
      <c r="Y765" s="114" t="s">
        <v>229</v>
      </c>
      <c r="Z765" s="111" t="s">
        <v>229</v>
      </c>
    </row>
    <row r="766" ht="15.75" customHeight="1">
      <c r="A766" s="109"/>
      <c r="B766" s="110"/>
      <c r="C766" s="110"/>
      <c r="D766" s="109"/>
      <c r="E766" s="109"/>
      <c r="F766" s="109"/>
      <c r="G766" s="111"/>
      <c r="H766" s="111"/>
      <c r="I766" s="112"/>
      <c r="J766" s="112"/>
      <c r="K766" s="113"/>
      <c r="L766" s="109"/>
      <c r="M766" s="109"/>
      <c r="N766" s="113" t="s">
        <v>229</v>
      </c>
      <c r="O766" s="113" t="s">
        <v>229</v>
      </c>
      <c r="P766" s="113" t="s">
        <v>229</v>
      </c>
      <c r="Q766" s="113" t="s">
        <v>229</v>
      </c>
      <c r="R766" s="113" t="s">
        <v>229</v>
      </c>
      <c r="S766" s="113" t="s">
        <v>229</v>
      </c>
      <c r="T766" s="114" t="s">
        <v>229</v>
      </c>
      <c r="U766" s="109" t="s">
        <v>229</v>
      </c>
      <c r="V766" s="112" t="s">
        <v>229</v>
      </c>
      <c r="W766" s="111" t="s">
        <v>229</v>
      </c>
      <c r="X766" s="112" t="s">
        <v>229</v>
      </c>
      <c r="Y766" s="114" t="s">
        <v>229</v>
      </c>
      <c r="Z766" s="111" t="s">
        <v>229</v>
      </c>
    </row>
    <row r="767" ht="15.75" customHeight="1">
      <c r="A767" s="109"/>
      <c r="B767" s="110"/>
      <c r="C767" s="110"/>
      <c r="D767" s="109"/>
      <c r="E767" s="109"/>
      <c r="F767" s="109"/>
      <c r="G767" s="111"/>
      <c r="H767" s="111"/>
      <c r="I767" s="112"/>
      <c r="J767" s="112"/>
      <c r="K767" s="113"/>
      <c r="L767" s="109"/>
      <c r="M767" s="109"/>
      <c r="N767" s="113" t="s">
        <v>229</v>
      </c>
      <c r="O767" s="113" t="s">
        <v>229</v>
      </c>
      <c r="P767" s="113" t="s">
        <v>229</v>
      </c>
      <c r="Q767" s="113" t="s">
        <v>229</v>
      </c>
      <c r="R767" s="113" t="s">
        <v>229</v>
      </c>
      <c r="S767" s="113" t="s">
        <v>229</v>
      </c>
      <c r="T767" s="114" t="s">
        <v>229</v>
      </c>
      <c r="U767" s="109" t="s">
        <v>229</v>
      </c>
      <c r="V767" s="112" t="s">
        <v>229</v>
      </c>
      <c r="W767" s="111" t="s">
        <v>229</v>
      </c>
      <c r="X767" s="112" t="s">
        <v>229</v>
      </c>
      <c r="Y767" s="114" t="s">
        <v>229</v>
      </c>
      <c r="Z767" s="111" t="s">
        <v>229</v>
      </c>
    </row>
    <row r="768" ht="15.75" customHeight="1">
      <c r="A768" s="109"/>
      <c r="B768" s="110"/>
      <c r="C768" s="110"/>
      <c r="D768" s="109"/>
      <c r="E768" s="109"/>
      <c r="F768" s="109"/>
      <c r="G768" s="111"/>
      <c r="H768" s="111"/>
      <c r="I768" s="112"/>
      <c r="J768" s="112"/>
      <c r="K768" s="113"/>
      <c r="L768" s="109"/>
      <c r="M768" s="109"/>
      <c r="N768" s="113" t="s">
        <v>229</v>
      </c>
      <c r="O768" s="113" t="s">
        <v>229</v>
      </c>
      <c r="P768" s="113" t="s">
        <v>229</v>
      </c>
      <c r="Q768" s="113" t="s">
        <v>229</v>
      </c>
      <c r="R768" s="113" t="s">
        <v>229</v>
      </c>
      <c r="S768" s="113" t="s">
        <v>229</v>
      </c>
      <c r="T768" s="114" t="s">
        <v>229</v>
      </c>
      <c r="U768" s="109" t="s">
        <v>229</v>
      </c>
      <c r="V768" s="112" t="s">
        <v>229</v>
      </c>
      <c r="W768" s="111" t="s">
        <v>229</v>
      </c>
      <c r="X768" s="112" t="s">
        <v>229</v>
      </c>
      <c r="Y768" s="114" t="s">
        <v>229</v>
      </c>
      <c r="Z768" s="111" t="s">
        <v>229</v>
      </c>
    </row>
    <row r="769" ht="15.75" customHeight="1">
      <c r="A769" s="109"/>
      <c r="B769" s="110"/>
      <c r="C769" s="110"/>
      <c r="D769" s="109"/>
      <c r="E769" s="109"/>
      <c r="F769" s="109"/>
      <c r="G769" s="111"/>
      <c r="H769" s="111"/>
      <c r="I769" s="112"/>
      <c r="J769" s="112"/>
      <c r="K769" s="113"/>
      <c r="L769" s="109"/>
      <c r="M769" s="109"/>
      <c r="N769" s="113" t="s">
        <v>229</v>
      </c>
      <c r="O769" s="113" t="s">
        <v>229</v>
      </c>
      <c r="P769" s="113" t="s">
        <v>229</v>
      </c>
      <c r="Q769" s="113" t="s">
        <v>229</v>
      </c>
      <c r="R769" s="113" t="s">
        <v>229</v>
      </c>
      <c r="S769" s="113" t="s">
        <v>229</v>
      </c>
      <c r="T769" s="114" t="s">
        <v>229</v>
      </c>
      <c r="U769" s="109" t="s">
        <v>229</v>
      </c>
      <c r="V769" s="112" t="s">
        <v>229</v>
      </c>
      <c r="W769" s="111" t="s">
        <v>229</v>
      </c>
      <c r="X769" s="112" t="s">
        <v>229</v>
      </c>
      <c r="Y769" s="114" t="s">
        <v>229</v>
      </c>
      <c r="Z769" s="111" t="s">
        <v>229</v>
      </c>
    </row>
    <row r="770" ht="15.75" customHeight="1">
      <c r="A770" s="109"/>
      <c r="B770" s="110"/>
      <c r="C770" s="110"/>
      <c r="D770" s="109"/>
      <c r="E770" s="109"/>
      <c r="F770" s="109"/>
      <c r="G770" s="111"/>
      <c r="H770" s="111"/>
      <c r="I770" s="112"/>
      <c r="J770" s="112"/>
      <c r="K770" s="113"/>
      <c r="L770" s="109"/>
      <c r="M770" s="109"/>
      <c r="N770" s="113" t="s">
        <v>229</v>
      </c>
      <c r="O770" s="113" t="s">
        <v>229</v>
      </c>
      <c r="P770" s="113" t="s">
        <v>229</v>
      </c>
      <c r="Q770" s="113" t="s">
        <v>229</v>
      </c>
      <c r="R770" s="113" t="s">
        <v>229</v>
      </c>
      <c r="S770" s="113" t="s">
        <v>229</v>
      </c>
      <c r="T770" s="114" t="s">
        <v>229</v>
      </c>
      <c r="U770" s="109" t="s">
        <v>229</v>
      </c>
      <c r="V770" s="112" t="s">
        <v>229</v>
      </c>
      <c r="W770" s="111" t="s">
        <v>229</v>
      </c>
      <c r="X770" s="112" t="s">
        <v>229</v>
      </c>
      <c r="Y770" s="114" t="s">
        <v>229</v>
      </c>
      <c r="Z770" s="111" t="s">
        <v>229</v>
      </c>
    </row>
    <row r="771" ht="15.75" customHeight="1">
      <c r="A771" s="109"/>
      <c r="B771" s="110"/>
      <c r="C771" s="110"/>
      <c r="D771" s="109"/>
      <c r="E771" s="109"/>
      <c r="F771" s="109"/>
      <c r="G771" s="111"/>
      <c r="H771" s="111"/>
      <c r="I771" s="112"/>
      <c r="J771" s="112"/>
      <c r="K771" s="113"/>
      <c r="L771" s="109"/>
      <c r="M771" s="109"/>
      <c r="N771" s="113" t="s">
        <v>229</v>
      </c>
      <c r="O771" s="113" t="s">
        <v>229</v>
      </c>
      <c r="P771" s="113" t="s">
        <v>229</v>
      </c>
      <c r="Q771" s="113" t="s">
        <v>229</v>
      </c>
      <c r="R771" s="113" t="s">
        <v>229</v>
      </c>
      <c r="S771" s="113" t="s">
        <v>229</v>
      </c>
      <c r="T771" s="114" t="s">
        <v>229</v>
      </c>
      <c r="U771" s="109" t="s">
        <v>229</v>
      </c>
      <c r="V771" s="112" t="s">
        <v>229</v>
      </c>
      <c r="W771" s="111" t="s">
        <v>229</v>
      </c>
      <c r="X771" s="112" t="s">
        <v>229</v>
      </c>
      <c r="Y771" s="114" t="s">
        <v>229</v>
      </c>
      <c r="Z771" s="111" t="s">
        <v>229</v>
      </c>
    </row>
    <row r="772" ht="15.75" customHeight="1">
      <c r="A772" s="109"/>
      <c r="B772" s="110"/>
      <c r="C772" s="110"/>
      <c r="D772" s="109"/>
      <c r="E772" s="109"/>
      <c r="F772" s="109"/>
      <c r="G772" s="111"/>
      <c r="H772" s="111"/>
      <c r="I772" s="112"/>
      <c r="J772" s="112"/>
      <c r="K772" s="113"/>
      <c r="L772" s="109"/>
      <c r="M772" s="109"/>
      <c r="N772" s="113" t="s">
        <v>229</v>
      </c>
      <c r="O772" s="113" t="s">
        <v>229</v>
      </c>
      <c r="P772" s="113" t="s">
        <v>229</v>
      </c>
      <c r="Q772" s="113" t="s">
        <v>229</v>
      </c>
      <c r="R772" s="113" t="s">
        <v>229</v>
      </c>
      <c r="S772" s="113" t="s">
        <v>229</v>
      </c>
      <c r="T772" s="114" t="s">
        <v>229</v>
      </c>
      <c r="U772" s="109" t="s">
        <v>229</v>
      </c>
      <c r="V772" s="112" t="s">
        <v>229</v>
      </c>
      <c r="W772" s="111" t="s">
        <v>229</v>
      </c>
      <c r="X772" s="112" t="s">
        <v>229</v>
      </c>
      <c r="Y772" s="114" t="s">
        <v>229</v>
      </c>
      <c r="Z772" s="111" t="s">
        <v>229</v>
      </c>
    </row>
    <row r="773" ht="15.75" customHeight="1">
      <c r="A773" s="109"/>
      <c r="B773" s="110"/>
      <c r="C773" s="110"/>
      <c r="D773" s="109"/>
      <c r="E773" s="109"/>
      <c r="F773" s="109"/>
      <c r="G773" s="111"/>
      <c r="H773" s="111"/>
      <c r="I773" s="112"/>
      <c r="J773" s="112"/>
      <c r="K773" s="113"/>
      <c r="L773" s="109"/>
      <c r="M773" s="109"/>
      <c r="N773" s="113" t="s">
        <v>229</v>
      </c>
      <c r="O773" s="113" t="s">
        <v>229</v>
      </c>
      <c r="P773" s="113" t="s">
        <v>229</v>
      </c>
      <c r="Q773" s="113" t="s">
        <v>229</v>
      </c>
      <c r="R773" s="113" t="s">
        <v>229</v>
      </c>
      <c r="S773" s="113" t="s">
        <v>229</v>
      </c>
      <c r="T773" s="114" t="s">
        <v>229</v>
      </c>
      <c r="U773" s="109" t="s">
        <v>229</v>
      </c>
      <c r="V773" s="112" t="s">
        <v>229</v>
      </c>
      <c r="W773" s="111" t="s">
        <v>229</v>
      </c>
      <c r="X773" s="112" t="s">
        <v>229</v>
      </c>
      <c r="Y773" s="114" t="s">
        <v>229</v>
      </c>
      <c r="Z773" s="111" t="s">
        <v>229</v>
      </c>
    </row>
    <row r="774" ht="15.75" customHeight="1">
      <c r="A774" s="109"/>
      <c r="B774" s="110"/>
      <c r="C774" s="110"/>
      <c r="D774" s="109"/>
      <c r="E774" s="109"/>
      <c r="F774" s="109"/>
      <c r="G774" s="111"/>
      <c r="H774" s="111"/>
      <c r="I774" s="112"/>
      <c r="J774" s="112"/>
      <c r="K774" s="113"/>
      <c r="L774" s="109"/>
      <c r="M774" s="109"/>
      <c r="N774" s="113" t="s">
        <v>229</v>
      </c>
      <c r="O774" s="113" t="s">
        <v>229</v>
      </c>
      <c r="P774" s="113" t="s">
        <v>229</v>
      </c>
      <c r="Q774" s="113" t="s">
        <v>229</v>
      </c>
      <c r="R774" s="113" t="s">
        <v>229</v>
      </c>
      <c r="S774" s="113" t="s">
        <v>229</v>
      </c>
      <c r="T774" s="114" t="s">
        <v>229</v>
      </c>
      <c r="U774" s="109" t="s">
        <v>229</v>
      </c>
      <c r="V774" s="112" t="s">
        <v>229</v>
      </c>
      <c r="W774" s="111" t="s">
        <v>229</v>
      </c>
      <c r="X774" s="112" t="s">
        <v>229</v>
      </c>
      <c r="Y774" s="114" t="s">
        <v>229</v>
      </c>
      <c r="Z774" s="111" t="s">
        <v>229</v>
      </c>
    </row>
    <row r="775" ht="15.75" customHeight="1">
      <c r="A775" s="109"/>
      <c r="B775" s="110"/>
      <c r="C775" s="110"/>
      <c r="D775" s="109"/>
      <c r="E775" s="109"/>
      <c r="F775" s="109"/>
      <c r="G775" s="111"/>
      <c r="H775" s="111"/>
      <c r="I775" s="112"/>
      <c r="J775" s="112"/>
      <c r="K775" s="113"/>
      <c r="L775" s="109"/>
      <c r="M775" s="109"/>
      <c r="N775" s="113" t="s">
        <v>229</v>
      </c>
      <c r="O775" s="113" t="s">
        <v>229</v>
      </c>
      <c r="P775" s="113" t="s">
        <v>229</v>
      </c>
      <c r="Q775" s="113" t="s">
        <v>229</v>
      </c>
      <c r="R775" s="113" t="s">
        <v>229</v>
      </c>
      <c r="S775" s="113" t="s">
        <v>229</v>
      </c>
      <c r="T775" s="114" t="s">
        <v>229</v>
      </c>
      <c r="U775" s="109" t="s">
        <v>229</v>
      </c>
      <c r="V775" s="112" t="s">
        <v>229</v>
      </c>
      <c r="W775" s="111" t="s">
        <v>229</v>
      </c>
      <c r="X775" s="112" t="s">
        <v>229</v>
      </c>
      <c r="Y775" s="114" t="s">
        <v>229</v>
      </c>
      <c r="Z775" s="111" t="s">
        <v>229</v>
      </c>
    </row>
    <row r="776" ht="15.75" customHeight="1">
      <c r="A776" s="109"/>
      <c r="B776" s="110"/>
      <c r="C776" s="110"/>
      <c r="D776" s="109"/>
      <c r="E776" s="109"/>
      <c r="F776" s="109"/>
      <c r="G776" s="111"/>
      <c r="H776" s="111"/>
      <c r="I776" s="112"/>
      <c r="J776" s="112"/>
      <c r="K776" s="113"/>
      <c r="L776" s="109"/>
      <c r="M776" s="109"/>
      <c r="N776" s="113" t="s">
        <v>229</v>
      </c>
      <c r="O776" s="113" t="s">
        <v>229</v>
      </c>
      <c r="P776" s="113" t="s">
        <v>229</v>
      </c>
      <c r="Q776" s="113" t="s">
        <v>229</v>
      </c>
      <c r="R776" s="113" t="s">
        <v>229</v>
      </c>
      <c r="S776" s="113" t="s">
        <v>229</v>
      </c>
      <c r="T776" s="114" t="s">
        <v>229</v>
      </c>
      <c r="U776" s="109" t="s">
        <v>229</v>
      </c>
      <c r="V776" s="112" t="s">
        <v>229</v>
      </c>
      <c r="W776" s="111" t="s">
        <v>229</v>
      </c>
      <c r="X776" s="112" t="s">
        <v>229</v>
      </c>
      <c r="Y776" s="114" t="s">
        <v>229</v>
      </c>
      <c r="Z776" s="111" t="s">
        <v>229</v>
      </c>
    </row>
    <row r="777" ht="15.75" customHeight="1">
      <c r="A777" s="109"/>
      <c r="B777" s="110"/>
      <c r="C777" s="110"/>
      <c r="D777" s="109"/>
      <c r="E777" s="109"/>
      <c r="F777" s="109"/>
      <c r="G777" s="111"/>
      <c r="H777" s="111"/>
      <c r="I777" s="112"/>
      <c r="J777" s="112"/>
      <c r="K777" s="113"/>
      <c r="L777" s="109"/>
      <c r="M777" s="109"/>
      <c r="N777" s="113" t="s">
        <v>229</v>
      </c>
      <c r="O777" s="113" t="s">
        <v>229</v>
      </c>
      <c r="P777" s="113" t="s">
        <v>229</v>
      </c>
      <c r="Q777" s="113" t="s">
        <v>229</v>
      </c>
      <c r="R777" s="113" t="s">
        <v>229</v>
      </c>
      <c r="S777" s="113" t="s">
        <v>229</v>
      </c>
      <c r="T777" s="114" t="s">
        <v>229</v>
      </c>
      <c r="U777" s="109" t="s">
        <v>229</v>
      </c>
      <c r="V777" s="112" t="s">
        <v>229</v>
      </c>
      <c r="W777" s="111" t="s">
        <v>229</v>
      </c>
      <c r="X777" s="112" t="s">
        <v>229</v>
      </c>
      <c r="Y777" s="114" t="s">
        <v>229</v>
      </c>
      <c r="Z777" s="111" t="s">
        <v>229</v>
      </c>
    </row>
    <row r="778" ht="15.75" customHeight="1">
      <c r="A778" s="109"/>
      <c r="B778" s="110"/>
      <c r="C778" s="110"/>
      <c r="D778" s="109"/>
      <c r="E778" s="109"/>
      <c r="F778" s="109"/>
      <c r="G778" s="111"/>
      <c r="H778" s="111"/>
      <c r="I778" s="112"/>
      <c r="J778" s="112"/>
      <c r="K778" s="113"/>
      <c r="L778" s="109"/>
      <c r="M778" s="109"/>
      <c r="N778" s="113" t="s">
        <v>229</v>
      </c>
      <c r="O778" s="113" t="s">
        <v>229</v>
      </c>
      <c r="P778" s="113" t="s">
        <v>229</v>
      </c>
      <c r="Q778" s="113" t="s">
        <v>229</v>
      </c>
      <c r="R778" s="113" t="s">
        <v>229</v>
      </c>
      <c r="S778" s="113" t="s">
        <v>229</v>
      </c>
      <c r="T778" s="114" t="s">
        <v>229</v>
      </c>
      <c r="U778" s="109" t="s">
        <v>229</v>
      </c>
      <c r="V778" s="112" t="s">
        <v>229</v>
      </c>
      <c r="W778" s="111" t="s">
        <v>229</v>
      </c>
      <c r="X778" s="112" t="s">
        <v>229</v>
      </c>
      <c r="Y778" s="114" t="s">
        <v>229</v>
      </c>
      <c r="Z778" s="111" t="s">
        <v>229</v>
      </c>
    </row>
    <row r="779" ht="15.75" customHeight="1">
      <c r="A779" s="109"/>
      <c r="B779" s="110"/>
      <c r="C779" s="110"/>
      <c r="D779" s="109"/>
      <c r="E779" s="109"/>
      <c r="F779" s="109"/>
      <c r="G779" s="111"/>
      <c r="H779" s="111"/>
      <c r="I779" s="112"/>
      <c r="J779" s="112"/>
      <c r="K779" s="113"/>
      <c r="L779" s="109"/>
      <c r="M779" s="109"/>
      <c r="N779" s="113" t="s">
        <v>229</v>
      </c>
      <c r="O779" s="113" t="s">
        <v>229</v>
      </c>
      <c r="P779" s="113" t="s">
        <v>229</v>
      </c>
      <c r="Q779" s="113" t="s">
        <v>229</v>
      </c>
      <c r="R779" s="113" t="s">
        <v>229</v>
      </c>
      <c r="S779" s="113" t="s">
        <v>229</v>
      </c>
      <c r="T779" s="114" t="s">
        <v>229</v>
      </c>
      <c r="U779" s="109" t="s">
        <v>229</v>
      </c>
      <c r="V779" s="112" t="s">
        <v>229</v>
      </c>
      <c r="W779" s="111" t="s">
        <v>229</v>
      </c>
      <c r="X779" s="112" t="s">
        <v>229</v>
      </c>
      <c r="Y779" s="114" t="s">
        <v>229</v>
      </c>
      <c r="Z779" s="111" t="s">
        <v>229</v>
      </c>
    </row>
    <row r="780" ht="15.75" customHeight="1">
      <c r="A780" s="109"/>
      <c r="B780" s="110"/>
      <c r="C780" s="110"/>
      <c r="D780" s="109"/>
      <c r="E780" s="109"/>
      <c r="F780" s="109"/>
      <c r="G780" s="111"/>
      <c r="H780" s="111"/>
      <c r="I780" s="112"/>
      <c r="J780" s="112"/>
      <c r="K780" s="113"/>
      <c r="L780" s="109"/>
      <c r="M780" s="109"/>
      <c r="N780" s="113" t="s">
        <v>229</v>
      </c>
      <c r="O780" s="113" t="s">
        <v>229</v>
      </c>
      <c r="P780" s="113" t="s">
        <v>229</v>
      </c>
      <c r="Q780" s="113" t="s">
        <v>229</v>
      </c>
      <c r="R780" s="113" t="s">
        <v>229</v>
      </c>
      <c r="S780" s="113" t="s">
        <v>229</v>
      </c>
      <c r="T780" s="114" t="s">
        <v>229</v>
      </c>
      <c r="U780" s="109" t="s">
        <v>229</v>
      </c>
      <c r="V780" s="112" t="s">
        <v>229</v>
      </c>
      <c r="W780" s="111" t="s">
        <v>229</v>
      </c>
      <c r="X780" s="112" t="s">
        <v>229</v>
      </c>
      <c r="Y780" s="114" t="s">
        <v>229</v>
      </c>
      <c r="Z780" s="111" t="s">
        <v>229</v>
      </c>
    </row>
    <row r="781" ht="15.75" customHeight="1">
      <c r="A781" s="109"/>
      <c r="B781" s="110"/>
      <c r="C781" s="110"/>
      <c r="D781" s="109"/>
      <c r="E781" s="109"/>
      <c r="F781" s="109"/>
      <c r="G781" s="111"/>
      <c r="H781" s="111"/>
      <c r="I781" s="112"/>
      <c r="J781" s="112"/>
      <c r="K781" s="113"/>
      <c r="L781" s="109"/>
      <c r="M781" s="109"/>
      <c r="N781" s="113" t="s">
        <v>229</v>
      </c>
      <c r="O781" s="113" t="s">
        <v>229</v>
      </c>
      <c r="P781" s="113" t="s">
        <v>229</v>
      </c>
      <c r="Q781" s="113" t="s">
        <v>229</v>
      </c>
      <c r="R781" s="113" t="s">
        <v>229</v>
      </c>
      <c r="S781" s="113" t="s">
        <v>229</v>
      </c>
      <c r="T781" s="114" t="s">
        <v>229</v>
      </c>
      <c r="U781" s="109" t="s">
        <v>229</v>
      </c>
      <c r="V781" s="112" t="s">
        <v>229</v>
      </c>
      <c r="W781" s="111" t="s">
        <v>229</v>
      </c>
      <c r="X781" s="112" t="s">
        <v>229</v>
      </c>
      <c r="Y781" s="114" t="s">
        <v>229</v>
      </c>
      <c r="Z781" s="111" t="s">
        <v>229</v>
      </c>
    </row>
    <row r="782" ht="15.75" customHeight="1">
      <c r="A782" s="109"/>
      <c r="B782" s="110"/>
      <c r="C782" s="110"/>
      <c r="D782" s="109"/>
      <c r="E782" s="109"/>
      <c r="F782" s="109"/>
      <c r="G782" s="111"/>
      <c r="H782" s="111"/>
      <c r="I782" s="112"/>
      <c r="J782" s="112"/>
      <c r="K782" s="113"/>
      <c r="L782" s="109"/>
      <c r="M782" s="109"/>
      <c r="N782" s="113" t="s">
        <v>229</v>
      </c>
      <c r="O782" s="113" t="s">
        <v>229</v>
      </c>
      <c r="P782" s="113" t="s">
        <v>229</v>
      </c>
      <c r="Q782" s="113" t="s">
        <v>229</v>
      </c>
      <c r="R782" s="113" t="s">
        <v>229</v>
      </c>
      <c r="S782" s="113" t="s">
        <v>229</v>
      </c>
      <c r="T782" s="114" t="s">
        <v>229</v>
      </c>
      <c r="U782" s="109" t="s">
        <v>229</v>
      </c>
      <c r="V782" s="112" t="s">
        <v>229</v>
      </c>
      <c r="W782" s="111" t="s">
        <v>229</v>
      </c>
      <c r="X782" s="112" t="s">
        <v>229</v>
      </c>
      <c r="Y782" s="114" t="s">
        <v>229</v>
      </c>
      <c r="Z782" s="111" t="s">
        <v>229</v>
      </c>
    </row>
    <row r="783" ht="15.75" customHeight="1">
      <c r="A783" s="109"/>
      <c r="B783" s="110"/>
      <c r="C783" s="110"/>
      <c r="D783" s="109"/>
      <c r="E783" s="109"/>
      <c r="F783" s="109"/>
      <c r="G783" s="111"/>
      <c r="H783" s="111"/>
      <c r="I783" s="112"/>
      <c r="J783" s="112"/>
      <c r="K783" s="113"/>
      <c r="L783" s="109"/>
      <c r="M783" s="109"/>
      <c r="N783" s="113" t="s">
        <v>229</v>
      </c>
      <c r="O783" s="113" t="s">
        <v>229</v>
      </c>
      <c r="P783" s="113" t="s">
        <v>229</v>
      </c>
      <c r="Q783" s="113" t="s">
        <v>229</v>
      </c>
      <c r="R783" s="113" t="s">
        <v>229</v>
      </c>
      <c r="S783" s="113" t="s">
        <v>229</v>
      </c>
      <c r="T783" s="114" t="s">
        <v>229</v>
      </c>
      <c r="U783" s="109" t="s">
        <v>229</v>
      </c>
      <c r="V783" s="112" t="s">
        <v>229</v>
      </c>
      <c r="W783" s="111" t="s">
        <v>229</v>
      </c>
      <c r="X783" s="112" t="s">
        <v>229</v>
      </c>
      <c r="Y783" s="114" t="s">
        <v>229</v>
      </c>
      <c r="Z783" s="111" t="s">
        <v>229</v>
      </c>
    </row>
    <row r="784" ht="15.75" customHeight="1">
      <c r="A784" s="109"/>
      <c r="B784" s="110"/>
      <c r="C784" s="110"/>
      <c r="D784" s="109"/>
      <c r="E784" s="109"/>
      <c r="F784" s="109"/>
      <c r="G784" s="111"/>
      <c r="H784" s="111"/>
      <c r="I784" s="112"/>
      <c r="J784" s="112"/>
      <c r="K784" s="113"/>
      <c r="L784" s="109"/>
      <c r="M784" s="109"/>
      <c r="N784" s="113" t="s">
        <v>229</v>
      </c>
      <c r="O784" s="113" t="s">
        <v>229</v>
      </c>
      <c r="P784" s="113" t="s">
        <v>229</v>
      </c>
      <c r="Q784" s="113" t="s">
        <v>229</v>
      </c>
      <c r="R784" s="113" t="s">
        <v>229</v>
      </c>
      <c r="S784" s="113" t="s">
        <v>229</v>
      </c>
      <c r="T784" s="114" t="s">
        <v>229</v>
      </c>
      <c r="U784" s="109" t="s">
        <v>229</v>
      </c>
      <c r="V784" s="112" t="s">
        <v>229</v>
      </c>
      <c r="W784" s="111" t="s">
        <v>229</v>
      </c>
      <c r="X784" s="112" t="s">
        <v>229</v>
      </c>
      <c r="Y784" s="114" t="s">
        <v>229</v>
      </c>
      <c r="Z784" s="111" t="s">
        <v>229</v>
      </c>
    </row>
    <row r="785" ht="15.75" customHeight="1">
      <c r="A785" s="109"/>
      <c r="B785" s="110"/>
      <c r="C785" s="110"/>
      <c r="D785" s="109"/>
      <c r="E785" s="109"/>
      <c r="F785" s="109"/>
      <c r="G785" s="111"/>
      <c r="H785" s="111"/>
      <c r="I785" s="112"/>
      <c r="J785" s="112"/>
      <c r="K785" s="113"/>
      <c r="L785" s="109"/>
      <c r="M785" s="109"/>
      <c r="N785" s="113" t="s">
        <v>229</v>
      </c>
      <c r="O785" s="113" t="s">
        <v>229</v>
      </c>
      <c r="P785" s="113" t="s">
        <v>229</v>
      </c>
      <c r="Q785" s="113" t="s">
        <v>229</v>
      </c>
      <c r="R785" s="113" t="s">
        <v>229</v>
      </c>
      <c r="S785" s="113" t="s">
        <v>229</v>
      </c>
      <c r="T785" s="114" t="s">
        <v>229</v>
      </c>
      <c r="U785" s="109" t="s">
        <v>229</v>
      </c>
      <c r="V785" s="112" t="s">
        <v>229</v>
      </c>
      <c r="W785" s="111" t="s">
        <v>229</v>
      </c>
      <c r="X785" s="112" t="s">
        <v>229</v>
      </c>
      <c r="Y785" s="114" t="s">
        <v>229</v>
      </c>
      <c r="Z785" s="111" t="s">
        <v>229</v>
      </c>
    </row>
    <row r="786" ht="15.75" customHeight="1">
      <c r="A786" s="109"/>
      <c r="B786" s="110"/>
      <c r="C786" s="110"/>
      <c r="D786" s="109"/>
      <c r="E786" s="109"/>
      <c r="F786" s="109"/>
      <c r="G786" s="111"/>
      <c r="H786" s="111"/>
      <c r="I786" s="112"/>
      <c r="J786" s="112"/>
      <c r="K786" s="113"/>
      <c r="L786" s="109"/>
      <c r="M786" s="109"/>
      <c r="N786" s="113" t="s">
        <v>229</v>
      </c>
      <c r="O786" s="113" t="s">
        <v>229</v>
      </c>
      <c r="P786" s="113" t="s">
        <v>229</v>
      </c>
      <c r="Q786" s="113" t="s">
        <v>229</v>
      </c>
      <c r="R786" s="113" t="s">
        <v>229</v>
      </c>
      <c r="S786" s="113" t="s">
        <v>229</v>
      </c>
      <c r="T786" s="114" t="s">
        <v>229</v>
      </c>
      <c r="U786" s="109" t="s">
        <v>229</v>
      </c>
      <c r="V786" s="112" t="s">
        <v>229</v>
      </c>
      <c r="W786" s="111" t="s">
        <v>229</v>
      </c>
      <c r="X786" s="112" t="s">
        <v>229</v>
      </c>
      <c r="Y786" s="114" t="s">
        <v>229</v>
      </c>
      <c r="Z786" s="111" t="s">
        <v>229</v>
      </c>
    </row>
    <row r="787" ht="15.75" customHeight="1">
      <c r="A787" s="109"/>
      <c r="B787" s="110"/>
      <c r="C787" s="110"/>
      <c r="D787" s="109"/>
      <c r="E787" s="109"/>
      <c r="F787" s="109"/>
      <c r="G787" s="111"/>
      <c r="H787" s="111"/>
      <c r="I787" s="112"/>
      <c r="J787" s="112"/>
      <c r="K787" s="113"/>
      <c r="L787" s="109"/>
      <c r="M787" s="109"/>
      <c r="N787" s="113" t="s">
        <v>229</v>
      </c>
      <c r="O787" s="113" t="s">
        <v>229</v>
      </c>
      <c r="P787" s="113" t="s">
        <v>229</v>
      </c>
      <c r="Q787" s="113" t="s">
        <v>229</v>
      </c>
      <c r="R787" s="113" t="s">
        <v>229</v>
      </c>
      <c r="S787" s="113" t="s">
        <v>229</v>
      </c>
      <c r="T787" s="114" t="s">
        <v>229</v>
      </c>
      <c r="U787" s="109" t="s">
        <v>229</v>
      </c>
      <c r="V787" s="112" t="s">
        <v>229</v>
      </c>
      <c r="W787" s="111" t="s">
        <v>229</v>
      </c>
      <c r="X787" s="112" t="s">
        <v>229</v>
      </c>
      <c r="Y787" s="114" t="s">
        <v>229</v>
      </c>
      <c r="Z787" s="111" t="s">
        <v>229</v>
      </c>
    </row>
    <row r="788" ht="15.75" customHeight="1">
      <c r="A788" s="109"/>
      <c r="B788" s="110"/>
      <c r="C788" s="110"/>
      <c r="D788" s="109"/>
      <c r="E788" s="109"/>
      <c r="F788" s="109"/>
      <c r="G788" s="111"/>
      <c r="H788" s="111"/>
      <c r="I788" s="112"/>
      <c r="J788" s="112"/>
      <c r="K788" s="113"/>
      <c r="L788" s="109"/>
      <c r="M788" s="109"/>
      <c r="N788" s="113" t="s">
        <v>229</v>
      </c>
      <c r="O788" s="113" t="s">
        <v>229</v>
      </c>
      <c r="P788" s="113" t="s">
        <v>229</v>
      </c>
      <c r="Q788" s="113" t="s">
        <v>229</v>
      </c>
      <c r="R788" s="113" t="s">
        <v>229</v>
      </c>
      <c r="S788" s="113" t="s">
        <v>229</v>
      </c>
      <c r="T788" s="114" t="s">
        <v>229</v>
      </c>
      <c r="U788" s="109" t="s">
        <v>229</v>
      </c>
      <c r="V788" s="112" t="s">
        <v>229</v>
      </c>
      <c r="W788" s="111" t="s">
        <v>229</v>
      </c>
      <c r="X788" s="112" t="s">
        <v>229</v>
      </c>
      <c r="Y788" s="114" t="s">
        <v>229</v>
      </c>
      <c r="Z788" s="111" t="s">
        <v>229</v>
      </c>
    </row>
    <row r="789" ht="15.75" customHeight="1">
      <c r="A789" s="109"/>
      <c r="B789" s="110"/>
      <c r="C789" s="110"/>
      <c r="D789" s="109"/>
      <c r="E789" s="109"/>
      <c r="F789" s="109"/>
      <c r="G789" s="111"/>
      <c r="H789" s="111"/>
      <c r="I789" s="112"/>
      <c r="J789" s="112"/>
      <c r="K789" s="113"/>
      <c r="L789" s="109"/>
      <c r="M789" s="109"/>
      <c r="N789" s="113" t="s">
        <v>229</v>
      </c>
      <c r="O789" s="113" t="s">
        <v>229</v>
      </c>
      <c r="P789" s="113" t="s">
        <v>229</v>
      </c>
      <c r="Q789" s="113" t="s">
        <v>229</v>
      </c>
      <c r="R789" s="113" t="s">
        <v>229</v>
      </c>
      <c r="S789" s="113" t="s">
        <v>229</v>
      </c>
      <c r="T789" s="114" t="s">
        <v>229</v>
      </c>
      <c r="U789" s="109" t="s">
        <v>229</v>
      </c>
      <c r="V789" s="112" t="s">
        <v>229</v>
      </c>
      <c r="W789" s="111" t="s">
        <v>229</v>
      </c>
      <c r="X789" s="112" t="s">
        <v>229</v>
      </c>
      <c r="Y789" s="114" t="s">
        <v>229</v>
      </c>
      <c r="Z789" s="111" t="s">
        <v>229</v>
      </c>
    </row>
    <row r="790" ht="15.75" customHeight="1">
      <c r="A790" s="109"/>
      <c r="B790" s="110"/>
      <c r="C790" s="110"/>
      <c r="D790" s="109"/>
      <c r="E790" s="109"/>
      <c r="F790" s="109"/>
      <c r="G790" s="111"/>
      <c r="H790" s="111"/>
      <c r="I790" s="112"/>
      <c r="J790" s="112"/>
      <c r="K790" s="113"/>
      <c r="L790" s="109"/>
      <c r="M790" s="109"/>
      <c r="N790" s="113" t="s">
        <v>229</v>
      </c>
      <c r="O790" s="113" t="s">
        <v>229</v>
      </c>
      <c r="P790" s="113" t="s">
        <v>229</v>
      </c>
      <c r="Q790" s="113" t="s">
        <v>229</v>
      </c>
      <c r="R790" s="113" t="s">
        <v>229</v>
      </c>
      <c r="S790" s="113" t="s">
        <v>229</v>
      </c>
      <c r="T790" s="114" t="s">
        <v>229</v>
      </c>
      <c r="U790" s="109" t="s">
        <v>229</v>
      </c>
      <c r="V790" s="112" t="s">
        <v>229</v>
      </c>
      <c r="W790" s="111" t="s">
        <v>229</v>
      </c>
      <c r="X790" s="112" t="s">
        <v>229</v>
      </c>
      <c r="Y790" s="114" t="s">
        <v>229</v>
      </c>
      <c r="Z790" s="111" t="s">
        <v>229</v>
      </c>
    </row>
    <row r="791" ht="15.75" customHeight="1">
      <c r="A791" s="109"/>
      <c r="B791" s="110"/>
      <c r="C791" s="110"/>
      <c r="D791" s="109"/>
      <c r="E791" s="109"/>
      <c r="F791" s="109"/>
      <c r="G791" s="111"/>
      <c r="H791" s="111"/>
      <c r="I791" s="112"/>
      <c r="J791" s="112"/>
      <c r="K791" s="113"/>
      <c r="L791" s="109"/>
      <c r="M791" s="109"/>
      <c r="N791" s="113" t="s">
        <v>229</v>
      </c>
      <c r="O791" s="113" t="s">
        <v>229</v>
      </c>
      <c r="P791" s="113" t="s">
        <v>229</v>
      </c>
      <c r="Q791" s="113" t="s">
        <v>229</v>
      </c>
      <c r="R791" s="113" t="s">
        <v>229</v>
      </c>
      <c r="S791" s="113" t="s">
        <v>229</v>
      </c>
      <c r="T791" s="114" t="s">
        <v>229</v>
      </c>
      <c r="U791" s="109" t="s">
        <v>229</v>
      </c>
      <c r="V791" s="112" t="s">
        <v>229</v>
      </c>
      <c r="W791" s="111" t="s">
        <v>229</v>
      </c>
      <c r="X791" s="112" t="s">
        <v>229</v>
      </c>
      <c r="Y791" s="114" t="s">
        <v>229</v>
      </c>
      <c r="Z791" s="111" t="s">
        <v>229</v>
      </c>
    </row>
    <row r="792" ht="15.75" customHeight="1">
      <c r="A792" s="109"/>
      <c r="B792" s="110"/>
      <c r="C792" s="110"/>
      <c r="D792" s="109"/>
      <c r="E792" s="109"/>
      <c r="F792" s="109"/>
      <c r="G792" s="111"/>
      <c r="H792" s="111"/>
      <c r="I792" s="112"/>
      <c r="J792" s="112"/>
      <c r="K792" s="113"/>
      <c r="L792" s="109"/>
      <c r="M792" s="109"/>
      <c r="N792" s="113" t="s">
        <v>229</v>
      </c>
      <c r="O792" s="113" t="s">
        <v>229</v>
      </c>
      <c r="P792" s="113" t="s">
        <v>229</v>
      </c>
      <c r="Q792" s="113" t="s">
        <v>229</v>
      </c>
      <c r="R792" s="113" t="s">
        <v>229</v>
      </c>
      <c r="S792" s="113" t="s">
        <v>229</v>
      </c>
      <c r="T792" s="114" t="s">
        <v>229</v>
      </c>
      <c r="U792" s="109" t="s">
        <v>229</v>
      </c>
      <c r="V792" s="112" t="s">
        <v>229</v>
      </c>
      <c r="W792" s="111" t="s">
        <v>229</v>
      </c>
      <c r="X792" s="112" t="s">
        <v>229</v>
      </c>
      <c r="Y792" s="114" t="s">
        <v>229</v>
      </c>
      <c r="Z792" s="111" t="s">
        <v>229</v>
      </c>
    </row>
    <row r="793" ht="15.75" customHeight="1">
      <c r="A793" s="109"/>
      <c r="B793" s="110"/>
      <c r="C793" s="110"/>
      <c r="D793" s="109"/>
      <c r="E793" s="109"/>
      <c r="F793" s="109"/>
      <c r="G793" s="111"/>
      <c r="H793" s="111"/>
      <c r="I793" s="112"/>
      <c r="J793" s="112"/>
      <c r="K793" s="113"/>
      <c r="L793" s="109"/>
      <c r="M793" s="109"/>
      <c r="N793" s="113" t="s">
        <v>229</v>
      </c>
      <c r="O793" s="113" t="s">
        <v>229</v>
      </c>
      <c r="P793" s="113" t="s">
        <v>229</v>
      </c>
      <c r="Q793" s="113" t="s">
        <v>229</v>
      </c>
      <c r="R793" s="113" t="s">
        <v>229</v>
      </c>
      <c r="S793" s="113" t="s">
        <v>229</v>
      </c>
      <c r="T793" s="114" t="s">
        <v>229</v>
      </c>
      <c r="U793" s="109" t="s">
        <v>229</v>
      </c>
      <c r="V793" s="112" t="s">
        <v>229</v>
      </c>
      <c r="W793" s="111" t="s">
        <v>229</v>
      </c>
      <c r="X793" s="112" t="s">
        <v>229</v>
      </c>
      <c r="Y793" s="114" t="s">
        <v>229</v>
      </c>
      <c r="Z793" s="111" t="s">
        <v>229</v>
      </c>
    </row>
    <row r="794" ht="15.75" customHeight="1">
      <c r="A794" s="109"/>
      <c r="B794" s="110"/>
      <c r="C794" s="110"/>
      <c r="D794" s="109"/>
      <c r="E794" s="109"/>
      <c r="F794" s="109"/>
      <c r="G794" s="111"/>
      <c r="H794" s="111"/>
      <c r="I794" s="112"/>
      <c r="J794" s="112"/>
      <c r="K794" s="113"/>
      <c r="L794" s="109"/>
      <c r="M794" s="109"/>
      <c r="N794" s="113" t="s">
        <v>229</v>
      </c>
      <c r="O794" s="113" t="s">
        <v>229</v>
      </c>
      <c r="P794" s="113" t="s">
        <v>229</v>
      </c>
      <c r="Q794" s="113" t="s">
        <v>229</v>
      </c>
      <c r="R794" s="113" t="s">
        <v>229</v>
      </c>
      <c r="S794" s="113" t="s">
        <v>229</v>
      </c>
      <c r="T794" s="114" t="s">
        <v>229</v>
      </c>
      <c r="U794" s="109" t="s">
        <v>229</v>
      </c>
      <c r="V794" s="112" t="s">
        <v>229</v>
      </c>
      <c r="W794" s="111" t="s">
        <v>229</v>
      </c>
      <c r="X794" s="112" t="s">
        <v>229</v>
      </c>
      <c r="Y794" s="114" t="s">
        <v>229</v>
      </c>
      <c r="Z794" s="111" t="s">
        <v>229</v>
      </c>
    </row>
    <row r="795" ht="15.75" customHeight="1">
      <c r="A795" s="109"/>
      <c r="B795" s="110"/>
      <c r="C795" s="110"/>
      <c r="D795" s="109"/>
      <c r="E795" s="109"/>
      <c r="F795" s="109"/>
      <c r="G795" s="111"/>
      <c r="H795" s="111"/>
      <c r="I795" s="112"/>
      <c r="J795" s="112"/>
      <c r="K795" s="113"/>
      <c r="L795" s="109"/>
      <c r="M795" s="109"/>
      <c r="N795" s="113" t="s">
        <v>229</v>
      </c>
      <c r="O795" s="113" t="s">
        <v>229</v>
      </c>
      <c r="P795" s="113" t="s">
        <v>229</v>
      </c>
      <c r="Q795" s="113" t="s">
        <v>229</v>
      </c>
      <c r="R795" s="113" t="s">
        <v>229</v>
      </c>
      <c r="S795" s="113" t="s">
        <v>229</v>
      </c>
      <c r="T795" s="114" t="s">
        <v>229</v>
      </c>
      <c r="U795" s="109" t="s">
        <v>229</v>
      </c>
      <c r="V795" s="112" t="s">
        <v>229</v>
      </c>
      <c r="W795" s="111" t="s">
        <v>229</v>
      </c>
      <c r="X795" s="112" t="s">
        <v>229</v>
      </c>
      <c r="Y795" s="114" t="s">
        <v>229</v>
      </c>
      <c r="Z795" s="111" t="s">
        <v>229</v>
      </c>
    </row>
    <row r="796" ht="15.75" customHeight="1">
      <c r="A796" s="109"/>
      <c r="B796" s="110"/>
      <c r="C796" s="110"/>
      <c r="D796" s="109"/>
      <c r="E796" s="109"/>
      <c r="F796" s="109"/>
      <c r="G796" s="111"/>
      <c r="H796" s="111"/>
      <c r="I796" s="112"/>
      <c r="J796" s="112"/>
      <c r="K796" s="113"/>
      <c r="L796" s="109"/>
      <c r="M796" s="109"/>
      <c r="N796" s="113" t="s">
        <v>229</v>
      </c>
      <c r="O796" s="113" t="s">
        <v>229</v>
      </c>
      <c r="P796" s="113" t="s">
        <v>229</v>
      </c>
      <c r="Q796" s="113" t="s">
        <v>229</v>
      </c>
      <c r="R796" s="113" t="s">
        <v>229</v>
      </c>
      <c r="S796" s="113" t="s">
        <v>229</v>
      </c>
      <c r="T796" s="114" t="s">
        <v>229</v>
      </c>
      <c r="U796" s="109" t="s">
        <v>229</v>
      </c>
      <c r="V796" s="112" t="s">
        <v>229</v>
      </c>
      <c r="W796" s="111" t="s">
        <v>229</v>
      </c>
      <c r="X796" s="112" t="s">
        <v>229</v>
      </c>
      <c r="Y796" s="114" t="s">
        <v>229</v>
      </c>
      <c r="Z796" s="111" t="s">
        <v>229</v>
      </c>
    </row>
    <row r="797" ht="15.75" customHeight="1">
      <c r="A797" s="109"/>
      <c r="B797" s="110"/>
      <c r="C797" s="110"/>
      <c r="D797" s="109"/>
      <c r="E797" s="109"/>
      <c r="F797" s="109"/>
      <c r="G797" s="111"/>
      <c r="H797" s="111"/>
      <c r="I797" s="112"/>
      <c r="J797" s="112"/>
      <c r="K797" s="113"/>
      <c r="L797" s="109"/>
      <c r="M797" s="109"/>
      <c r="N797" s="113" t="s">
        <v>229</v>
      </c>
      <c r="O797" s="113" t="s">
        <v>229</v>
      </c>
      <c r="P797" s="113" t="s">
        <v>229</v>
      </c>
      <c r="Q797" s="113" t="s">
        <v>229</v>
      </c>
      <c r="R797" s="113" t="s">
        <v>229</v>
      </c>
      <c r="S797" s="113" t="s">
        <v>229</v>
      </c>
      <c r="T797" s="114" t="s">
        <v>229</v>
      </c>
      <c r="U797" s="109" t="s">
        <v>229</v>
      </c>
      <c r="V797" s="112" t="s">
        <v>229</v>
      </c>
      <c r="W797" s="111" t="s">
        <v>229</v>
      </c>
      <c r="X797" s="112" t="s">
        <v>229</v>
      </c>
      <c r="Y797" s="114" t="s">
        <v>229</v>
      </c>
      <c r="Z797" s="111" t="s">
        <v>229</v>
      </c>
    </row>
    <row r="798" ht="15.75" customHeight="1">
      <c r="A798" s="109"/>
      <c r="B798" s="110"/>
      <c r="C798" s="110"/>
      <c r="D798" s="109"/>
      <c r="E798" s="109"/>
      <c r="F798" s="109"/>
      <c r="G798" s="111"/>
      <c r="H798" s="111"/>
      <c r="I798" s="112"/>
      <c r="J798" s="112"/>
      <c r="K798" s="113"/>
      <c r="L798" s="109"/>
      <c r="M798" s="109"/>
      <c r="N798" s="113" t="s">
        <v>229</v>
      </c>
      <c r="O798" s="113" t="s">
        <v>229</v>
      </c>
      <c r="P798" s="113" t="s">
        <v>229</v>
      </c>
      <c r="Q798" s="113" t="s">
        <v>229</v>
      </c>
      <c r="R798" s="113" t="s">
        <v>229</v>
      </c>
      <c r="S798" s="113" t="s">
        <v>229</v>
      </c>
      <c r="T798" s="114" t="s">
        <v>229</v>
      </c>
      <c r="U798" s="109" t="s">
        <v>229</v>
      </c>
      <c r="V798" s="112" t="s">
        <v>229</v>
      </c>
      <c r="W798" s="111" t="s">
        <v>229</v>
      </c>
      <c r="X798" s="112" t="s">
        <v>229</v>
      </c>
      <c r="Y798" s="114" t="s">
        <v>229</v>
      </c>
      <c r="Z798" s="111" t="s">
        <v>229</v>
      </c>
    </row>
    <row r="799" ht="15.75" customHeight="1">
      <c r="A799" s="109"/>
      <c r="B799" s="110"/>
      <c r="C799" s="110"/>
      <c r="D799" s="109"/>
      <c r="E799" s="109"/>
      <c r="F799" s="109"/>
      <c r="G799" s="111"/>
      <c r="H799" s="111"/>
      <c r="I799" s="112"/>
      <c r="J799" s="112"/>
      <c r="K799" s="113"/>
      <c r="L799" s="109"/>
      <c r="M799" s="109"/>
      <c r="N799" s="113" t="s">
        <v>229</v>
      </c>
      <c r="O799" s="113" t="s">
        <v>229</v>
      </c>
      <c r="P799" s="113" t="s">
        <v>229</v>
      </c>
      <c r="Q799" s="113" t="s">
        <v>229</v>
      </c>
      <c r="R799" s="113" t="s">
        <v>229</v>
      </c>
      <c r="S799" s="113" t="s">
        <v>229</v>
      </c>
      <c r="T799" s="114" t="s">
        <v>229</v>
      </c>
      <c r="U799" s="109" t="s">
        <v>229</v>
      </c>
      <c r="V799" s="112" t="s">
        <v>229</v>
      </c>
      <c r="W799" s="111" t="s">
        <v>229</v>
      </c>
      <c r="X799" s="112" t="s">
        <v>229</v>
      </c>
      <c r="Y799" s="114" t="s">
        <v>229</v>
      </c>
      <c r="Z799" s="111" t="s">
        <v>229</v>
      </c>
    </row>
    <row r="800" ht="15.75" customHeight="1">
      <c r="A800" s="109"/>
      <c r="B800" s="110"/>
      <c r="C800" s="110"/>
      <c r="D800" s="109"/>
      <c r="E800" s="109"/>
      <c r="F800" s="109"/>
      <c r="G800" s="111"/>
      <c r="H800" s="111"/>
      <c r="I800" s="112"/>
      <c r="J800" s="112"/>
      <c r="K800" s="113"/>
      <c r="L800" s="109"/>
      <c r="M800" s="109"/>
      <c r="N800" s="113" t="s">
        <v>229</v>
      </c>
      <c r="O800" s="113" t="s">
        <v>229</v>
      </c>
      <c r="P800" s="113" t="s">
        <v>229</v>
      </c>
      <c r="Q800" s="113" t="s">
        <v>229</v>
      </c>
      <c r="R800" s="113" t="s">
        <v>229</v>
      </c>
      <c r="S800" s="113" t="s">
        <v>229</v>
      </c>
      <c r="T800" s="114" t="s">
        <v>229</v>
      </c>
      <c r="U800" s="109" t="s">
        <v>229</v>
      </c>
      <c r="V800" s="112" t="s">
        <v>229</v>
      </c>
      <c r="W800" s="111" t="s">
        <v>229</v>
      </c>
      <c r="X800" s="112" t="s">
        <v>229</v>
      </c>
      <c r="Y800" s="114" t="s">
        <v>229</v>
      </c>
      <c r="Z800" s="111" t="s">
        <v>229</v>
      </c>
    </row>
    <row r="801" ht="15.75" customHeight="1">
      <c r="A801" s="109"/>
      <c r="B801" s="110"/>
      <c r="C801" s="110"/>
      <c r="D801" s="109"/>
      <c r="E801" s="109"/>
      <c r="F801" s="109"/>
      <c r="G801" s="111"/>
      <c r="H801" s="111"/>
      <c r="I801" s="112"/>
      <c r="J801" s="112"/>
      <c r="K801" s="113"/>
      <c r="L801" s="109"/>
      <c r="M801" s="109"/>
      <c r="N801" s="113" t="s">
        <v>229</v>
      </c>
      <c r="O801" s="113" t="s">
        <v>229</v>
      </c>
      <c r="P801" s="113" t="s">
        <v>229</v>
      </c>
      <c r="Q801" s="113" t="s">
        <v>229</v>
      </c>
      <c r="R801" s="113" t="s">
        <v>229</v>
      </c>
      <c r="S801" s="113" t="s">
        <v>229</v>
      </c>
      <c r="T801" s="114" t="s">
        <v>229</v>
      </c>
      <c r="U801" s="109" t="s">
        <v>229</v>
      </c>
      <c r="V801" s="112" t="s">
        <v>229</v>
      </c>
      <c r="W801" s="111" t="s">
        <v>229</v>
      </c>
      <c r="X801" s="112" t="s">
        <v>229</v>
      </c>
      <c r="Y801" s="114" t="s">
        <v>229</v>
      </c>
      <c r="Z801" s="111" t="s">
        <v>229</v>
      </c>
    </row>
    <row r="802" ht="15.75" customHeight="1">
      <c r="A802" s="109"/>
      <c r="B802" s="110"/>
      <c r="C802" s="110"/>
      <c r="D802" s="109"/>
      <c r="E802" s="109"/>
      <c r="F802" s="109"/>
      <c r="G802" s="111"/>
      <c r="H802" s="111"/>
      <c r="I802" s="112"/>
      <c r="J802" s="112"/>
      <c r="K802" s="113"/>
      <c r="L802" s="109"/>
      <c r="M802" s="109"/>
      <c r="N802" s="113" t="s">
        <v>229</v>
      </c>
      <c r="O802" s="113" t="s">
        <v>229</v>
      </c>
      <c r="P802" s="113" t="s">
        <v>229</v>
      </c>
      <c r="Q802" s="113" t="s">
        <v>229</v>
      </c>
      <c r="R802" s="113" t="s">
        <v>229</v>
      </c>
      <c r="S802" s="113" t="s">
        <v>229</v>
      </c>
      <c r="T802" s="114" t="s">
        <v>229</v>
      </c>
      <c r="U802" s="109" t="s">
        <v>229</v>
      </c>
      <c r="V802" s="112" t="s">
        <v>229</v>
      </c>
      <c r="W802" s="111" t="s">
        <v>229</v>
      </c>
      <c r="X802" s="112" t="s">
        <v>229</v>
      </c>
      <c r="Y802" s="114" t="s">
        <v>229</v>
      </c>
      <c r="Z802" s="111" t="s">
        <v>229</v>
      </c>
    </row>
    <row r="803" ht="15.75" customHeight="1">
      <c r="A803" s="109"/>
      <c r="B803" s="110"/>
      <c r="C803" s="110"/>
      <c r="D803" s="109"/>
      <c r="E803" s="109"/>
      <c r="F803" s="109"/>
      <c r="G803" s="111"/>
      <c r="H803" s="111"/>
      <c r="I803" s="112"/>
      <c r="J803" s="112"/>
      <c r="K803" s="113"/>
      <c r="L803" s="109"/>
      <c r="M803" s="109"/>
      <c r="N803" s="113" t="s">
        <v>229</v>
      </c>
      <c r="O803" s="113" t="s">
        <v>229</v>
      </c>
      <c r="P803" s="113" t="s">
        <v>229</v>
      </c>
      <c r="Q803" s="113" t="s">
        <v>229</v>
      </c>
      <c r="R803" s="113" t="s">
        <v>229</v>
      </c>
      <c r="S803" s="113" t="s">
        <v>229</v>
      </c>
      <c r="T803" s="114" t="s">
        <v>229</v>
      </c>
      <c r="U803" s="109" t="s">
        <v>229</v>
      </c>
      <c r="V803" s="112" t="s">
        <v>229</v>
      </c>
      <c r="W803" s="111" t="s">
        <v>229</v>
      </c>
      <c r="X803" s="112" t="s">
        <v>229</v>
      </c>
      <c r="Y803" s="114" t="s">
        <v>229</v>
      </c>
      <c r="Z803" s="111" t="s">
        <v>229</v>
      </c>
    </row>
    <row r="804" ht="15.75" customHeight="1">
      <c r="A804" s="109"/>
      <c r="B804" s="110"/>
      <c r="C804" s="110"/>
      <c r="D804" s="109"/>
      <c r="E804" s="109"/>
      <c r="F804" s="109"/>
      <c r="G804" s="111"/>
      <c r="H804" s="111"/>
      <c r="I804" s="112"/>
      <c r="J804" s="112"/>
      <c r="K804" s="113"/>
      <c r="L804" s="109"/>
      <c r="M804" s="109"/>
      <c r="N804" s="113" t="s">
        <v>229</v>
      </c>
      <c r="O804" s="113" t="s">
        <v>229</v>
      </c>
      <c r="P804" s="113" t="s">
        <v>229</v>
      </c>
      <c r="Q804" s="113" t="s">
        <v>229</v>
      </c>
      <c r="R804" s="113" t="s">
        <v>229</v>
      </c>
      <c r="S804" s="113" t="s">
        <v>229</v>
      </c>
      <c r="T804" s="114" t="s">
        <v>229</v>
      </c>
      <c r="U804" s="109" t="s">
        <v>229</v>
      </c>
      <c r="V804" s="112" t="s">
        <v>229</v>
      </c>
      <c r="W804" s="111" t="s">
        <v>229</v>
      </c>
      <c r="X804" s="112" t="s">
        <v>229</v>
      </c>
      <c r="Y804" s="114" t="s">
        <v>229</v>
      </c>
      <c r="Z804" s="111" t="s">
        <v>229</v>
      </c>
    </row>
    <row r="805" ht="15.75" customHeight="1">
      <c r="A805" s="109"/>
      <c r="B805" s="110"/>
      <c r="C805" s="110"/>
      <c r="D805" s="109"/>
      <c r="E805" s="109"/>
      <c r="F805" s="109"/>
      <c r="G805" s="111"/>
      <c r="H805" s="111"/>
      <c r="I805" s="112"/>
      <c r="J805" s="112"/>
      <c r="K805" s="113"/>
      <c r="L805" s="109"/>
      <c r="M805" s="109"/>
      <c r="N805" s="113" t="s">
        <v>229</v>
      </c>
      <c r="O805" s="113" t="s">
        <v>229</v>
      </c>
      <c r="P805" s="113" t="s">
        <v>229</v>
      </c>
      <c r="Q805" s="113" t="s">
        <v>229</v>
      </c>
      <c r="R805" s="113" t="s">
        <v>229</v>
      </c>
      <c r="S805" s="113" t="s">
        <v>229</v>
      </c>
      <c r="T805" s="114" t="s">
        <v>229</v>
      </c>
      <c r="U805" s="109" t="s">
        <v>229</v>
      </c>
      <c r="V805" s="112" t="s">
        <v>229</v>
      </c>
      <c r="W805" s="111" t="s">
        <v>229</v>
      </c>
      <c r="X805" s="112" t="s">
        <v>229</v>
      </c>
      <c r="Y805" s="114" t="s">
        <v>229</v>
      </c>
      <c r="Z805" s="111" t="s">
        <v>229</v>
      </c>
    </row>
    <row r="806" ht="15.75" customHeight="1">
      <c r="A806" s="109"/>
      <c r="B806" s="110"/>
      <c r="C806" s="110"/>
      <c r="D806" s="109"/>
      <c r="E806" s="109"/>
      <c r="F806" s="109"/>
      <c r="G806" s="111"/>
      <c r="H806" s="111"/>
      <c r="I806" s="112"/>
      <c r="J806" s="112"/>
      <c r="K806" s="113"/>
      <c r="L806" s="109"/>
      <c r="M806" s="109"/>
      <c r="N806" s="113" t="s">
        <v>229</v>
      </c>
      <c r="O806" s="113" t="s">
        <v>229</v>
      </c>
      <c r="P806" s="113" t="s">
        <v>229</v>
      </c>
      <c r="Q806" s="113" t="s">
        <v>229</v>
      </c>
      <c r="R806" s="113" t="s">
        <v>229</v>
      </c>
      <c r="S806" s="113" t="s">
        <v>229</v>
      </c>
      <c r="T806" s="114" t="s">
        <v>229</v>
      </c>
      <c r="U806" s="109" t="s">
        <v>229</v>
      </c>
      <c r="V806" s="112" t="s">
        <v>229</v>
      </c>
      <c r="W806" s="111" t="s">
        <v>229</v>
      </c>
      <c r="X806" s="112" t="s">
        <v>229</v>
      </c>
      <c r="Y806" s="114" t="s">
        <v>229</v>
      </c>
      <c r="Z806" s="111" t="s">
        <v>229</v>
      </c>
    </row>
    <row r="807" ht="15.75" customHeight="1">
      <c r="A807" s="109"/>
      <c r="B807" s="110"/>
      <c r="C807" s="110"/>
      <c r="D807" s="109"/>
      <c r="E807" s="109"/>
      <c r="F807" s="109"/>
      <c r="G807" s="111"/>
      <c r="H807" s="111"/>
      <c r="I807" s="112"/>
      <c r="J807" s="112"/>
      <c r="K807" s="113"/>
      <c r="L807" s="109"/>
      <c r="M807" s="109"/>
      <c r="N807" s="113" t="s">
        <v>229</v>
      </c>
      <c r="O807" s="113" t="s">
        <v>229</v>
      </c>
      <c r="P807" s="113" t="s">
        <v>229</v>
      </c>
      <c r="Q807" s="113" t="s">
        <v>229</v>
      </c>
      <c r="R807" s="113" t="s">
        <v>229</v>
      </c>
      <c r="S807" s="113" t="s">
        <v>229</v>
      </c>
      <c r="T807" s="114" t="s">
        <v>229</v>
      </c>
      <c r="U807" s="109" t="s">
        <v>229</v>
      </c>
      <c r="V807" s="112" t="s">
        <v>229</v>
      </c>
      <c r="W807" s="111" t="s">
        <v>229</v>
      </c>
      <c r="X807" s="112" t="s">
        <v>229</v>
      </c>
      <c r="Y807" s="114" t="s">
        <v>229</v>
      </c>
      <c r="Z807" s="111" t="s">
        <v>229</v>
      </c>
    </row>
    <row r="808" ht="15.75" customHeight="1">
      <c r="A808" s="109"/>
      <c r="B808" s="110"/>
      <c r="C808" s="110"/>
      <c r="D808" s="109"/>
      <c r="E808" s="109"/>
      <c r="F808" s="109"/>
      <c r="G808" s="111"/>
      <c r="H808" s="111"/>
      <c r="I808" s="112"/>
      <c r="J808" s="112"/>
      <c r="K808" s="113"/>
      <c r="L808" s="109"/>
      <c r="M808" s="109"/>
      <c r="N808" s="113" t="s">
        <v>229</v>
      </c>
      <c r="O808" s="113" t="s">
        <v>229</v>
      </c>
      <c r="P808" s="113" t="s">
        <v>229</v>
      </c>
      <c r="Q808" s="113" t="s">
        <v>229</v>
      </c>
      <c r="R808" s="113" t="s">
        <v>229</v>
      </c>
      <c r="S808" s="113" t="s">
        <v>229</v>
      </c>
      <c r="T808" s="114" t="s">
        <v>229</v>
      </c>
      <c r="U808" s="109" t="s">
        <v>229</v>
      </c>
      <c r="V808" s="112" t="s">
        <v>229</v>
      </c>
      <c r="W808" s="111" t="s">
        <v>229</v>
      </c>
      <c r="X808" s="112" t="s">
        <v>229</v>
      </c>
      <c r="Y808" s="114" t="s">
        <v>229</v>
      </c>
      <c r="Z808" s="111" t="s">
        <v>229</v>
      </c>
    </row>
    <row r="809" ht="15.75" customHeight="1">
      <c r="A809" s="109"/>
      <c r="B809" s="110"/>
      <c r="C809" s="110"/>
      <c r="D809" s="109"/>
      <c r="E809" s="109"/>
      <c r="F809" s="109"/>
      <c r="G809" s="111"/>
      <c r="H809" s="111"/>
      <c r="I809" s="112"/>
      <c r="J809" s="112"/>
      <c r="K809" s="113"/>
      <c r="L809" s="109"/>
      <c r="M809" s="109"/>
      <c r="N809" s="113" t="s">
        <v>229</v>
      </c>
      <c r="O809" s="113" t="s">
        <v>229</v>
      </c>
      <c r="P809" s="113" t="s">
        <v>229</v>
      </c>
      <c r="Q809" s="113" t="s">
        <v>229</v>
      </c>
      <c r="R809" s="113" t="s">
        <v>229</v>
      </c>
      <c r="S809" s="113" t="s">
        <v>229</v>
      </c>
      <c r="T809" s="114" t="s">
        <v>229</v>
      </c>
      <c r="U809" s="109" t="s">
        <v>229</v>
      </c>
      <c r="V809" s="112" t="s">
        <v>229</v>
      </c>
      <c r="W809" s="111" t="s">
        <v>229</v>
      </c>
      <c r="X809" s="112" t="s">
        <v>229</v>
      </c>
      <c r="Y809" s="114" t="s">
        <v>229</v>
      </c>
      <c r="Z809" s="111" t="s">
        <v>229</v>
      </c>
    </row>
    <row r="810" ht="15.75" customHeight="1">
      <c r="A810" s="109"/>
      <c r="B810" s="110"/>
      <c r="C810" s="110"/>
      <c r="D810" s="109"/>
      <c r="E810" s="109"/>
      <c r="F810" s="109"/>
      <c r="G810" s="111"/>
      <c r="H810" s="111"/>
      <c r="I810" s="112"/>
      <c r="J810" s="112"/>
      <c r="K810" s="113"/>
      <c r="L810" s="109"/>
      <c r="M810" s="109"/>
      <c r="N810" s="113" t="s">
        <v>229</v>
      </c>
      <c r="O810" s="113" t="s">
        <v>229</v>
      </c>
      <c r="P810" s="113" t="s">
        <v>229</v>
      </c>
      <c r="Q810" s="113" t="s">
        <v>229</v>
      </c>
      <c r="R810" s="113" t="s">
        <v>229</v>
      </c>
      <c r="S810" s="113" t="s">
        <v>229</v>
      </c>
      <c r="T810" s="114" t="s">
        <v>229</v>
      </c>
      <c r="U810" s="109" t="s">
        <v>229</v>
      </c>
      <c r="V810" s="112" t="s">
        <v>229</v>
      </c>
      <c r="W810" s="111" t="s">
        <v>229</v>
      </c>
      <c r="X810" s="112" t="s">
        <v>229</v>
      </c>
      <c r="Y810" s="114" t="s">
        <v>229</v>
      </c>
      <c r="Z810" s="111" t="s">
        <v>229</v>
      </c>
    </row>
    <row r="811" ht="15.75" customHeight="1">
      <c r="A811" s="109"/>
      <c r="B811" s="110"/>
      <c r="C811" s="110"/>
      <c r="D811" s="109"/>
      <c r="E811" s="109"/>
      <c r="F811" s="109"/>
      <c r="G811" s="111"/>
      <c r="H811" s="111"/>
      <c r="I811" s="112"/>
      <c r="J811" s="112"/>
      <c r="K811" s="113"/>
      <c r="L811" s="109"/>
      <c r="M811" s="109"/>
      <c r="N811" s="113" t="s">
        <v>229</v>
      </c>
      <c r="O811" s="113" t="s">
        <v>229</v>
      </c>
      <c r="P811" s="113" t="s">
        <v>229</v>
      </c>
      <c r="Q811" s="113" t="s">
        <v>229</v>
      </c>
      <c r="R811" s="113" t="s">
        <v>229</v>
      </c>
      <c r="S811" s="113" t="s">
        <v>229</v>
      </c>
      <c r="T811" s="114" t="s">
        <v>229</v>
      </c>
      <c r="U811" s="109" t="s">
        <v>229</v>
      </c>
      <c r="V811" s="112" t="s">
        <v>229</v>
      </c>
      <c r="W811" s="111" t="s">
        <v>229</v>
      </c>
      <c r="X811" s="112" t="s">
        <v>229</v>
      </c>
      <c r="Y811" s="114" t="s">
        <v>229</v>
      </c>
      <c r="Z811" s="111" t="s">
        <v>229</v>
      </c>
    </row>
    <row r="812" ht="15.75" customHeight="1">
      <c r="A812" s="109"/>
      <c r="B812" s="110"/>
      <c r="C812" s="110"/>
      <c r="D812" s="109"/>
      <c r="E812" s="109"/>
      <c r="F812" s="109"/>
      <c r="G812" s="111"/>
      <c r="H812" s="111"/>
      <c r="I812" s="112"/>
      <c r="J812" s="112"/>
      <c r="K812" s="113"/>
      <c r="L812" s="109"/>
      <c r="M812" s="109"/>
      <c r="N812" s="113" t="s">
        <v>229</v>
      </c>
      <c r="O812" s="113" t="s">
        <v>229</v>
      </c>
      <c r="P812" s="113" t="s">
        <v>229</v>
      </c>
      <c r="Q812" s="113" t="s">
        <v>229</v>
      </c>
      <c r="R812" s="113" t="s">
        <v>229</v>
      </c>
      <c r="S812" s="113" t="s">
        <v>229</v>
      </c>
      <c r="T812" s="114" t="s">
        <v>229</v>
      </c>
      <c r="U812" s="109" t="s">
        <v>229</v>
      </c>
      <c r="V812" s="112" t="s">
        <v>229</v>
      </c>
      <c r="W812" s="111" t="s">
        <v>229</v>
      </c>
      <c r="X812" s="112" t="s">
        <v>229</v>
      </c>
      <c r="Y812" s="114" t="s">
        <v>229</v>
      </c>
      <c r="Z812" s="111" t="s">
        <v>229</v>
      </c>
    </row>
    <row r="813" ht="15.75" customHeight="1">
      <c r="A813" s="109"/>
      <c r="B813" s="110"/>
      <c r="C813" s="110"/>
      <c r="D813" s="109"/>
      <c r="E813" s="109"/>
      <c r="F813" s="109"/>
      <c r="G813" s="111"/>
      <c r="H813" s="111"/>
      <c r="I813" s="112"/>
      <c r="J813" s="112"/>
      <c r="K813" s="113"/>
      <c r="L813" s="109"/>
      <c r="M813" s="109"/>
      <c r="N813" s="113" t="s">
        <v>229</v>
      </c>
      <c r="O813" s="113" t="s">
        <v>229</v>
      </c>
      <c r="P813" s="113" t="s">
        <v>229</v>
      </c>
      <c r="Q813" s="113" t="s">
        <v>229</v>
      </c>
      <c r="R813" s="113" t="s">
        <v>229</v>
      </c>
      <c r="S813" s="113" t="s">
        <v>229</v>
      </c>
      <c r="T813" s="114" t="s">
        <v>229</v>
      </c>
      <c r="U813" s="109" t="s">
        <v>229</v>
      </c>
      <c r="V813" s="112" t="s">
        <v>229</v>
      </c>
      <c r="W813" s="111" t="s">
        <v>229</v>
      </c>
      <c r="X813" s="112" t="s">
        <v>229</v>
      </c>
      <c r="Y813" s="114" t="s">
        <v>229</v>
      </c>
      <c r="Z813" s="111" t="s">
        <v>229</v>
      </c>
    </row>
    <row r="814" ht="15.75" customHeight="1">
      <c r="A814" s="109"/>
      <c r="B814" s="110"/>
      <c r="C814" s="110"/>
      <c r="D814" s="109"/>
      <c r="E814" s="109"/>
      <c r="F814" s="109"/>
      <c r="G814" s="111"/>
      <c r="H814" s="111"/>
      <c r="I814" s="112"/>
      <c r="J814" s="112"/>
      <c r="K814" s="113"/>
      <c r="L814" s="109"/>
      <c r="M814" s="109"/>
      <c r="N814" s="113" t="s">
        <v>229</v>
      </c>
      <c r="O814" s="113" t="s">
        <v>229</v>
      </c>
      <c r="P814" s="113" t="s">
        <v>229</v>
      </c>
      <c r="Q814" s="113" t="s">
        <v>229</v>
      </c>
      <c r="R814" s="113" t="s">
        <v>229</v>
      </c>
      <c r="S814" s="113" t="s">
        <v>229</v>
      </c>
      <c r="T814" s="114" t="s">
        <v>229</v>
      </c>
      <c r="U814" s="109" t="s">
        <v>229</v>
      </c>
      <c r="V814" s="112" t="s">
        <v>229</v>
      </c>
      <c r="W814" s="111" t="s">
        <v>229</v>
      </c>
      <c r="X814" s="112" t="s">
        <v>229</v>
      </c>
      <c r="Y814" s="114" t="s">
        <v>229</v>
      </c>
      <c r="Z814" s="111" t="s">
        <v>229</v>
      </c>
    </row>
    <row r="815" ht="15.75" customHeight="1">
      <c r="A815" s="109"/>
      <c r="B815" s="110"/>
      <c r="C815" s="110"/>
      <c r="D815" s="109"/>
      <c r="E815" s="109"/>
      <c r="F815" s="109"/>
      <c r="G815" s="111"/>
      <c r="H815" s="111"/>
      <c r="I815" s="112"/>
      <c r="J815" s="112"/>
      <c r="K815" s="113"/>
      <c r="L815" s="109"/>
      <c r="M815" s="109"/>
      <c r="N815" s="113" t="s">
        <v>229</v>
      </c>
      <c r="O815" s="113" t="s">
        <v>229</v>
      </c>
      <c r="P815" s="113" t="s">
        <v>229</v>
      </c>
      <c r="Q815" s="113" t="s">
        <v>229</v>
      </c>
      <c r="R815" s="113" t="s">
        <v>229</v>
      </c>
      <c r="S815" s="113" t="s">
        <v>229</v>
      </c>
      <c r="T815" s="114" t="s">
        <v>229</v>
      </c>
      <c r="U815" s="109" t="s">
        <v>229</v>
      </c>
      <c r="V815" s="112" t="s">
        <v>229</v>
      </c>
      <c r="W815" s="111" t="s">
        <v>229</v>
      </c>
      <c r="X815" s="112" t="s">
        <v>229</v>
      </c>
      <c r="Y815" s="114" t="s">
        <v>229</v>
      </c>
      <c r="Z815" s="111" t="s">
        <v>229</v>
      </c>
    </row>
    <row r="816" ht="15.75" customHeight="1">
      <c r="A816" s="109"/>
      <c r="B816" s="110"/>
      <c r="C816" s="110"/>
      <c r="D816" s="109"/>
      <c r="E816" s="109"/>
      <c r="F816" s="109"/>
      <c r="G816" s="111"/>
      <c r="H816" s="111"/>
      <c r="I816" s="112"/>
      <c r="J816" s="112"/>
      <c r="K816" s="113"/>
      <c r="L816" s="109"/>
      <c r="M816" s="109"/>
      <c r="N816" s="113" t="s">
        <v>229</v>
      </c>
      <c r="O816" s="113" t="s">
        <v>229</v>
      </c>
      <c r="P816" s="113" t="s">
        <v>229</v>
      </c>
      <c r="Q816" s="113" t="s">
        <v>229</v>
      </c>
      <c r="R816" s="113" t="s">
        <v>229</v>
      </c>
      <c r="S816" s="113" t="s">
        <v>229</v>
      </c>
      <c r="T816" s="114" t="s">
        <v>229</v>
      </c>
      <c r="U816" s="109" t="s">
        <v>229</v>
      </c>
      <c r="V816" s="112" t="s">
        <v>229</v>
      </c>
      <c r="W816" s="111" t="s">
        <v>229</v>
      </c>
      <c r="X816" s="112" t="s">
        <v>229</v>
      </c>
      <c r="Y816" s="114" t="s">
        <v>229</v>
      </c>
      <c r="Z816" s="111" t="s">
        <v>229</v>
      </c>
    </row>
    <row r="817" ht="15.75" customHeight="1">
      <c r="A817" s="109"/>
      <c r="B817" s="110"/>
      <c r="C817" s="110"/>
      <c r="D817" s="109"/>
      <c r="E817" s="109"/>
      <c r="F817" s="109"/>
      <c r="G817" s="111"/>
      <c r="H817" s="111"/>
      <c r="I817" s="112"/>
      <c r="J817" s="112"/>
      <c r="K817" s="113"/>
      <c r="L817" s="109"/>
      <c r="M817" s="109"/>
      <c r="N817" s="113" t="s">
        <v>229</v>
      </c>
      <c r="O817" s="113" t="s">
        <v>229</v>
      </c>
      <c r="P817" s="113" t="s">
        <v>229</v>
      </c>
      <c r="Q817" s="113" t="s">
        <v>229</v>
      </c>
      <c r="R817" s="113" t="s">
        <v>229</v>
      </c>
      <c r="S817" s="113" t="s">
        <v>229</v>
      </c>
      <c r="T817" s="114" t="s">
        <v>229</v>
      </c>
      <c r="U817" s="109" t="s">
        <v>229</v>
      </c>
      <c r="V817" s="112" t="s">
        <v>229</v>
      </c>
      <c r="W817" s="111" t="s">
        <v>229</v>
      </c>
      <c r="X817" s="112" t="s">
        <v>229</v>
      </c>
      <c r="Y817" s="114" t="s">
        <v>229</v>
      </c>
      <c r="Z817" s="111" t="s">
        <v>229</v>
      </c>
    </row>
    <row r="818" ht="15.75" customHeight="1">
      <c r="A818" s="109"/>
      <c r="B818" s="110"/>
      <c r="C818" s="110"/>
      <c r="D818" s="109"/>
      <c r="E818" s="109"/>
      <c r="F818" s="109"/>
      <c r="G818" s="111"/>
      <c r="H818" s="111"/>
      <c r="I818" s="112"/>
      <c r="J818" s="112"/>
      <c r="K818" s="113"/>
      <c r="L818" s="109"/>
      <c r="M818" s="109"/>
      <c r="N818" s="113" t="s">
        <v>229</v>
      </c>
      <c r="O818" s="113" t="s">
        <v>229</v>
      </c>
      <c r="P818" s="113" t="s">
        <v>229</v>
      </c>
      <c r="Q818" s="113" t="s">
        <v>229</v>
      </c>
      <c r="R818" s="113" t="s">
        <v>229</v>
      </c>
      <c r="S818" s="113" t="s">
        <v>229</v>
      </c>
      <c r="T818" s="114" t="s">
        <v>229</v>
      </c>
      <c r="U818" s="109" t="s">
        <v>229</v>
      </c>
      <c r="V818" s="112" t="s">
        <v>229</v>
      </c>
      <c r="W818" s="111" t="s">
        <v>229</v>
      </c>
      <c r="X818" s="112" t="s">
        <v>229</v>
      </c>
      <c r="Y818" s="114" t="s">
        <v>229</v>
      </c>
      <c r="Z818" s="111" t="s">
        <v>229</v>
      </c>
    </row>
    <row r="819" ht="15.75" customHeight="1">
      <c r="A819" s="109"/>
      <c r="B819" s="110"/>
      <c r="C819" s="110"/>
      <c r="D819" s="109"/>
      <c r="E819" s="109"/>
      <c r="F819" s="109"/>
      <c r="G819" s="111"/>
      <c r="H819" s="111"/>
      <c r="I819" s="112"/>
      <c r="J819" s="112"/>
      <c r="K819" s="113"/>
      <c r="L819" s="109"/>
      <c r="M819" s="109"/>
      <c r="N819" s="113" t="s">
        <v>229</v>
      </c>
      <c r="O819" s="113" t="s">
        <v>229</v>
      </c>
      <c r="P819" s="113" t="s">
        <v>229</v>
      </c>
      <c r="Q819" s="113" t="s">
        <v>229</v>
      </c>
      <c r="R819" s="113" t="s">
        <v>229</v>
      </c>
      <c r="S819" s="113" t="s">
        <v>229</v>
      </c>
      <c r="T819" s="114" t="s">
        <v>229</v>
      </c>
      <c r="U819" s="109" t="s">
        <v>229</v>
      </c>
      <c r="V819" s="112" t="s">
        <v>229</v>
      </c>
      <c r="W819" s="111" t="s">
        <v>229</v>
      </c>
      <c r="X819" s="112" t="s">
        <v>229</v>
      </c>
      <c r="Y819" s="114" t="s">
        <v>229</v>
      </c>
      <c r="Z819" s="111" t="s">
        <v>229</v>
      </c>
    </row>
    <row r="820" ht="15.75" customHeight="1">
      <c r="A820" s="109"/>
      <c r="B820" s="110"/>
      <c r="C820" s="110"/>
      <c r="D820" s="109"/>
      <c r="E820" s="109"/>
      <c r="F820" s="109"/>
      <c r="G820" s="111"/>
      <c r="H820" s="111"/>
      <c r="I820" s="112"/>
      <c r="J820" s="112"/>
      <c r="K820" s="113"/>
      <c r="L820" s="109"/>
      <c r="M820" s="109"/>
      <c r="N820" s="113" t="s">
        <v>229</v>
      </c>
      <c r="O820" s="113" t="s">
        <v>229</v>
      </c>
      <c r="P820" s="113" t="s">
        <v>229</v>
      </c>
      <c r="Q820" s="113" t="s">
        <v>229</v>
      </c>
      <c r="R820" s="113" t="s">
        <v>229</v>
      </c>
      <c r="S820" s="113" t="s">
        <v>229</v>
      </c>
      <c r="T820" s="114" t="s">
        <v>229</v>
      </c>
      <c r="U820" s="109" t="s">
        <v>229</v>
      </c>
      <c r="V820" s="112" t="s">
        <v>229</v>
      </c>
      <c r="W820" s="111" t="s">
        <v>229</v>
      </c>
      <c r="X820" s="112" t="s">
        <v>229</v>
      </c>
      <c r="Y820" s="114" t="s">
        <v>229</v>
      </c>
      <c r="Z820" s="111" t="s">
        <v>229</v>
      </c>
    </row>
    <row r="821" ht="15.75" customHeight="1">
      <c r="A821" s="109"/>
      <c r="B821" s="110"/>
      <c r="C821" s="110"/>
      <c r="D821" s="109"/>
      <c r="E821" s="109"/>
      <c r="F821" s="109"/>
      <c r="G821" s="111"/>
      <c r="H821" s="111"/>
      <c r="I821" s="112"/>
      <c r="J821" s="112"/>
      <c r="K821" s="113"/>
      <c r="L821" s="109"/>
      <c r="M821" s="109"/>
      <c r="N821" s="113" t="s">
        <v>229</v>
      </c>
      <c r="O821" s="113" t="s">
        <v>229</v>
      </c>
      <c r="P821" s="113" t="s">
        <v>229</v>
      </c>
      <c r="Q821" s="113" t="s">
        <v>229</v>
      </c>
      <c r="R821" s="113" t="s">
        <v>229</v>
      </c>
      <c r="S821" s="113" t="s">
        <v>229</v>
      </c>
      <c r="T821" s="114" t="s">
        <v>229</v>
      </c>
      <c r="U821" s="109" t="s">
        <v>229</v>
      </c>
      <c r="V821" s="112" t="s">
        <v>229</v>
      </c>
      <c r="W821" s="111" t="s">
        <v>229</v>
      </c>
      <c r="X821" s="112" t="s">
        <v>229</v>
      </c>
      <c r="Y821" s="114" t="s">
        <v>229</v>
      </c>
      <c r="Z821" s="111" t="s">
        <v>229</v>
      </c>
    </row>
    <row r="822" ht="15.75" customHeight="1">
      <c r="A822" s="109"/>
      <c r="B822" s="110"/>
      <c r="C822" s="110"/>
      <c r="D822" s="109"/>
      <c r="E822" s="109"/>
      <c r="F822" s="109"/>
      <c r="G822" s="111"/>
      <c r="H822" s="111"/>
      <c r="I822" s="112"/>
      <c r="J822" s="112"/>
      <c r="K822" s="113"/>
      <c r="L822" s="109"/>
      <c r="M822" s="109"/>
      <c r="N822" s="113" t="s">
        <v>229</v>
      </c>
      <c r="O822" s="113" t="s">
        <v>229</v>
      </c>
      <c r="P822" s="113" t="s">
        <v>229</v>
      </c>
      <c r="Q822" s="113" t="s">
        <v>229</v>
      </c>
      <c r="R822" s="113" t="s">
        <v>229</v>
      </c>
      <c r="S822" s="113" t="s">
        <v>229</v>
      </c>
      <c r="T822" s="114" t="s">
        <v>229</v>
      </c>
      <c r="U822" s="109" t="s">
        <v>229</v>
      </c>
      <c r="V822" s="112" t="s">
        <v>229</v>
      </c>
      <c r="W822" s="111" t="s">
        <v>229</v>
      </c>
      <c r="X822" s="112" t="s">
        <v>229</v>
      </c>
      <c r="Y822" s="114" t="s">
        <v>229</v>
      </c>
      <c r="Z822" s="111" t="s">
        <v>229</v>
      </c>
    </row>
    <row r="823" ht="15.75" customHeight="1">
      <c r="A823" s="109"/>
      <c r="B823" s="110"/>
      <c r="C823" s="110"/>
      <c r="D823" s="109"/>
      <c r="E823" s="109"/>
      <c r="F823" s="109"/>
      <c r="G823" s="111"/>
      <c r="H823" s="111"/>
      <c r="I823" s="112"/>
      <c r="J823" s="112"/>
      <c r="K823" s="113"/>
      <c r="L823" s="109"/>
      <c r="M823" s="109"/>
      <c r="N823" s="113" t="s">
        <v>229</v>
      </c>
      <c r="O823" s="113" t="s">
        <v>229</v>
      </c>
      <c r="P823" s="113" t="s">
        <v>229</v>
      </c>
      <c r="Q823" s="113" t="s">
        <v>229</v>
      </c>
      <c r="R823" s="113" t="s">
        <v>229</v>
      </c>
      <c r="S823" s="113" t="s">
        <v>229</v>
      </c>
      <c r="T823" s="114" t="s">
        <v>229</v>
      </c>
      <c r="U823" s="109" t="s">
        <v>229</v>
      </c>
      <c r="V823" s="112" t="s">
        <v>229</v>
      </c>
      <c r="W823" s="111" t="s">
        <v>229</v>
      </c>
      <c r="X823" s="112" t="s">
        <v>229</v>
      </c>
      <c r="Y823" s="114" t="s">
        <v>229</v>
      </c>
      <c r="Z823" s="111" t="s">
        <v>229</v>
      </c>
    </row>
    <row r="824" ht="15.75" customHeight="1">
      <c r="A824" s="109"/>
      <c r="B824" s="110"/>
      <c r="C824" s="110"/>
      <c r="D824" s="109"/>
      <c r="E824" s="109"/>
      <c r="F824" s="109"/>
      <c r="G824" s="111"/>
      <c r="H824" s="111"/>
      <c r="I824" s="112"/>
      <c r="J824" s="112"/>
      <c r="K824" s="113"/>
      <c r="L824" s="109"/>
      <c r="M824" s="109"/>
      <c r="N824" s="113" t="s">
        <v>229</v>
      </c>
      <c r="O824" s="113" t="s">
        <v>229</v>
      </c>
      <c r="P824" s="113" t="s">
        <v>229</v>
      </c>
      <c r="Q824" s="113" t="s">
        <v>229</v>
      </c>
      <c r="R824" s="113" t="s">
        <v>229</v>
      </c>
      <c r="S824" s="113" t="s">
        <v>229</v>
      </c>
      <c r="T824" s="114" t="s">
        <v>229</v>
      </c>
      <c r="U824" s="109" t="s">
        <v>229</v>
      </c>
      <c r="V824" s="112" t="s">
        <v>229</v>
      </c>
      <c r="W824" s="111" t="s">
        <v>229</v>
      </c>
      <c r="X824" s="112" t="s">
        <v>229</v>
      </c>
      <c r="Y824" s="114" t="s">
        <v>229</v>
      </c>
      <c r="Z824" s="111" t="s">
        <v>229</v>
      </c>
    </row>
    <row r="825" ht="15.75" customHeight="1">
      <c r="A825" s="109"/>
      <c r="B825" s="110"/>
      <c r="C825" s="110"/>
      <c r="D825" s="109"/>
      <c r="E825" s="109"/>
      <c r="F825" s="109"/>
      <c r="G825" s="111"/>
      <c r="H825" s="111"/>
      <c r="I825" s="112"/>
      <c r="J825" s="112"/>
      <c r="K825" s="113"/>
      <c r="L825" s="109"/>
      <c r="M825" s="109"/>
      <c r="N825" s="113" t="s">
        <v>229</v>
      </c>
      <c r="O825" s="113" t="s">
        <v>229</v>
      </c>
      <c r="P825" s="113" t="s">
        <v>229</v>
      </c>
      <c r="Q825" s="113" t="s">
        <v>229</v>
      </c>
      <c r="R825" s="113" t="s">
        <v>229</v>
      </c>
      <c r="S825" s="113" t="s">
        <v>229</v>
      </c>
      <c r="T825" s="114" t="s">
        <v>229</v>
      </c>
      <c r="U825" s="109" t="s">
        <v>229</v>
      </c>
      <c r="V825" s="112" t="s">
        <v>229</v>
      </c>
      <c r="W825" s="111" t="s">
        <v>229</v>
      </c>
      <c r="X825" s="112" t="s">
        <v>229</v>
      </c>
      <c r="Y825" s="114" t="s">
        <v>229</v>
      </c>
      <c r="Z825" s="111" t="s">
        <v>229</v>
      </c>
    </row>
    <row r="826" ht="15.75" customHeight="1">
      <c r="A826" s="109"/>
      <c r="B826" s="110"/>
      <c r="C826" s="110"/>
      <c r="D826" s="109"/>
      <c r="E826" s="109"/>
      <c r="F826" s="109"/>
      <c r="G826" s="111"/>
      <c r="H826" s="111"/>
      <c r="I826" s="112"/>
      <c r="J826" s="112"/>
      <c r="K826" s="113"/>
      <c r="L826" s="109"/>
      <c r="M826" s="109"/>
      <c r="N826" s="113" t="s">
        <v>229</v>
      </c>
      <c r="O826" s="113" t="s">
        <v>229</v>
      </c>
      <c r="P826" s="113" t="s">
        <v>229</v>
      </c>
      <c r="Q826" s="113" t="s">
        <v>229</v>
      </c>
      <c r="R826" s="113" t="s">
        <v>229</v>
      </c>
      <c r="S826" s="113" t="s">
        <v>229</v>
      </c>
      <c r="T826" s="114" t="s">
        <v>229</v>
      </c>
      <c r="U826" s="109" t="s">
        <v>229</v>
      </c>
      <c r="V826" s="112" t="s">
        <v>229</v>
      </c>
      <c r="W826" s="111" t="s">
        <v>229</v>
      </c>
      <c r="X826" s="112" t="s">
        <v>229</v>
      </c>
      <c r="Y826" s="114" t="s">
        <v>229</v>
      </c>
      <c r="Z826" s="111" t="s">
        <v>229</v>
      </c>
    </row>
    <row r="827" ht="15.75" customHeight="1">
      <c r="A827" s="109"/>
      <c r="B827" s="110"/>
      <c r="C827" s="110"/>
      <c r="D827" s="109"/>
      <c r="E827" s="109"/>
      <c r="F827" s="109"/>
      <c r="G827" s="111"/>
      <c r="H827" s="111"/>
      <c r="I827" s="112"/>
      <c r="J827" s="112"/>
      <c r="K827" s="113"/>
      <c r="L827" s="109"/>
      <c r="M827" s="109"/>
      <c r="N827" s="113" t="s">
        <v>229</v>
      </c>
      <c r="O827" s="113" t="s">
        <v>229</v>
      </c>
      <c r="P827" s="113" t="s">
        <v>229</v>
      </c>
      <c r="Q827" s="113" t="s">
        <v>229</v>
      </c>
      <c r="R827" s="113" t="s">
        <v>229</v>
      </c>
      <c r="S827" s="113" t="s">
        <v>229</v>
      </c>
      <c r="T827" s="114" t="s">
        <v>229</v>
      </c>
      <c r="U827" s="109" t="s">
        <v>229</v>
      </c>
      <c r="V827" s="112" t="s">
        <v>229</v>
      </c>
      <c r="W827" s="111" t="s">
        <v>229</v>
      </c>
      <c r="X827" s="112" t="s">
        <v>229</v>
      </c>
      <c r="Y827" s="114" t="s">
        <v>229</v>
      </c>
      <c r="Z827" s="111" t="s">
        <v>229</v>
      </c>
    </row>
    <row r="828" ht="15.75" customHeight="1">
      <c r="A828" s="109"/>
      <c r="B828" s="110"/>
      <c r="C828" s="110"/>
      <c r="D828" s="109"/>
      <c r="E828" s="109"/>
      <c r="F828" s="109"/>
      <c r="G828" s="111"/>
      <c r="H828" s="111"/>
      <c r="I828" s="112"/>
      <c r="J828" s="112"/>
      <c r="K828" s="113"/>
      <c r="L828" s="109"/>
      <c r="M828" s="109"/>
      <c r="N828" s="113" t="s">
        <v>229</v>
      </c>
      <c r="O828" s="113" t="s">
        <v>229</v>
      </c>
      <c r="P828" s="113" t="s">
        <v>229</v>
      </c>
      <c r="Q828" s="113" t="s">
        <v>229</v>
      </c>
      <c r="R828" s="113" t="s">
        <v>229</v>
      </c>
      <c r="S828" s="113" t="s">
        <v>229</v>
      </c>
      <c r="T828" s="114" t="s">
        <v>229</v>
      </c>
      <c r="U828" s="109" t="s">
        <v>229</v>
      </c>
      <c r="V828" s="112" t="s">
        <v>229</v>
      </c>
      <c r="W828" s="111" t="s">
        <v>229</v>
      </c>
      <c r="X828" s="112" t="s">
        <v>229</v>
      </c>
      <c r="Y828" s="114" t="s">
        <v>229</v>
      </c>
      <c r="Z828" s="111" t="s">
        <v>229</v>
      </c>
    </row>
    <row r="829" ht="15.75" customHeight="1">
      <c r="A829" s="109"/>
      <c r="B829" s="110"/>
      <c r="C829" s="110"/>
      <c r="D829" s="109"/>
      <c r="E829" s="109"/>
      <c r="F829" s="109"/>
      <c r="G829" s="111"/>
      <c r="H829" s="111"/>
      <c r="I829" s="112"/>
      <c r="J829" s="112"/>
      <c r="K829" s="113"/>
      <c r="L829" s="109"/>
      <c r="M829" s="109"/>
      <c r="N829" s="113" t="s">
        <v>229</v>
      </c>
      <c r="O829" s="113" t="s">
        <v>229</v>
      </c>
      <c r="P829" s="113" t="s">
        <v>229</v>
      </c>
      <c r="Q829" s="113" t="s">
        <v>229</v>
      </c>
      <c r="R829" s="113" t="s">
        <v>229</v>
      </c>
      <c r="S829" s="113" t="s">
        <v>229</v>
      </c>
      <c r="T829" s="114" t="s">
        <v>229</v>
      </c>
      <c r="U829" s="109" t="s">
        <v>229</v>
      </c>
      <c r="V829" s="112" t="s">
        <v>229</v>
      </c>
      <c r="W829" s="111" t="s">
        <v>229</v>
      </c>
      <c r="X829" s="112" t="s">
        <v>229</v>
      </c>
      <c r="Y829" s="114" t="s">
        <v>229</v>
      </c>
      <c r="Z829" s="111" t="s">
        <v>229</v>
      </c>
    </row>
    <row r="830" ht="15.75" customHeight="1">
      <c r="A830" s="109"/>
      <c r="B830" s="110"/>
      <c r="C830" s="110"/>
      <c r="D830" s="109"/>
      <c r="E830" s="109"/>
      <c r="F830" s="109"/>
      <c r="G830" s="111"/>
      <c r="H830" s="111"/>
      <c r="I830" s="112"/>
      <c r="J830" s="112"/>
      <c r="K830" s="113"/>
      <c r="L830" s="109"/>
      <c r="M830" s="109"/>
      <c r="N830" s="113" t="s">
        <v>229</v>
      </c>
      <c r="O830" s="113" t="s">
        <v>229</v>
      </c>
      <c r="P830" s="113" t="s">
        <v>229</v>
      </c>
      <c r="Q830" s="113" t="s">
        <v>229</v>
      </c>
      <c r="R830" s="113" t="s">
        <v>229</v>
      </c>
      <c r="S830" s="113" t="s">
        <v>229</v>
      </c>
      <c r="T830" s="114" t="s">
        <v>229</v>
      </c>
      <c r="U830" s="109" t="s">
        <v>229</v>
      </c>
      <c r="V830" s="112" t="s">
        <v>229</v>
      </c>
      <c r="W830" s="111" t="s">
        <v>229</v>
      </c>
      <c r="X830" s="112" t="s">
        <v>229</v>
      </c>
      <c r="Y830" s="114" t="s">
        <v>229</v>
      </c>
      <c r="Z830" s="111" t="s">
        <v>229</v>
      </c>
    </row>
    <row r="831" ht="15.75" customHeight="1">
      <c r="A831" s="109"/>
      <c r="B831" s="110"/>
      <c r="C831" s="110"/>
      <c r="D831" s="109"/>
      <c r="E831" s="109"/>
      <c r="F831" s="109"/>
      <c r="G831" s="111"/>
      <c r="H831" s="111"/>
      <c r="I831" s="112"/>
      <c r="J831" s="112"/>
      <c r="K831" s="113"/>
      <c r="L831" s="109"/>
      <c r="M831" s="109"/>
      <c r="N831" s="113" t="s">
        <v>229</v>
      </c>
      <c r="O831" s="113" t="s">
        <v>229</v>
      </c>
      <c r="P831" s="113" t="s">
        <v>229</v>
      </c>
      <c r="Q831" s="113" t="s">
        <v>229</v>
      </c>
      <c r="R831" s="113" t="s">
        <v>229</v>
      </c>
      <c r="S831" s="113" t="s">
        <v>229</v>
      </c>
      <c r="T831" s="114" t="s">
        <v>229</v>
      </c>
      <c r="U831" s="109" t="s">
        <v>229</v>
      </c>
      <c r="V831" s="112" t="s">
        <v>229</v>
      </c>
      <c r="W831" s="111" t="s">
        <v>229</v>
      </c>
      <c r="X831" s="112" t="s">
        <v>229</v>
      </c>
      <c r="Y831" s="114" t="s">
        <v>229</v>
      </c>
      <c r="Z831" s="111" t="s">
        <v>229</v>
      </c>
    </row>
    <row r="832" ht="15.75" customHeight="1">
      <c r="A832" s="109"/>
      <c r="B832" s="110"/>
      <c r="C832" s="110"/>
      <c r="D832" s="109"/>
      <c r="E832" s="109"/>
      <c r="F832" s="109"/>
      <c r="G832" s="111"/>
      <c r="H832" s="111"/>
      <c r="I832" s="112"/>
      <c r="J832" s="112"/>
      <c r="K832" s="113"/>
      <c r="L832" s="109"/>
      <c r="M832" s="109"/>
      <c r="N832" s="113" t="s">
        <v>229</v>
      </c>
      <c r="O832" s="113" t="s">
        <v>229</v>
      </c>
      <c r="P832" s="113" t="s">
        <v>229</v>
      </c>
      <c r="Q832" s="113" t="s">
        <v>229</v>
      </c>
      <c r="R832" s="113" t="s">
        <v>229</v>
      </c>
      <c r="S832" s="113" t="s">
        <v>229</v>
      </c>
      <c r="T832" s="114" t="s">
        <v>229</v>
      </c>
      <c r="U832" s="109" t="s">
        <v>229</v>
      </c>
      <c r="V832" s="112" t="s">
        <v>229</v>
      </c>
      <c r="W832" s="111" t="s">
        <v>229</v>
      </c>
      <c r="X832" s="112" t="s">
        <v>229</v>
      </c>
      <c r="Y832" s="114" t="s">
        <v>229</v>
      </c>
      <c r="Z832" s="111" t="s">
        <v>229</v>
      </c>
    </row>
    <row r="833" ht="15.75" customHeight="1">
      <c r="A833" s="109"/>
      <c r="B833" s="110"/>
      <c r="C833" s="110"/>
      <c r="D833" s="109"/>
      <c r="E833" s="109"/>
      <c r="F833" s="109"/>
      <c r="G833" s="111"/>
      <c r="H833" s="111"/>
      <c r="I833" s="112"/>
      <c r="J833" s="112"/>
      <c r="K833" s="113"/>
      <c r="L833" s="109"/>
      <c r="M833" s="109"/>
      <c r="N833" s="113" t="s">
        <v>229</v>
      </c>
      <c r="O833" s="113" t="s">
        <v>229</v>
      </c>
      <c r="P833" s="113" t="s">
        <v>229</v>
      </c>
      <c r="Q833" s="113" t="s">
        <v>229</v>
      </c>
      <c r="R833" s="113" t="s">
        <v>229</v>
      </c>
      <c r="S833" s="113" t="s">
        <v>229</v>
      </c>
      <c r="T833" s="114" t="s">
        <v>229</v>
      </c>
      <c r="U833" s="109" t="s">
        <v>229</v>
      </c>
      <c r="V833" s="112" t="s">
        <v>229</v>
      </c>
      <c r="W833" s="111" t="s">
        <v>229</v>
      </c>
      <c r="X833" s="112" t="s">
        <v>229</v>
      </c>
      <c r="Y833" s="114" t="s">
        <v>229</v>
      </c>
      <c r="Z833" s="111" t="s">
        <v>229</v>
      </c>
    </row>
    <row r="834" ht="15.75" customHeight="1">
      <c r="A834" s="109"/>
      <c r="B834" s="110"/>
      <c r="C834" s="110"/>
      <c r="D834" s="109"/>
      <c r="E834" s="109"/>
      <c r="F834" s="109"/>
      <c r="G834" s="111"/>
      <c r="H834" s="111"/>
      <c r="I834" s="112"/>
      <c r="J834" s="112"/>
      <c r="K834" s="113"/>
      <c r="L834" s="109"/>
      <c r="M834" s="109"/>
      <c r="N834" s="113" t="s">
        <v>229</v>
      </c>
      <c r="O834" s="113" t="s">
        <v>229</v>
      </c>
      <c r="P834" s="113" t="s">
        <v>229</v>
      </c>
      <c r="Q834" s="113" t="s">
        <v>229</v>
      </c>
      <c r="R834" s="113" t="s">
        <v>229</v>
      </c>
      <c r="S834" s="113" t="s">
        <v>229</v>
      </c>
      <c r="T834" s="114" t="s">
        <v>229</v>
      </c>
      <c r="U834" s="109" t="s">
        <v>229</v>
      </c>
      <c r="V834" s="112" t="s">
        <v>229</v>
      </c>
      <c r="W834" s="111" t="s">
        <v>229</v>
      </c>
      <c r="X834" s="112" t="s">
        <v>229</v>
      </c>
      <c r="Y834" s="114" t="s">
        <v>229</v>
      </c>
      <c r="Z834" s="111" t="s">
        <v>229</v>
      </c>
    </row>
    <row r="835" ht="15.75" customHeight="1">
      <c r="A835" s="109"/>
      <c r="B835" s="110"/>
      <c r="C835" s="110"/>
      <c r="D835" s="109"/>
      <c r="E835" s="109"/>
      <c r="F835" s="109"/>
      <c r="G835" s="111"/>
      <c r="H835" s="111"/>
      <c r="I835" s="112"/>
      <c r="J835" s="112"/>
      <c r="K835" s="113"/>
      <c r="L835" s="109"/>
      <c r="M835" s="109"/>
      <c r="N835" s="113" t="s">
        <v>229</v>
      </c>
      <c r="O835" s="113" t="s">
        <v>229</v>
      </c>
      <c r="P835" s="113" t="s">
        <v>229</v>
      </c>
      <c r="Q835" s="113" t="s">
        <v>229</v>
      </c>
      <c r="R835" s="113" t="s">
        <v>229</v>
      </c>
      <c r="S835" s="113" t="s">
        <v>229</v>
      </c>
      <c r="T835" s="114" t="s">
        <v>229</v>
      </c>
      <c r="U835" s="109" t="s">
        <v>229</v>
      </c>
      <c r="V835" s="112" t="s">
        <v>229</v>
      </c>
      <c r="W835" s="111" t="s">
        <v>229</v>
      </c>
      <c r="X835" s="112" t="s">
        <v>229</v>
      </c>
      <c r="Y835" s="114" t="s">
        <v>229</v>
      </c>
      <c r="Z835" s="111" t="s">
        <v>229</v>
      </c>
    </row>
    <row r="836" ht="15.75" customHeight="1">
      <c r="A836" s="109"/>
      <c r="B836" s="110"/>
      <c r="C836" s="110"/>
      <c r="D836" s="109"/>
      <c r="E836" s="109"/>
      <c r="F836" s="109"/>
      <c r="G836" s="111"/>
      <c r="H836" s="111"/>
      <c r="I836" s="112"/>
      <c r="J836" s="112"/>
      <c r="K836" s="113"/>
      <c r="L836" s="109"/>
      <c r="M836" s="109"/>
      <c r="N836" s="113" t="s">
        <v>229</v>
      </c>
      <c r="O836" s="113" t="s">
        <v>229</v>
      </c>
      <c r="P836" s="113" t="s">
        <v>229</v>
      </c>
      <c r="Q836" s="113" t="s">
        <v>229</v>
      </c>
      <c r="R836" s="113" t="s">
        <v>229</v>
      </c>
      <c r="S836" s="113" t="s">
        <v>229</v>
      </c>
      <c r="T836" s="114" t="s">
        <v>229</v>
      </c>
      <c r="U836" s="109" t="s">
        <v>229</v>
      </c>
      <c r="V836" s="112" t="s">
        <v>229</v>
      </c>
      <c r="W836" s="111" t="s">
        <v>229</v>
      </c>
      <c r="X836" s="112" t="s">
        <v>229</v>
      </c>
      <c r="Y836" s="114" t="s">
        <v>229</v>
      </c>
      <c r="Z836" s="111" t="s">
        <v>229</v>
      </c>
    </row>
    <row r="837" ht="15.75" customHeight="1">
      <c r="A837" s="109"/>
      <c r="B837" s="110"/>
      <c r="C837" s="110"/>
      <c r="D837" s="109"/>
      <c r="E837" s="109"/>
      <c r="F837" s="109"/>
      <c r="G837" s="111"/>
      <c r="H837" s="111"/>
      <c r="I837" s="112"/>
      <c r="J837" s="112"/>
      <c r="K837" s="113"/>
      <c r="L837" s="109"/>
      <c r="M837" s="109"/>
      <c r="N837" s="113" t="s">
        <v>229</v>
      </c>
      <c r="O837" s="113" t="s">
        <v>229</v>
      </c>
      <c r="P837" s="113" t="s">
        <v>229</v>
      </c>
      <c r="Q837" s="113" t="s">
        <v>229</v>
      </c>
      <c r="R837" s="113" t="s">
        <v>229</v>
      </c>
      <c r="S837" s="113" t="s">
        <v>229</v>
      </c>
      <c r="T837" s="114" t="s">
        <v>229</v>
      </c>
      <c r="U837" s="109" t="s">
        <v>229</v>
      </c>
      <c r="V837" s="112" t="s">
        <v>229</v>
      </c>
      <c r="W837" s="111" t="s">
        <v>229</v>
      </c>
      <c r="X837" s="112" t="s">
        <v>229</v>
      </c>
      <c r="Y837" s="114" t="s">
        <v>229</v>
      </c>
      <c r="Z837" s="111" t="s">
        <v>229</v>
      </c>
    </row>
    <row r="838" ht="15.75" customHeight="1">
      <c r="A838" s="109"/>
      <c r="B838" s="110"/>
      <c r="C838" s="110"/>
      <c r="D838" s="109"/>
      <c r="E838" s="109"/>
      <c r="F838" s="109"/>
      <c r="G838" s="111"/>
      <c r="H838" s="111"/>
      <c r="I838" s="112"/>
      <c r="J838" s="112"/>
      <c r="K838" s="113"/>
      <c r="L838" s="109"/>
      <c r="M838" s="109"/>
      <c r="N838" s="113" t="s">
        <v>229</v>
      </c>
      <c r="O838" s="113" t="s">
        <v>229</v>
      </c>
      <c r="P838" s="113" t="s">
        <v>229</v>
      </c>
      <c r="Q838" s="113" t="s">
        <v>229</v>
      </c>
      <c r="R838" s="113" t="s">
        <v>229</v>
      </c>
      <c r="S838" s="113" t="s">
        <v>229</v>
      </c>
      <c r="T838" s="114" t="s">
        <v>229</v>
      </c>
      <c r="U838" s="109" t="s">
        <v>229</v>
      </c>
      <c r="V838" s="112" t="s">
        <v>229</v>
      </c>
      <c r="W838" s="111" t="s">
        <v>229</v>
      </c>
      <c r="X838" s="112" t="s">
        <v>229</v>
      </c>
      <c r="Y838" s="114" t="s">
        <v>229</v>
      </c>
      <c r="Z838" s="111" t="s">
        <v>229</v>
      </c>
    </row>
    <row r="839" ht="15.75" customHeight="1">
      <c r="A839" s="109"/>
      <c r="B839" s="110"/>
      <c r="C839" s="110"/>
      <c r="D839" s="109"/>
      <c r="E839" s="109"/>
      <c r="F839" s="109"/>
      <c r="G839" s="111"/>
      <c r="H839" s="111"/>
      <c r="I839" s="112"/>
      <c r="J839" s="112"/>
      <c r="K839" s="113"/>
      <c r="L839" s="109"/>
      <c r="M839" s="109"/>
      <c r="N839" s="113" t="s">
        <v>229</v>
      </c>
      <c r="O839" s="113" t="s">
        <v>229</v>
      </c>
      <c r="P839" s="113" t="s">
        <v>229</v>
      </c>
      <c r="Q839" s="113" t="s">
        <v>229</v>
      </c>
      <c r="R839" s="113" t="s">
        <v>229</v>
      </c>
      <c r="S839" s="113" t="s">
        <v>229</v>
      </c>
      <c r="T839" s="114" t="s">
        <v>229</v>
      </c>
      <c r="U839" s="109" t="s">
        <v>229</v>
      </c>
      <c r="V839" s="112" t="s">
        <v>229</v>
      </c>
      <c r="W839" s="111" t="s">
        <v>229</v>
      </c>
      <c r="X839" s="112" t="s">
        <v>229</v>
      </c>
      <c r="Y839" s="114" t="s">
        <v>229</v>
      </c>
      <c r="Z839" s="111" t="s">
        <v>229</v>
      </c>
    </row>
    <row r="840" ht="15.75" customHeight="1">
      <c r="A840" s="109"/>
      <c r="B840" s="110"/>
      <c r="C840" s="110"/>
      <c r="D840" s="109"/>
      <c r="E840" s="109"/>
      <c r="F840" s="109"/>
      <c r="G840" s="111"/>
      <c r="H840" s="111"/>
      <c r="I840" s="112"/>
      <c r="J840" s="112"/>
      <c r="K840" s="113"/>
      <c r="L840" s="109"/>
      <c r="M840" s="109"/>
      <c r="N840" s="113" t="s">
        <v>229</v>
      </c>
      <c r="O840" s="113" t="s">
        <v>229</v>
      </c>
      <c r="P840" s="113" t="s">
        <v>229</v>
      </c>
      <c r="Q840" s="113" t="s">
        <v>229</v>
      </c>
      <c r="R840" s="113" t="s">
        <v>229</v>
      </c>
      <c r="S840" s="113" t="s">
        <v>229</v>
      </c>
      <c r="T840" s="114" t="s">
        <v>229</v>
      </c>
      <c r="U840" s="109" t="s">
        <v>229</v>
      </c>
      <c r="V840" s="112" t="s">
        <v>229</v>
      </c>
      <c r="W840" s="111" t="s">
        <v>229</v>
      </c>
      <c r="X840" s="112" t="s">
        <v>229</v>
      </c>
      <c r="Y840" s="114" t="s">
        <v>229</v>
      </c>
      <c r="Z840" s="111" t="s">
        <v>229</v>
      </c>
    </row>
    <row r="841" ht="15.75" customHeight="1">
      <c r="A841" s="109"/>
      <c r="B841" s="110"/>
      <c r="C841" s="110"/>
      <c r="D841" s="109"/>
      <c r="E841" s="109"/>
      <c r="F841" s="109"/>
      <c r="G841" s="111"/>
      <c r="H841" s="111"/>
      <c r="I841" s="112"/>
      <c r="J841" s="112"/>
      <c r="K841" s="113"/>
      <c r="L841" s="109"/>
      <c r="M841" s="109"/>
      <c r="N841" s="113" t="s">
        <v>229</v>
      </c>
      <c r="O841" s="113" t="s">
        <v>229</v>
      </c>
      <c r="P841" s="113" t="s">
        <v>229</v>
      </c>
      <c r="Q841" s="113" t="s">
        <v>229</v>
      </c>
      <c r="R841" s="113" t="s">
        <v>229</v>
      </c>
      <c r="S841" s="113" t="s">
        <v>229</v>
      </c>
      <c r="T841" s="114" t="s">
        <v>229</v>
      </c>
      <c r="U841" s="109" t="s">
        <v>229</v>
      </c>
      <c r="V841" s="112" t="s">
        <v>229</v>
      </c>
      <c r="W841" s="111" t="s">
        <v>229</v>
      </c>
      <c r="X841" s="112" t="s">
        <v>229</v>
      </c>
      <c r="Y841" s="114" t="s">
        <v>229</v>
      </c>
      <c r="Z841" s="111" t="s">
        <v>229</v>
      </c>
    </row>
    <row r="842" ht="15.75" customHeight="1">
      <c r="A842" s="109"/>
      <c r="B842" s="110"/>
      <c r="C842" s="110"/>
      <c r="D842" s="109"/>
      <c r="E842" s="109"/>
      <c r="F842" s="109"/>
      <c r="G842" s="111"/>
      <c r="H842" s="111"/>
      <c r="I842" s="112"/>
      <c r="J842" s="112"/>
      <c r="K842" s="113"/>
      <c r="L842" s="109"/>
      <c r="M842" s="109"/>
      <c r="N842" s="113" t="s">
        <v>229</v>
      </c>
      <c r="O842" s="113" t="s">
        <v>229</v>
      </c>
      <c r="P842" s="113" t="s">
        <v>229</v>
      </c>
      <c r="Q842" s="113" t="s">
        <v>229</v>
      </c>
      <c r="R842" s="113" t="s">
        <v>229</v>
      </c>
      <c r="S842" s="113" t="s">
        <v>229</v>
      </c>
      <c r="T842" s="114" t="s">
        <v>229</v>
      </c>
      <c r="U842" s="109" t="s">
        <v>229</v>
      </c>
      <c r="V842" s="112" t="s">
        <v>229</v>
      </c>
      <c r="W842" s="111" t="s">
        <v>229</v>
      </c>
      <c r="X842" s="112" t="s">
        <v>229</v>
      </c>
      <c r="Y842" s="114" t="s">
        <v>229</v>
      </c>
      <c r="Z842" s="111" t="s">
        <v>229</v>
      </c>
    </row>
    <row r="843" ht="15.75" customHeight="1">
      <c r="A843" s="109"/>
      <c r="B843" s="110"/>
      <c r="C843" s="110"/>
      <c r="D843" s="109"/>
      <c r="E843" s="109"/>
      <c r="F843" s="109"/>
      <c r="G843" s="111"/>
      <c r="H843" s="111"/>
      <c r="I843" s="112"/>
      <c r="J843" s="112"/>
      <c r="K843" s="113"/>
      <c r="L843" s="109"/>
      <c r="M843" s="109"/>
      <c r="N843" s="113" t="s">
        <v>229</v>
      </c>
      <c r="O843" s="113" t="s">
        <v>229</v>
      </c>
      <c r="P843" s="113" t="s">
        <v>229</v>
      </c>
      <c r="Q843" s="113" t="s">
        <v>229</v>
      </c>
      <c r="R843" s="113" t="s">
        <v>229</v>
      </c>
      <c r="S843" s="113" t="s">
        <v>229</v>
      </c>
      <c r="T843" s="114" t="s">
        <v>229</v>
      </c>
      <c r="U843" s="109" t="s">
        <v>229</v>
      </c>
      <c r="V843" s="112" t="s">
        <v>229</v>
      </c>
      <c r="W843" s="111" t="s">
        <v>229</v>
      </c>
      <c r="X843" s="112" t="s">
        <v>229</v>
      </c>
      <c r="Y843" s="114" t="s">
        <v>229</v>
      </c>
      <c r="Z843" s="111" t="s">
        <v>229</v>
      </c>
    </row>
    <row r="844" ht="15.75" customHeight="1">
      <c r="A844" s="109"/>
      <c r="B844" s="110"/>
      <c r="C844" s="110"/>
      <c r="D844" s="109"/>
      <c r="E844" s="109"/>
      <c r="F844" s="109"/>
      <c r="G844" s="111"/>
      <c r="H844" s="111"/>
      <c r="I844" s="112"/>
      <c r="J844" s="112"/>
      <c r="K844" s="113"/>
      <c r="L844" s="109"/>
      <c r="M844" s="109"/>
      <c r="N844" s="113" t="s">
        <v>229</v>
      </c>
      <c r="O844" s="113" t="s">
        <v>229</v>
      </c>
      <c r="P844" s="113" t="s">
        <v>229</v>
      </c>
      <c r="Q844" s="113" t="s">
        <v>229</v>
      </c>
      <c r="R844" s="113" t="s">
        <v>229</v>
      </c>
      <c r="S844" s="113" t="s">
        <v>229</v>
      </c>
      <c r="T844" s="114" t="s">
        <v>229</v>
      </c>
      <c r="U844" s="109" t="s">
        <v>229</v>
      </c>
      <c r="V844" s="112" t="s">
        <v>229</v>
      </c>
      <c r="W844" s="111" t="s">
        <v>229</v>
      </c>
      <c r="X844" s="112" t="s">
        <v>229</v>
      </c>
      <c r="Y844" s="114" t="s">
        <v>229</v>
      </c>
      <c r="Z844" s="111" t="s">
        <v>229</v>
      </c>
    </row>
    <row r="845" ht="15.75" customHeight="1">
      <c r="A845" s="109"/>
      <c r="B845" s="110"/>
      <c r="C845" s="110"/>
      <c r="D845" s="109"/>
      <c r="E845" s="109"/>
      <c r="F845" s="109"/>
      <c r="G845" s="111"/>
      <c r="H845" s="111"/>
      <c r="I845" s="112"/>
      <c r="J845" s="112"/>
      <c r="K845" s="113"/>
      <c r="L845" s="109"/>
      <c r="M845" s="109"/>
      <c r="N845" s="113" t="s">
        <v>229</v>
      </c>
      <c r="O845" s="113" t="s">
        <v>229</v>
      </c>
      <c r="P845" s="113" t="s">
        <v>229</v>
      </c>
      <c r="Q845" s="113" t="s">
        <v>229</v>
      </c>
      <c r="R845" s="113" t="s">
        <v>229</v>
      </c>
      <c r="S845" s="113" t="s">
        <v>229</v>
      </c>
      <c r="T845" s="114" t="s">
        <v>229</v>
      </c>
      <c r="U845" s="109" t="s">
        <v>229</v>
      </c>
      <c r="V845" s="112" t="s">
        <v>229</v>
      </c>
      <c r="W845" s="111" t="s">
        <v>229</v>
      </c>
      <c r="X845" s="112" t="s">
        <v>229</v>
      </c>
      <c r="Y845" s="114" t="s">
        <v>229</v>
      </c>
      <c r="Z845" s="111" t="s">
        <v>229</v>
      </c>
    </row>
    <row r="846" ht="15.75" customHeight="1">
      <c r="A846" s="109"/>
      <c r="B846" s="110"/>
      <c r="C846" s="110"/>
      <c r="D846" s="109"/>
      <c r="E846" s="109"/>
      <c r="F846" s="109"/>
      <c r="G846" s="111"/>
      <c r="H846" s="111"/>
      <c r="I846" s="112"/>
      <c r="J846" s="112"/>
      <c r="K846" s="113"/>
      <c r="L846" s="109"/>
      <c r="M846" s="109"/>
      <c r="N846" s="113" t="s">
        <v>229</v>
      </c>
      <c r="O846" s="113" t="s">
        <v>229</v>
      </c>
      <c r="P846" s="113" t="s">
        <v>229</v>
      </c>
      <c r="Q846" s="113" t="s">
        <v>229</v>
      </c>
      <c r="R846" s="113" t="s">
        <v>229</v>
      </c>
      <c r="S846" s="113" t="s">
        <v>229</v>
      </c>
      <c r="T846" s="114" t="s">
        <v>229</v>
      </c>
      <c r="U846" s="109" t="s">
        <v>229</v>
      </c>
      <c r="V846" s="112" t="s">
        <v>229</v>
      </c>
      <c r="W846" s="111" t="s">
        <v>229</v>
      </c>
      <c r="X846" s="112" t="s">
        <v>229</v>
      </c>
      <c r="Y846" s="114" t="s">
        <v>229</v>
      </c>
      <c r="Z846" s="111" t="s">
        <v>229</v>
      </c>
    </row>
    <row r="847" ht="15.75" customHeight="1">
      <c r="A847" s="109"/>
      <c r="B847" s="110"/>
      <c r="C847" s="110"/>
      <c r="D847" s="109"/>
      <c r="E847" s="109"/>
      <c r="F847" s="109"/>
      <c r="G847" s="111"/>
      <c r="H847" s="111"/>
      <c r="I847" s="112"/>
      <c r="J847" s="112"/>
      <c r="K847" s="113"/>
      <c r="L847" s="109"/>
      <c r="M847" s="109"/>
      <c r="N847" s="113" t="s">
        <v>229</v>
      </c>
      <c r="O847" s="113" t="s">
        <v>229</v>
      </c>
      <c r="P847" s="113" t="s">
        <v>229</v>
      </c>
      <c r="Q847" s="113" t="s">
        <v>229</v>
      </c>
      <c r="R847" s="113" t="s">
        <v>229</v>
      </c>
      <c r="S847" s="113" t="s">
        <v>229</v>
      </c>
      <c r="T847" s="114" t="s">
        <v>229</v>
      </c>
      <c r="U847" s="109" t="s">
        <v>229</v>
      </c>
      <c r="V847" s="112" t="s">
        <v>229</v>
      </c>
      <c r="W847" s="111" t="s">
        <v>229</v>
      </c>
      <c r="X847" s="112" t="s">
        <v>229</v>
      </c>
      <c r="Y847" s="114" t="s">
        <v>229</v>
      </c>
      <c r="Z847" s="111" t="s">
        <v>229</v>
      </c>
    </row>
    <row r="848" ht="15.75" customHeight="1">
      <c r="A848" s="109"/>
      <c r="B848" s="110"/>
      <c r="C848" s="110"/>
      <c r="D848" s="109"/>
      <c r="E848" s="109"/>
      <c r="F848" s="109"/>
      <c r="G848" s="111"/>
      <c r="H848" s="111"/>
      <c r="I848" s="112"/>
      <c r="J848" s="112"/>
      <c r="K848" s="113"/>
      <c r="L848" s="109"/>
      <c r="M848" s="109"/>
      <c r="N848" s="113" t="s">
        <v>229</v>
      </c>
      <c r="O848" s="113" t="s">
        <v>229</v>
      </c>
      <c r="P848" s="113" t="s">
        <v>229</v>
      </c>
      <c r="Q848" s="113" t="s">
        <v>229</v>
      </c>
      <c r="R848" s="113" t="s">
        <v>229</v>
      </c>
      <c r="S848" s="113" t="s">
        <v>229</v>
      </c>
      <c r="T848" s="114" t="s">
        <v>229</v>
      </c>
      <c r="U848" s="109" t="s">
        <v>229</v>
      </c>
      <c r="V848" s="112" t="s">
        <v>229</v>
      </c>
      <c r="W848" s="111" t="s">
        <v>229</v>
      </c>
      <c r="X848" s="112" t="s">
        <v>229</v>
      </c>
      <c r="Y848" s="114" t="s">
        <v>229</v>
      </c>
      <c r="Z848" s="111" t="s">
        <v>229</v>
      </c>
    </row>
    <row r="849" ht="15.75" customHeight="1">
      <c r="A849" s="109"/>
      <c r="B849" s="110"/>
      <c r="C849" s="110"/>
      <c r="D849" s="109"/>
      <c r="E849" s="109"/>
      <c r="F849" s="109"/>
      <c r="G849" s="111"/>
      <c r="H849" s="111"/>
      <c r="I849" s="112"/>
      <c r="J849" s="112"/>
      <c r="K849" s="113"/>
      <c r="L849" s="109"/>
      <c r="M849" s="109"/>
      <c r="N849" s="113" t="s">
        <v>229</v>
      </c>
      <c r="O849" s="113" t="s">
        <v>229</v>
      </c>
      <c r="P849" s="113" t="s">
        <v>229</v>
      </c>
      <c r="Q849" s="113" t="s">
        <v>229</v>
      </c>
      <c r="R849" s="113" t="s">
        <v>229</v>
      </c>
      <c r="S849" s="113" t="s">
        <v>229</v>
      </c>
      <c r="T849" s="114" t="s">
        <v>229</v>
      </c>
      <c r="U849" s="109" t="s">
        <v>229</v>
      </c>
      <c r="V849" s="112" t="s">
        <v>229</v>
      </c>
      <c r="W849" s="111" t="s">
        <v>229</v>
      </c>
      <c r="X849" s="112" t="s">
        <v>229</v>
      </c>
      <c r="Y849" s="114" t="s">
        <v>229</v>
      </c>
      <c r="Z849" s="111" t="s">
        <v>229</v>
      </c>
    </row>
    <row r="850" ht="15.75" customHeight="1">
      <c r="A850" s="109"/>
      <c r="B850" s="110"/>
      <c r="C850" s="110"/>
      <c r="D850" s="109"/>
      <c r="E850" s="109"/>
      <c r="F850" s="109"/>
      <c r="G850" s="111"/>
      <c r="H850" s="111"/>
      <c r="I850" s="112"/>
      <c r="J850" s="112"/>
      <c r="K850" s="113"/>
      <c r="L850" s="109"/>
      <c r="M850" s="109"/>
      <c r="N850" s="113" t="s">
        <v>229</v>
      </c>
      <c r="O850" s="113" t="s">
        <v>229</v>
      </c>
      <c r="P850" s="113" t="s">
        <v>229</v>
      </c>
      <c r="Q850" s="113" t="s">
        <v>229</v>
      </c>
      <c r="R850" s="113" t="s">
        <v>229</v>
      </c>
      <c r="S850" s="113" t="s">
        <v>229</v>
      </c>
      <c r="T850" s="114" t="s">
        <v>229</v>
      </c>
      <c r="U850" s="109" t="s">
        <v>229</v>
      </c>
      <c r="V850" s="112" t="s">
        <v>229</v>
      </c>
      <c r="W850" s="111" t="s">
        <v>229</v>
      </c>
      <c r="X850" s="112" t="s">
        <v>229</v>
      </c>
      <c r="Y850" s="114" t="s">
        <v>229</v>
      </c>
      <c r="Z850" s="111" t="s">
        <v>229</v>
      </c>
    </row>
    <row r="851" ht="15.75" customHeight="1">
      <c r="A851" s="109"/>
      <c r="B851" s="110"/>
      <c r="C851" s="110"/>
      <c r="D851" s="109"/>
      <c r="E851" s="109"/>
      <c r="F851" s="109"/>
      <c r="G851" s="111"/>
      <c r="H851" s="111"/>
      <c r="I851" s="112"/>
      <c r="J851" s="112"/>
      <c r="K851" s="113"/>
      <c r="L851" s="109"/>
      <c r="M851" s="109"/>
      <c r="N851" s="113" t="s">
        <v>229</v>
      </c>
      <c r="O851" s="113" t="s">
        <v>229</v>
      </c>
      <c r="P851" s="113" t="s">
        <v>229</v>
      </c>
      <c r="Q851" s="113" t="s">
        <v>229</v>
      </c>
      <c r="R851" s="113" t="s">
        <v>229</v>
      </c>
      <c r="S851" s="113" t="s">
        <v>229</v>
      </c>
      <c r="T851" s="114" t="s">
        <v>229</v>
      </c>
      <c r="U851" s="109" t="s">
        <v>229</v>
      </c>
      <c r="V851" s="112" t="s">
        <v>229</v>
      </c>
      <c r="W851" s="111" t="s">
        <v>229</v>
      </c>
      <c r="X851" s="112" t="s">
        <v>229</v>
      </c>
      <c r="Y851" s="114" t="s">
        <v>229</v>
      </c>
      <c r="Z851" s="111" t="s">
        <v>229</v>
      </c>
    </row>
    <row r="852" ht="15.75" customHeight="1">
      <c r="A852" s="109"/>
      <c r="B852" s="110"/>
      <c r="C852" s="110"/>
      <c r="D852" s="109"/>
      <c r="E852" s="109"/>
      <c r="F852" s="109"/>
      <c r="G852" s="111"/>
      <c r="H852" s="111"/>
      <c r="I852" s="112"/>
      <c r="J852" s="112"/>
      <c r="K852" s="113"/>
      <c r="L852" s="109"/>
      <c r="M852" s="109"/>
      <c r="N852" s="113" t="s">
        <v>229</v>
      </c>
      <c r="O852" s="113" t="s">
        <v>229</v>
      </c>
      <c r="P852" s="113" t="s">
        <v>229</v>
      </c>
      <c r="Q852" s="113" t="s">
        <v>229</v>
      </c>
      <c r="R852" s="113" t="s">
        <v>229</v>
      </c>
      <c r="S852" s="113" t="s">
        <v>229</v>
      </c>
      <c r="T852" s="114" t="s">
        <v>229</v>
      </c>
      <c r="U852" s="109" t="s">
        <v>229</v>
      </c>
      <c r="V852" s="112" t="s">
        <v>229</v>
      </c>
      <c r="W852" s="111" t="s">
        <v>229</v>
      </c>
      <c r="X852" s="112" t="s">
        <v>229</v>
      </c>
      <c r="Y852" s="114" t="s">
        <v>229</v>
      </c>
      <c r="Z852" s="111" t="s">
        <v>229</v>
      </c>
    </row>
    <row r="853" ht="15.75" customHeight="1">
      <c r="A853" s="109"/>
      <c r="B853" s="110"/>
      <c r="C853" s="110"/>
      <c r="D853" s="109"/>
      <c r="E853" s="109"/>
      <c r="F853" s="109"/>
      <c r="G853" s="111"/>
      <c r="H853" s="111"/>
      <c r="I853" s="112"/>
      <c r="J853" s="112"/>
      <c r="K853" s="113"/>
      <c r="L853" s="109"/>
      <c r="M853" s="109"/>
      <c r="N853" s="113" t="s">
        <v>229</v>
      </c>
      <c r="O853" s="113" t="s">
        <v>229</v>
      </c>
      <c r="P853" s="113" t="s">
        <v>229</v>
      </c>
      <c r="Q853" s="113" t="s">
        <v>229</v>
      </c>
      <c r="R853" s="113" t="s">
        <v>229</v>
      </c>
      <c r="S853" s="113" t="s">
        <v>229</v>
      </c>
      <c r="T853" s="114" t="s">
        <v>229</v>
      </c>
      <c r="U853" s="109" t="s">
        <v>229</v>
      </c>
      <c r="V853" s="112" t="s">
        <v>229</v>
      </c>
      <c r="W853" s="111" t="s">
        <v>229</v>
      </c>
      <c r="X853" s="112" t="s">
        <v>229</v>
      </c>
      <c r="Y853" s="114" t="s">
        <v>229</v>
      </c>
      <c r="Z853" s="111" t="s">
        <v>229</v>
      </c>
    </row>
    <row r="854" ht="15.75" customHeight="1">
      <c r="A854" s="109"/>
      <c r="B854" s="110"/>
      <c r="C854" s="110"/>
      <c r="D854" s="109"/>
      <c r="E854" s="109"/>
      <c r="F854" s="109"/>
      <c r="G854" s="111"/>
      <c r="H854" s="111"/>
      <c r="I854" s="112"/>
      <c r="J854" s="112"/>
      <c r="K854" s="113"/>
      <c r="L854" s="109"/>
      <c r="M854" s="109"/>
      <c r="N854" s="113" t="s">
        <v>229</v>
      </c>
      <c r="O854" s="113" t="s">
        <v>229</v>
      </c>
      <c r="P854" s="113" t="s">
        <v>229</v>
      </c>
      <c r="Q854" s="113" t="s">
        <v>229</v>
      </c>
      <c r="R854" s="113" t="s">
        <v>229</v>
      </c>
      <c r="S854" s="113" t="s">
        <v>229</v>
      </c>
      <c r="T854" s="114" t="s">
        <v>229</v>
      </c>
      <c r="U854" s="109" t="s">
        <v>229</v>
      </c>
      <c r="V854" s="112" t="s">
        <v>229</v>
      </c>
      <c r="W854" s="111" t="s">
        <v>229</v>
      </c>
      <c r="X854" s="112" t="s">
        <v>229</v>
      </c>
      <c r="Y854" s="114" t="s">
        <v>229</v>
      </c>
      <c r="Z854" s="111" t="s">
        <v>229</v>
      </c>
    </row>
    <row r="855" ht="15.75" customHeight="1">
      <c r="A855" s="109"/>
      <c r="B855" s="110"/>
      <c r="C855" s="110"/>
      <c r="D855" s="109"/>
      <c r="E855" s="109"/>
      <c r="F855" s="109"/>
      <c r="G855" s="111"/>
      <c r="H855" s="111"/>
      <c r="I855" s="112"/>
      <c r="J855" s="112"/>
      <c r="K855" s="113"/>
      <c r="L855" s="109"/>
      <c r="M855" s="109"/>
      <c r="N855" s="113" t="s">
        <v>229</v>
      </c>
      <c r="O855" s="113" t="s">
        <v>229</v>
      </c>
      <c r="P855" s="113" t="s">
        <v>229</v>
      </c>
      <c r="Q855" s="113" t="s">
        <v>229</v>
      </c>
      <c r="R855" s="113" t="s">
        <v>229</v>
      </c>
      <c r="S855" s="113" t="s">
        <v>229</v>
      </c>
      <c r="T855" s="114" t="s">
        <v>229</v>
      </c>
      <c r="U855" s="109" t="s">
        <v>229</v>
      </c>
      <c r="V855" s="112" t="s">
        <v>229</v>
      </c>
      <c r="W855" s="111" t="s">
        <v>229</v>
      </c>
      <c r="X855" s="112" t="s">
        <v>229</v>
      </c>
      <c r="Y855" s="114" t="s">
        <v>229</v>
      </c>
      <c r="Z855" s="111" t="s">
        <v>229</v>
      </c>
    </row>
    <row r="856" ht="15.75" customHeight="1">
      <c r="A856" s="109"/>
      <c r="B856" s="110"/>
      <c r="C856" s="110"/>
      <c r="D856" s="109"/>
      <c r="E856" s="109"/>
      <c r="F856" s="109"/>
      <c r="G856" s="111"/>
      <c r="H856" s="111"/>
      <c r="I856" s="112"/>
      <c r="J856" s="112"/>
      <c r="K856" s="113"/>
      <c r="L856" s="109"/>
      <c r="M856" s="109"/>
      <c r="N856" s="113" t="s">
        <v>229</v>
      </c>
      <c r="O856" s="113" t="s">
        <v>229</v>
      </c>
      <c r="P856" s="113" t="s">
        <v>229</v>
      </c>
      <c r="Q856" s="113" t="s">
        <v>229</v>
      </c>
      <c r="R856" s="113" t="s">
        <v>229</v>
      </c>
      <c r="S856" s="113" t="s">
        <v>229</v>
      </c>
      <c r="T856" s="114" t="s">
        <v>229</v>
      </c>
      <c r="U856" s="109" t="s">
        <v>229</v>
      </c>
      <c r="V856" s="112" t="s">
        <v>229</v>
      </c>
      <c r="W856" s="111" t="s">
        <v>229</v>
      </c>
      <c r="X856" s="112" t="s">
        <v>229</v>
      </c>
      <c r="Y856" s="114" t="s">
        <v>229</v>
      </c>
      <c r="Z856" s="111" t="s">
        <v>229</v>
      </c>
    </row>
    <row r="857" ht="15.75" customHeight="1">
      <c r="A857" s="109"/>
      <c r="B857" s="110"/>
      <c r="C857" s="110"/>
      <c r="D857" s="109"/>
      <c r="E857" s="109"/>
      <c r="F857" s="109"/>
      <c r="G857" s="111"/>
      <c r="H857" s="111"/>
      <c r="I857" s="112"/>
      <c r="J857" s="112"/>
      <c r="K857" s="113"/>
      <c r="L857" s="109"/>
      <c r="M857" s="109"/>
      <c r="N857" s="113" t="s">
        <v>229</v>
      </c>
      <c r="O857" s="113" t="s">
        <v>229</v>
      </c>
      <c r="P857" s="113" t="s">
        <v>229</v>
      </c>
      <c r="Q857" s="113" t="s">
        <v>229</v>
      </c>
      <c r="R857" s="113" t="s">
        <v>229</v>
      </c>
      <c r="S857" s="113" t="s">
        <v>229</v>
      </c>
      <c r="T857" s="114" t="s">
        <v>229</v>
      </c>
      <c r="U857" s="109" t="s">
        <v>229</v>
      </c>
      <c r="V857" s="112" t="s">
        <v>229</v>
      </c>
      <c r="W857" s="111" t="s">
        <v>229</v>
      </c>
      <c r="X857" s="112" t="s">
        <v>229</v>
      </c>
      <c r="Y857" s="114" t="s">
        <v>229</v>
      </c>
      <c r="Z857" s="111" t="s">
        <v>229</v>
      </c>
    </row>
    <row r="858" ht="15.75" customHeight="1">
      <c r="A858" s="109"/>
      <c r="B858" s="110"/>
      <c r="C858" s="110"/>
      <c r="D858" s="109"/>
      <c r="E858" s="109"/>
      <c r="F858" s="109"/>
      <c r="G858" s="111"/>
      <c r="H858" s="111"/>
      <c r="I858" s="112"/>
      <c r="J858" s="112"/>
      <c r="K858" s="113"/>
      <c r="L858" s="109"/>
      <c r="M858" s="109"/>
      <c r="N858" s="113" t="s">
        <v>229</v>
      </c>
      <c r="O858" s="113" t="s">
        <v>229</v>
      </c>
      <c r="P858" s="113" t="s">
        <v>229</v>
      </c>
      <c r="Q858" s="113" t="s">
        <v>229</v>
      </c>
      <c r="R858" s="113" t="s">
        <v>229</v>
      </c>
      <c r="S858" s="113" t="s">
        <v>229</v>
      </c>
      <c r="T858" s="114" t="s">
        <v>229</v>
      </c>
      <c r="U858" s="109" t="s">
        <v>229</v>
      </c>
      <c r="V858" s="112" t="s">
        <v>229</v>
      </c>
      <c r="W858" s="111" t="s">
        <v>229</v>
      </c>
      <c r="X858" s="112" t="s">
        <v>229</v>
      </c>
      <c r="Y858" s="114" t="s">
        <v>229</v>
      </c>
      <c r="Z858" s="111" t="s">
        <v>229</v>
      </c>
    </row>
    <row r="859" ht="15.75" customHeight="1">
      <c r="A859" s="109"/>
      <c r="B859" s="110"/>
      <c r="C859" s="110"/>
      <c r="D859" s="109"/>
      <c r="E859" s="109"/>
      <c r="F859" s="109"/>
      <c r="G859" s="111"/>
      <c r="H859" s="111"/>
      <c r="I859" s="112"/>
      <c r="J859" s="112"/>
      <c r="K859" s="113"/>
      <c r="L859" s="109"/>
      <c r="M859" s="109"/>
      <c r="N859" s="113" t="s">
        <v>229</v>
      </c>
      <c r="O859" s="113" t="s">
        <v>229</v>
      </c>
      <c r="P859" s="113" t="s">
        <v>229</v>
      </c>
      <c r="Q859" s="113" t="s">
        <v>229</v>
      </c>
      <c r="R859" s="113" t="s">
        <v>229</v>
      </c>
      <c r="S859" s="113" t="s">
        <v>229</v>
      </c>
      <c r="T859" s="114" t="s">
        <v>229</v>
      </c>
      <c r="U859" s="109" t="s">
        <v>229</v>
      </c>
      <c r="V859" s="112" t="s">
        <v>229</v>
      </c>
      <c r="W859" s="111" t="s">
        <v>229</v>
      </c>
      <c r="X859" s="112" t="s">
        <v>229</v>
      </c>
      <c r="Y859" s="114" t="s">
        <v>229</v>
      </c>
      <c r="Z859" s="111" t="s">
        <v>229</v>
      </c>
    </row>
    <row r="860" ht="15.75" customHeight="1">
      <c r="A860" s="109"/>
      <c r="B860" s="110"/>
      <c r="C860" s="110"/>
      <c r="D860" s="109"/>
      <c r="E860" s="109"/>
      <c r="F860" s="109"/>
      <c r="G860" s="111"/>
      <c r="H860" s="111"/>
      <c r="I860" s="112"/>
      <c r="J860" s="112"/>
      <c r="K860" s="113"/>
      <c r="L860" s="109"/>
      <c r="M860" s="109"/>
      <c r="N860" s="113" t="s">
        <v>229</v>
      </c>
      <c r="O860" s="113" t="s">
        <v>229</v>
      </c>
      <c r="P860" s="113" t="s">
        <v>229</v>
      </c>
      <c r="Q860" s="113" t="s">
        <v>229</v>
      </c>
      <c r="R860" s="113" t="s">
        <v>229</v>
      </c>
      <c r="S860" s="113" t="s">
        <v>229</v>
      </c>
      <c r="T860" s="114" t="s">
        <v>229</v>
      </c>
      <c r="U860" s="109" t="s">
        <v>229</v>
      </c>
      <c r="V860" s="112" t="s">
        <v>229</v>
      </c>
      <c r="W860" s="111" t="s">
        <v>229</v>
      </c>
      <c r="X860" s="112" t="s">
        <v>229</v>
      </c>
      <c r="Y860" s="114" t="s">
        <v>229</v>
      </c>
      <c r="Z860" s="111" t="s">
        <v>229</v>
      </c>
    </row>
    <row r="861" ht="15.75" customHeight="1">
      <c r="A861" s="109"/>
      <c r="B861" s="110"/>
      <c r="C861" s="110"/>
      <c r="D861" s="109"/>
      <c r="E861" s="109"/>
      <c r="F861" s="109"/>
      <c r="G861" s="111"/>
      <c r="H861" s="111"/>
      <c r="I861" s="112"/>
      <c r="J861" s="112"/>
      <c r="K861" s="113"/>
      <c r="L861" s="109"/>
      <c r="M861" s="109"/>
      <c r="N861" s="113" t="s">
        <v>229</v>
      </c>
      <c r="O861" s="113" t="s">
        <v>229</v>
      </c>
      <c r="P861" s="113" t="s">
        <v>229</v>
      </c>
      <c r="Q861" s="113" t="s">
        <v>229</v>
      </c>
      <c r="R861" s="113" t="s">
        <v>229</v>
      </c>
      <c r="S861" s="113" t="s">
        <v>229</v>
      </c>
      <c r="T861" s="114" t="s">
        <v>229</v>
      </c>
      <c r="U861" s="109" t="s">
        <v>229</v>
      </c>
      <c r="V861" s="112" t="s">
        <v>229</v>
      </c>
      <c r="W861" s="111" t="s">
        <v>229</v>
      </c>
      <c r="X861" s="112" t="s">
        <v>229</v>
      </c>
      <c r="Y861" s="114" t="s">
        <v>229</v>
      </c>
      <c r="Z861" s="111" t="s">
        <v>229</v>
      </c>
    </row>
    <row r="862" ht="15.75" customHeight="1">
      <c r="A862" s="109"/>
      <c r="B862" s="110"/>
      <c r="C862" s="110"/>
      <c r="D862" s="109"/>
      <c r="E862" s="109"/>
      <c r="F862" s="109"/>
      <c r="G862" s="111"/>
      <c r="H862" s="111"/>
      <c r="I862" s="112"/>
      <c r="J862" s="112"/>
      <c r="K862" s="113"/>
      <c r="L862" s="109"/>
      <c r="M862" s="109"/>
      <c r="N862" s="113" t="s">
        <v>229</v>
      </c>
      <c r="O862" s="113" t="s">
        <v>229</v>
      </c>
      <c r="P862" s="113" t="s">
        <v>229</v>
      </c>
      <c r="Q862" s="113" t="s">
        <v>229</v>
      </c>
      <c r="R862" s="113" t="s">
        <v>229</v>
      </c>
      <c r="S862" s="113" t="s">
        <v>229</v>
      </c>
      <c r="T862" s="114" t="s">
        <v>229</v>
      </c>
      <c r="U862" s="109" t="s">
        <v>229</v>
      </c>
      <c r="V862" s="112" t="s">
        <v>229</v>
      </c>
      <c r="W862" s="111" t="s">
        <v>229</v>
      </c>
      <c r="X862" s="112" t="s">
        <v>229</v>
      </c>
      <c r="Y862" s="114" t="s">
        <v>229</v>
      </c>
      <c r="Z862" s="111" t="s">
        <v>229</v>
      </c>
    </row>
    <row r="863" ht="15.75" customHeight="1">
      <c r="A863" s="109"/>
      <c r="B863" s="110"/>
      <c r="C863" s="110"/>
      <c r="D863" s="109"/>
      <c r="E863" s="109"/>
      <c r="F863" s="109"/>
      <c r="G863" s="111"/>
      <c r="H863" s="111"/>
      <c r="I863" s="112"/>
      <c r="J863" s="112"/>
      <c r="K863" s="113"/>
      <c r="L863" s="109"/>
      <c r="M863" s="109"/>
      <c r="N863" s="113" t="s">
        <v>229</v>
      </c>
      <c r="O863" s="113" t="s">
        <v>229</v>
      </c>
      <c r="P863" s="113" t="s">
        <v>229</v>
      </c>
      <c r="Q863" s="113" t="s">
        <v>229</v>
      </c>
      <c r="R863" s="113" t="s">
        <v>229</v>
      </c>
      <c r="S863" s="113" t="s">
        <v>229</v>
      </c>
      <c r="T863" s="114" t="s">
        <v>229</v>
      </c>
      <c r="U863" s="109" t="s">
        <v>229</v>
      </c>
      <c r="V863" s="112" t="s">
        <v>229</v>
      </c>
      <c r="W863" s="111" t="s">
        <v>229</v>
      </c>
      <c r="X863" s="112" t="s">
        <v>229</v>
      </c>
      <c r="Y863" s="114" t="s">
        <v>229</v>
      </c>
      <c r="Z863" s="111" t="s">
        <v>229</v>
      </c>
    </row>
    <row r="864" ht="15.75" customHeight="1">
      <c r="A864" s="109"/>
      <c r="B864" s="110"/>
      <c r="C864" s="110"/>
      <c r="D864" s="109"/>
      <c r="E864" s="109"/>
      <c r="F864" s="109"/>
      <c r="G864" s="111"/>
      <c r="H864" s="111"/>
      <c r="I864" s="112"/>
      <c r="J864" s="112"/>
      <c r="K864" s="113"/>
      <c r="L864" s="109"/>
      <c r="M864" s="109"/>
      <c r="N864" s="113" t="s">
        <v>229</v>
      </c>
      <c r="O864" s="113" t="s">
        <v>229</v>
      </c>
      <c r="P864" s="113" t="s">
        <v>229</v>
      </c>
      <c r="Q864" s="113" t="s">
        <v>229</v>
      </c>
      <c r="R864" s="113" t="s">
        <v>229</v>
      </c>
      <c r="S864" s="113" t="s">
        <v>229</v>
      </c>
      <c r="T864" s="114" t="s">
        <v>229</v>
      </c>
      <c r="U864" s="109" t="s">
        <v>229</v>
      </c>
      <c r="V864" s="112" t="s">
        <v>229</v>
      </c>
      <c r="W864" s="111" t="s">
        <v>229</v>
      </c>
      <c r="X864" s="112" t="s">
        <v>229</v>
      </c>
      <c r="Y864" s="114" t="s">
        <v>229</v>
      </c>
      <c r="Z864" s="111" t="s">
        <v>229</v>
      </c>
    </row>
    <row r="865" ht="15.75" customHeight="1">
      <c r="A865" s="109"/>
      <c r="B865" s="110"/>
      <c r="C865" s="110"/>
      <c r="D865" s="109"/>
      <c r="E865" s="109"/>
      <c r="F865" s="109"/>
      <c r="G865" s="111"/>
      <c r="H865" s="111"/>
      <c r="I865" s="112"/>
      <c r="J865" s="112"/>
      <c r="K865" s="113"/>
      <c r="L865" s="109"/>
      <c r="M865" s="109"/>
      <c r="N865" s="113" t="s">
        <v>229</v>
      </c>
      <c r="O865" s="113" t="s">
        <v>229</v>
      </c>
      <c r="P865" s="113" t="s">
        <v>229</v>
      </c>
      <c r="Q865" s="113" t="s">
        <v>229</v>
      </c>
      <c r="R865" s="113" t="s">
        <v>229</v>
      </c>
      <c r="S865" s="113" t="s">
        <v>229</v>
      </c>
      <c r="T865" s="114" t="s">
        <v>229</v>
      </c>
      <c r="U865" s="109" t="s">
        <v>229</v>
      </c>
      <c r="V865" s="112" t="s">
        <v>229</v>
      </c>
      <c r="W865" s="111" t="s">
        <v>229</v>
      </c>
      <c r="X865" s="112" t="s">
        <v>229</v>
      </c>
      <c r="Y865" s="114" t="s">
        <v>229</v>
      </c>
      <c r="Z865" s="111" t="s">
        <v>229</v>
      </c>
    </row>
    <row r="866" ht="15.75" customHeight="1">
      <c r="A866" s="109"/>
      <c r="B866" s="110"/>
      <c r="C866" s="110"/>
      <c r="D866" s="109"/>
      <c r="E866" s="109"/>
      <c r="F866" s="109"/>
      <c r="G866" s="111"/>
      <c r="H866" s="111"/>
      <c r="I866" s="112"/>
      <c r="J866" s="112"/>
      <c r="K866" s="113"/>
      <c r="L866" s="109"/>
      <c r="M866" s="109"/>
      <c r="N866" s="113" t="s">
        <v>229</v>
      </c>
      <c r="O866" s="113" t="s">
        <v>229</v>
      </c>
      <c r="P866" s="113" t="s">
        <v>229</v>
      </c>
      <c r="Q866" s="113" t="s">
        <v>229</v>
      </c>
      <c r="R866" s="113" t="s">
        <v>229</v>
      </c>
      <c r="S866" s="113" t="s">
        <v>229</v>
      </c>
      <c r="T866" s="114" t="s">
        <v>229</v>
      </c>
      <c r="U866" s="109" t="s">
        <v>229</v>
      </c>
      <c r="V866" s="112" t="s">
        <v>229</v>
      </c>
      <c r="W866" s="111" t="s">
        <v>229</v>
      </c>
      <c r="X866" s="112" t="s">
        <v>229</v>
      </c>
      <c r="Y866" s="114" t="s">
        <v>229</v>
      </c>
      <c r="Z866" s="111" t="s">
        <v>229</v>
      </c>
    </row>
    <row r="867" ht="15.75" customHeight="1">
      <c r="A867" s="109"/>
      <c r="B867" s="110"/>
      <c r="C867" s="110"/>
      <c r="D867" s="109"/>
      <c r="E867" s="109"/>
      <c r="F867" s="109"/>
      <c r="G867" s="111"/>
      <c r="H867" s="111"/>
      <c r="I867" s="112"/>
      <c r="J867" s="112"/>
      <c r="K867" s="113"/>
      <c r="L867" s="109"/>
      <c r="M867" s="109"/>
      <c r="N867" s="113" t="s">
        <v>229</v>
      </c>
      <c r="O867" s="113" t="s">
        <v>229</v>
      </c>
      <c r="P867" s="113" t="s">
        <v>229</v>
      </c>
      <c r="Q867" s="113" t="s">
        <v>229</v>
      </c>
      <c r="R867" s="113" t="s">
        <v>229</v>
      </c>
      <c r="S867" s="113" t="s">
        <v>229</v>
      </c>
      <c r="T867" s="114" t="s">
        <v>229</v>
      </c>
      <c r="U867" s="109" t="s">
        <v>229</v>
      </c>
      <c r="V867" s="112" t="s">
        <v>229</v>
      </c>
      <c r="W867" s="111" t="s">
        <v>229</v>
      </c>
      <c r="X867" s="112" t="s">
        <v>229</v>
      </c>
      <c r="Y867" s="114" t="s">
        <v>229</v>
      </c>
      <c r="Z867" s="111" t="s">
        <v>229</v>
      </c>
    </row>
    <row r="868" ht="15.75" customHeight="1">
      <c r="A868" s="109"/>
      <c r="B868" s="110"/>
      <c r="C868" s="110"/>
      <c r="D868" s="109"/>
      <c r="E868" s="109"/>
      <c r="F868" s="109"/>
      <c r="G868" s="111"/>
      <c r="H868" s="111"/>
      <c r="I868" s="112"/>
      <c r="J868" s="112"/>
      <c r="K868" s="113"/>
      <c r="L868" s="109"/>
      <c r="M868" s="109"/>
      <c r="N868" s="113" t="s">
        <v>229</v>
      </c>
      <c r="O868" s="113" t="s">
        <v>229</v>
      </c>
      <c r="P868" s="113" t="s">
        <v>229</v>
      </c>
      <c r="Q868" s="113" t="s">
        <v>229</v>
      </c>
      <c r="R868" s="113" t="s">
        <v>229</v>
      </c>
      <c r="S868" s="113" t="s">
        <v>229</v>
      </c>
      <c r="T868" s="114" t="s">
        <v>229</v>
      </c>
      <c r="U868" s="109" t="s">
        <v>229</v>
      </c>
      <c r="V868" s="112" t="s">
        <v>229</v>
      </c>
      <c r="W868" s="111" t="s">
        <v>229</v>
      </c>
      <c r="X868" s="112" t="s">
        <v>229</v>
      </c>
      <c r="Y868" s="114" t="s">
        <v>229</v>
      </c>
      <c r="Z868" s="111" t="s">
        <v>229</v>
      </c>
    </row>
    <row r="869" ht="15.75" customHeight="1">
      <c r="A869" s="109"/>
      <c r="B869" s="110"/>
      <c r="C869" s="110"/>
      <c r="D869" s="109"/>
      <c r="E869" s="109"/>
      <c r="F869" s="109"/>
      <c r="G869" s="111"/>
      <c r="H869" s="111"/>
      <c r="I869" s="112"/>
      <c r="J869" s="112"/>
      <c r="K869" s="113"/>
      <c r="L869" s="109"/>
      <c r="M869" s="109"/>
      <c r="N869" s="113" t="s">
        <v>229</v>
      </c>
      <c r="O869" s="113" t="s">
        <v>229</v>
      </c>
      <c r="P869" s="113" t="s">
        <v>229</v>
      </c>
      <c r="Q869" s="113" t="s">
        <v>229</v>
      </c>
      <c r="R869" s="113" t="s">
        <v>229</v>
      </c>
      <c r="S869" s="113" t="s">
        <v>229</v>
      </c>
      <c r="T869" s="114" t="s">
        <v>229</v>
      </c>
      <c r="U869" s="109" t="s">
        <v>229</v>
      </c>
      <c r="V869" s="112" t="s">
        <v>229</v>
      </c>
      <c r="W869" s="111" t="s">
        <v>229</v>
      </c>
      <c r="X869" s="112" t="s">
        <v>229</v>
      </c>
      <c r="Y869" s="114" t="s">
        <v>229</v>
      </c>
      <c r="Z869" s="111" t="s">
        <v>229</v>
      </c>
    </row>
    <row r="870" ht="15.75" customHeight="1">
      <c r="A870" s="109"/>
      <c r="B870" s="110"/>
      <c r="C870" s="110"/>
      <c r="D870" s="109"/>
      <c r="E870" s="109"/>
      <c r="F870" s="109"/>
      <c r="G870" s="111"/>
      <c r="H870" s="111"/>
      <c r="I870" s="112"/>
      <c r="J870" s="112"/>
      <c r="K870" s="113"/>
      <c r="L870" s="109"/>
      <c r="M870" s="109"/>
      <c r="N870" s="113" t="s">
        <v>229</v>
      </c>
      <c r="O870" s="113" t="s">
        <v>229</v>
      </c>
      <c r="P870" s="113" t="s">
        <v>229</v>
      </c>
      <c r="Q870" s="113" t="s">
        <v>229</v>
      </c>
      <c r="R870" s="113" t="s">
        <v>229</v>
      </c>
      <c r="S870" s="113" t="s">
        <v>229</v>
      </c>
      <c r="T870" s="114" t="s">
        <v>229</v>
      </c>
      <c r="U870" s="109" t="s">
        <v>229</v>
      </c>
      <c r="V870" s="112" t="s">
        <v>229</v>
      </c>
      <c r="W870" s="111" t="s">
        <v>229</v>
      </c>
      <c r="X870" s="112" t="s">
        <v>229</v>
      </c>
      <c r="Y870" s="114" t="s">
        <v>229</v>
      </c>
      <c r="Z870" s="111" t="s">
        <v>229</v>
      </c>
    </row>
    <row r="871" ht="15.75" customHeight="1">
      <c r="A871" s="109"/>
      <c r="B871" s="110"/>
      <c r="C871" s="110"/>
      <c r="D871" s="109"/>
      <c r="E871" s="109"/>
      <c r="F871" s="109"/>
      <c r="G871" s="111"/>
      <c r="H871" s="111"/>
      <c r="I871" s="112"/>
      <c r="J871" s="112"/>
      <c r="K871" s="113"/>
      <c r="L871" s="109"/>
      <c r="M871" s="109"/>
      <c r="N871" s="113" t="s">
        <v>229</v>
      </c>
      <c r="O871" s="113" t="s">
        <v>229</v>
      </c>
      <c r="P871" s="113" t="s">
        <v>229</v>
      </c>
      <c r="Q871" s="113" t="s">
        <v>229</v>
      </c>
      <c r="R871" s="113" t="s">
        <v>229</v>
      </c>
      <c r="S871" s="113" t="s">
        <v>229</v>
      </c>
      <c r="T871" s="114" t="s">
        <v>229</v>
      </c>
      <c r="U871" s="109" t="s">
        <v>229</v>
      </c>
      <c r="V871" s="112" t="s">
        <v>229</v>
      </c>
      <c r="W871" s="111" t="s">
        <v>229</v>
      </c>
      <c r="X871" s="112" t="s">
        <v>229</v>
      </c>
      <c r="Y871" s="114" t="s">
        <v>229</v>
      </c>
      <c r="Z871" s="111" t="s">
        <v>229</v>
      </c>
    </row>
    <row r="872" ht="15.75" customHeight="1">
      <c r="A872" s="109"/>
      <c r="B872" s="110"/>
      <c r="C872" s="110"/>
      <c r="D872" s="109"/>
      <c r="E872" s="109"/>
      <c r="F872" s="109"/>
      <c r="G872" s="111"/>
      <c r="H872" s="111"/>
      <c r="I872" s="112"/>
      <c r="J872" s="112"/>
      <c r="K872" s="113"/>
      <c r="L872" s="109"/>
      <c r="M872" s="109"/>
      <c r="N872" s="113" t="s">
        <v>229</v>
      </c>
      <c r="O872" s="113" t="s">
        <v>229</v>
      </c>
      <c r="P872" s="113" t="s">
        <v>229</v>
      </c>
      <c r="Q872" s="113" t="s">
        <v>229</v>
      </c>
      <c r="R872" s="113" t="s">
        <v>229</v>
      </c>
      <c r="S872" s="113" t="s">
        <v>229</v>
      </c>
      <c r="T872" s="114" t="s">
        <v>229</v>
      </c>
      <c r="U872" s="109" t="s">
        <v>229</v>
      </c>
      <c r="V872" s="112" t="s">
        <v>229</v>
      </c>
      <c r="W872" s="111" t="s">
        <v>229</v>
      </c>
      <c r="X872" s="112" t="s">
        <v>229</v>
      </c>
      <c r="Y872" s="114" t="s">
        <v>229</v>
      </c>
      <c r="Z872" s="111" t="s">
        <v>229</v>
      </c>
    </row>
    <row r="873" ht="15.75" customHeight="1">
      <c r="A873" s="109"/>
      <c r="B873" s="110"/>
      <c r="C873" s="110"/>
      <c r="D873" s="109"/>
      <c r="E873" s="109"/>
      <c r="F873" s="109"/>
      <c r="G873" s="111"/>
      <c r="H873" s="111"/>
      <c r="I873" s="112"/>
      <c r="J873" s="112"/>
      <c r="K873" s="113"/>
      <c r="L873" s="109"/>
      <c r="M873" s="109"/>
      <c r="N873" s="113" t="s">
        <v>229</v>
      </c>
      <c r="O873" s="113" t="s">
        <v>229</v>
      </c>
      <c r="P873" s="113" t="s">
        <v>229</v>
      </c>
      <c r="Q873" s="113" t="s">
        <v>229</v>
      </c>
      <c r="R873" s="113" t="s">
        <v>229</v>
      </c>
      <c r="S873" s="113" t="s">
        <v>229</v>
      </c>
      <c r="T873" s="114" t="s">
        <v>229</v>
      </c>
      <c r="U873" s="109" t="s">
        <v>229</v>
      </c>
      <c r="V873" s="112" t="s">
        <v>229</v>
      </c>
      <c r="W873" s="111" t="s">
        <v>229</v>
      </c>
      <c r="X873" s="112" t="s">
        <v>229</v>
      </c>
      <c r="Y873" s="114" t="s">
        <v>229</v>
      </c>
      <c r="Z873" s="111" t="s">
        <v>229</v>
      </c>
    </row>
    <row r="874" ht="15.75" customHeight="1">
      <c r="A874" s="109"/>
      <c r="B874" s="110"/>
      <c r="C874" s="110"/>
      <c r="D874" s="109"/>
      <c r="E874" s="109"/>
      <c r="F874" s="109"/>
      <c r="G874" s="111"/>
      <c r="H874" s="111"/>
      <c r="I874" s="112"/>
      <c r="J874" s="112"/>
      <c r="K874" s="113"/>
      <c r="L874" s="109"/>
      <c r="M874" s="109"/>
      <c r="N874" s="113" t="s">
        <v>229</v>
      </c>
      <c r="O874" s="113" t="s">
        <v>229</v>
      </c>
      <c r="P874" s="113" t="s">
        <v>229</v>
      </c>
      <c r="Q874" s="113" t="s">
        <v>229</v>
      </c>
      <c r="R874" s="113" t="s">
        <v>229</v>
      </c>
      <c r="S874" s="113" t="s">
        <v>229</v>
      </c>
      <c r="T874" s="114" t="s">
        <v>229</v>
      </c>
      <c r="U874" s="109" t="s">
        <v>229</v>
      </c>
      <c r="V874" s="112" t="s">
        <v>229</v>
      </c>
      <c r="W874" s="111" t="s">
        <v>229</v>
      </c>
      <c r="X874" s="112" t="s">
        <v>229</v>
      </c>
      <c r="Y874" s="114" t="s">
        <v>229</v>
      </c>
      <c r="Z874" s="111" t="s">
        <v>229</v>
      </c>
    </row>
    <row r="875" ht="15.75" customHeight="1">
      <c r="A875" s="109"/>
      <c r="B875" s="110"/>
      <c r="C875" s="110"/>
      <c r="D875" s="109"/>
      <c r="E875" s="109"/>
      <c r="F875" s="109"/>
      <c r="G875" s="111"/>
      <c r="H875" s="111"/>
      <c r="I875" s="112"/>
      <c r="J875" s="112"/>
      <c r="K875" s="113"/>
      <c r="L875" s="109"/>
      <c r="M875" s="109"/>
      <c r="N875" s="113" t="s">
        <v>229</v>
      </c>
      <c r="O875" s="113" t="s">
        <v>229</v>
      </c>
      <c r="P875" s="113" t="s">
        <v>229</v>
      </c>
      <c r="Q875" s="113" t="s">
        <v>229</v>
      </c>
      <c r="R875" s="113" t="s">
        <v>229</v>
      </c>
      <c r="S875" s="113" t="s">
        <v>229</v>
      </c>
      <c r="T875" s="114" t="s">
        <v>229</v>
      </c>
      <c r="U875" s="109" t="s">
        <v>229</v>
      </c>
      <c r="V875" s="112" t="s">
        <v>229</v>
      </c>
      <c r="W875" s="111" t="s">
        <v>229</v>
      </c>
      <c r="X875" s="112" t="s">
        <v>229</v>
      </c>
      <c r="Y875" s="114" t="s">
        <v>229</v>
      </c>
      <c r="Z875" s="111" t="s">
        <v>229</v>
      </c>
    </row>
    <row r="876" ht="15.75" customHeight="1">
      <c r="A876" s="109"/>
      <c r="B876" s="110"/>
      <c r="C876" s="110"/>
      <c r="D876" s="109"/>
      <c r="E876" s="109"/>
      <c r="F876" s="109"/>
      <c r="G876" s="111"/>
      <c r="H876" s="111"/>
      <c r="I876" s="112"/>
      <c r="J876" s="112"/>
      <c r="K876" s="113"/>
      <c r="L876" s="109"/>
      <c r="M876" s="109"/>
      <c r="N876" s="113" t="s">
        <v>229</v>
      </c>
      <c r="O876" s="113" t="s">
        <v>229</v>
      </c>
      <c r="P876" s="113" t="s">
        <v>229</v>
      </c>
      <c r="Q876" s="113" t="s">
        <v>229</v>
      </c>
      <c r="R876" s="113" t="s">
        <v>229</v>
      </c>
      <c r="S876" s="113" t="s">
        <v>229</v>
      </c>
      <c r="T876" s="114" t="s">
        <v>229</v>
      </c>
      <c r="U876" s="109" t="s">
        <v>229</v>
      </c>
      <c r="V876" s="112" t="s">
        <v>229</v>
      </c>
      <c r="W876" s="111" t="s">
        <v>229</v>
      </c>
      <c r="X876" s="112" t="s">
        <v>229</v>
      </c>
      <c r="Y876" s="114" t="s">
        <v>229</v>
      </c>
      <c r="Z876" s="111" t="s">
        <v>229</v>
      </c>
    </row>
    <row r="877" ht="15.75" customHeight="1">
      <c r="A877" s="109"/>
      <c r="B877" s="110"/>
      <c r="C877" s="110"/>
      <c r="D877" s="109"/>
      <c r="E877" s="109"/>
      <c r="F877" s="109"/>
      <c r="G877" s="111"/>
      <c r="H877" s="111"/>
      <c r="I877" s="112"/>
      <c r="J877" s="112"/>
      <c r="K877" s="113"/>
      <c r="L877" s="109"/>
      <c r="M877" s="109"/>
      <c r="N877" s="113" t="s">
        <v>229</v>
      </c>
      <c r="O877" s="113" t="s">
        <v>229</v>
      </c>
      <c r="P877" s="113" t="s">
        <v>229</v>
      </c>
      <c r="Q877" s="113" t="s">
        <v>229</v>
      </c>
      <c r="R877" s="113" t="s">
        <v>229</v>
      </c>
      <c r="S877" s="113" t="s">
        <v>229</v>
      </c>
      <c r="T877" s="114" t="s">
        <v>229</v>
      </c>
      <c r="U877" s="109" t="s">
        <v>229</v>
      </c>
      <c r="V877" s="112" t="s">
        <v>229</v>
      </c>
      <c r="W877" s="111" t="s">
        <v>229</v>
      </c>
      <c r="X877" s="112" t="s">
        <v>229</v>
      </c>
      <c r="Y877" s="114" t="s">
        <v>229</v>
      </c>
      <c r="Z877" s="111" t="s">
        <v>229</v>
      </c>
    </row>
    <row r="878" ht="15.75" customHeight="1">
      <c r="A878" s="109"/>
      <c r="B878" s="110"/>
      <c r="C878" s="110"/>
      <c r="D878" s="109"/>
      <c r="E878" s="109"/>
      <c r="F878" s="109"/>
      <c r="G878" s="111"/>
      <c r="H878" s="111"/>
      <c r="I878" s="112"/>
      <c r="J878" s="112"/>
      <c r="K878" s="113"/>
      <c r="L878" s="109"/>
      <c r="M878" s="109"/>
      <c r="N878" s="113" t="s">
        <v>229</v>
      </c>
      <c r="O878" s="113" t="s">
        <v>229</v>
      </c>
      <c r="P878" s="113" t="s">
        <v>229</v>
      </c>
      <c r="Q878" s="113" t="s">
        <v>229</v>
      </c>
      <c r="R878" s="113" t="s">
        <v>229</v>
      </c>
      <c r="S878" s="113" t="s">
        <v>229</v>
      </c>
      <c r="T878" s="114" t="s">
        <v>229</v>
      </c>
      <c r="U878" s="109" t="s">
        <v>229</v>
      </c>
      <c r="V878" s="112" t="s">
        <v>229</v>
      </c>
      <c r="W878" s="111" t="s">
        <v>229</v>
      </c>
      <c r="X878" s="112" t="s">
        <v>229</v>
      </c>
      <c r="Y878" s="114" t="s">
        <v>229</v>
      </c>
      <c r="Z878" s="111" t="s">
        <v>229</v>
      </c>
    </row>
    <row r="879" ht="15.75" customHeight="1">
      <c r="A879" s="109"/>
      <c r="B879" s="110"/>
      <c r="C879" s="110"/>
      <c r="D879" s="109"/>
      <c r="E879" s="109"/>
      <c r="F879" s="109"/>
      <c r="G879" s="111"/>
      <c r="H879" s="111"/>
      <c r="I879" s="112"/>
      <c r="J879" s="112"/>
      <c r="K879" s="113"/>
      <c r="L879" s="109"/>
      <c r="M879" s="109"/>
      <c r="N879" s="113" t="s">
        <v>229</v>
      </c>
      <c r="O879" s="113" t="s">
        <v>229</v>
      </c>
      <c r="P879" s="113" t="s">
        <v>229</v>
      </c>
      <c r="Q879" s="113" t="s">
        <v>229</v>
      </c>
      <c r="R879" s="113" t="s">
        <v>229</v>
      </c>
      <c r="S879" s="113" t="s">
        <v>229</v>
      </c>
      <c r="T879" s="114" t="s">
        <v>229</v>
      </c>
      <c r="U879" s="109" t="s">
        <v>229</v>
      </c>
      <c r="V879" s="112" t="s">
        <v>229</v>
      </c>
      <c r="W879" s="111" t="s">
        <v>229</v>
      </c>
      <c r="X879" s="112" t="s">
        <v>229</v>
      </c>
      <c r="Y879" s="114" t="s">
        <v>229</v>
      </c>
      <c r="Z879" s="111" t="s">
        <v>229</v>
      </c>
    </row>
    <row r="880" ht="15.75" customHeight="1">
      <c r="A880" s="109"/>
      <c r="B880" s="110"/>
      <c r="C880" s="110"/>
      <c r="D880" s="109"/>
      <c r="E880" s="109"/>
      <c r="F880" s="109"/>
      <c r="G880" s="111"/>
      <c r="H880" s="111"/>
      <c r="I880" s="112"/>
      <c r="J880" s="112"/>
      <c r="K880" s="113"/>
      <c r="L880" s="109"/>
      <c r="M880" s="109"/>
      <c r="N880" s="113" t="s">
        <v>229</v>
      </c>
      <c r="O880" s="113" t="s">
        <v>229</v>
      </c>
      <c r="P880" s="113" t="s">
        <v>229</v>
      </c>
      <c r="Q880" s="113" t="s">
        <v>229</v>
      </c>
      <c r="R880" s="113" t="s">
        <v>229</v>
      </c>
      <c r="S880" s="113" t="s">
        <v>229</v>
      </c>
      <c r="T880" s="114" t="s">
        <v>229</v>
      </c>
      <c r="U880" s="109" t="s">
        <v>229</v>
      </c>
      <c r="V880" s="112" t="s">
        <v>229</v>
      </c>
      <c r="W880" s="111" t="s">
        <v>229</v>
      </c>
      <c r="X880" s="112" t="s">
        <v>229</v>
      </c>
      <c r="Y880" s="114" t="s">
        <v>229</v>
      </c>
      <c r="Z880" s="111" t="s">
        <v>229</v>
      </c>
    </row>
    <row r="881" ht="15.75" customHeight="1">
      <c r="A881" s="109"/>
      <c r="B881" s="110"/>
      <c r="C881" s="110"/>
      <c r="D881" s="109"/>
      <c r="E881" s="109"/>
      <c r="F881" s="109"/>
      <c r="G881" s="111"/>
      <c r="H881" s="111"/>
      <c r="I881" s="112"/>
      <c r="J881" s="112"/>
      <c r="K881" s="113"/>
      <c r="L881" s="109"/>
      <c r="M881" s="109"/>
      <c r="N881" s="113" t="s">
        <v>229</v>
      </c>
      <c r="O881" s="113" t="s">
        <v>229</v>
      </c>
      <c r="P881" s="113" t="s">
        <v>229</v>
      </c>
      <c r="Q881" s="113" t="s">
        <v>229</v>
      </c>
      <c r="R881" s="113" t="s">
        <v>229</v>
      </c>
      <c r="S881" s="113" t="s">
        <v>229</v>
      </c>
      <c r="T881" s="114" t="s">
        <v>229</v>
      </c>
      <c r="U881" s="109" t="s">
        <v>229</v>
      </c>
      <c r="V881" s="112" t="s">
        <v>229</v>
      </c>
      <c r="W881" s="111" t="s">
        <v>229</v>
      </c>
      <c r="X881" s="112" t="s">
        <v>229</v>
      </c>
      <c r="Y881" s="114" t="s">
        <v>229</v>
      </c>
      <c r="Z881" s="111" t="s">
        <v>229</v>
      </c>
    </row>
    <row r="882" ht="15.75" customHeight="1">
      <c r="A882" s="109"/>
      <c r="B882" s="110"/>
      <c r="C882" s="110"/>
      <c r="D882" s="109"/>
      <c r="E882" s="109"/>
      <c r="F882" s="109"/>
      <c r="G882" s="111"/>
      <c r="H882" s="111"/>
      <c r="I882" s="112"/>
      <c r="J882" s="112"/>
      <c r="K882" s="113"/>
      <c r="L882" s="109"/>
      <c r="M882" s="109"/>
      <c r="N882" s="113" t="s">
        <v>229</v>
      </c>
      <c r="O882" s="113" t="s">
        <v>229</v>
      </c>
      <c r="P882" s="113" t="s">
        <v>229</v>
      </c>
      <c r="Q882" s="113" t="s">
        <v>229</v>
      </c>
      <c r="R882" s="113" t="s">
        <v>229</v>
      </c>
      <c r="S882" s="113" t="s">
        <v>229</v>
      </c>
      <c r="T882" s="114" t="s">
        <v>229</v>
      </c>
      <c r="U882" s="109" t="s">
        <v>229</v>
      </c>
      <c r="V882" s="112" t="s">
        <v>229</v>
      </c>
      <c r="W882" s="111" t="s">
        <v>229</v>
      </c>
      <c r="X882" s="112" t="s">
        <v>229</v>
      </c>
      <c r="Y882" s="114" t="s">
        <v>229</v>
      </c>
      <c r="Z882" s="111" t="s">
        <v>229</v>
      </c>
    </row>
    <row r="883" ht="15.75" customHeight="1">
      <c r="A883" s="109"/>
      <c r="B883" s="110"/>
      <c r="C883" s="110"/>
      <c r="D883" s="109"/>
      <c r="E883" s="109"/>
      <c r="F883" s="109"/>
      <c r="G883" s="111"/>
      <c r="H883" s="111"/>
      <c r="I883" s="112"/>
      <c r="J883" s="112"/>
      <c r="K883" s="113"/>
      <c r="L883" s="109"/>
      <c r="M883" s="109"/>
      <c r="N883" s="113" t="s">
        <v>229</v>
      </c>
      <c r="O883" s="113" t="s">
        <v>229</v>
      </c>
      <c r="P883" s="113" t="s">
        <v>229</v>
      </c>
      <c r="Q883" s="113" t="s">
        <v>229</v>
      </c>
      <c r="R883" s="113" t="s">
        <v>229</v>
      </c>
      <c r="S883" s="113" t="s">
        <v>229</v>
      </c>
      <c r="T883" s="114" t="s">
        <v>229</v>
      </c>
      <c r="U883" s="109" t="s">
        <v>229</v>
      </c>
      <c r="V883" s="112" t="s">
        <v>229</v>
      </c>
      <c r="W883" s="111" t="s">
        <v>229</v>
      </c>
      <c r="X883" s="112" t="s">
        <v>229</v>
      </c>
      <c r="Y883" s="114" t="s">
        <v>229</v>
      </c>
      <c r="Z883" s="111" t="s">
        <v>229</v>
      </c>
    </row>
    <row r="884" ht="15.75" customHeight="1">
      <c r="A884" s="109"/>
      <c r="B884" s="110"/>
      <c r="C884" s="110"/>
      <c r="D884" s="109"/>
      <c r="E884" s="109"/>
      <c r="F884" s="109"/>
      <c r="G884" s="111"/>
      <c r="H884" s="111"/>
      <c r="I884" s="112"/>
      <c r="J884" s="112"/>
      <c r="K884" s="113"/>
      <c r="L884" s="109"/>
      <c r="M884" s="109"/>
      <c r="N884" s="113" t="s">
        <v>229</v>
      </c>
      <c r="O884" s="113" t="s">
        <v>229</v>
      </c>
      <c r="P884" s="113" t="s">
        <v>229</v>
      </c>
      <c r="Q884" s="113" t="s">
        <v>229</v>
      </c>
      <c r="R884" s="113" t="s">
        <v>229</v>
      </c>
      <c r="S884" s="113" t="s">
        <v>229</v>
      </c>
      <c r="T884" s="114" t="s">
        <v>229</v>
      </c>
      <c r="U884" s="109" t="s">
        <v>229</v>
      </c>
      <c r="V884" s="112" t="s">
        <v>229</v>
      </c>
      <c r="W884" s="111" t="s">
        <v>229</v>
      </c>
      <c r="X884" s="112" t="s">
        <v>229</v>
      </c>
      <c r="Y884" s="114" t="s">
        <v>229</v>
      </c>
      <c r="Z884" s="111" t="s">
        <v>229</v>
      </c>
    </row>
    <row r="885" ht="15.75" customHeight="1">
      <c r="A885" s="109"/>
      <c r="B885" s="110"/>
      <c r="C885" s="110"/>
      <c r="D885" s="109"/>
      <c r="E885" s="109"/>
      <c r="F885" s="109"/>
      <c r="G885" s="111"/>
      <c r="H885" s="111"/>
      <c r="I885" s="112"/>
      <c r="J885" s="112"/>
      <c r="K885" s="113"/>
      <c r="L885" s="109"/>
      <c r="M885" s="109"/>
      <c r="N885" s="113" t="s">
        <v>229</v>
      </c>
      <c r="O885" s="113" t="s">
        <v>229</v>
      </c>
      <c r="P885" s="113" t="s">
        <v>229</v>
      </c>
      <c r="Q885" s="113" t="s">
        <v>229</v>
      </c>
      <c r="R885" s="113" t="s">
        <v>229</v>
      </c>
      <c r="S885" s="113" t="s">
        <v>229</v>
      </c>
      <c r="T885" s="114" t="s">
        <v>229</v>
      </c>
      <c r="U885" s="109" t="s">
        <v>229</v>
      </c>
      <c r="V885" s="112" t="s">
        <v>229</v>
      </c>
      <c r="W885" s="111" t="s">
        <v>229</v>
      </c>
      <c r="X885" s="112" t="s">
        <v>229</v>
      </c>
      <c r="Y885" s="114" t="s">
        <v>229</v>
      </c>
      <c r="Z885" s="111" t="s">
        <v>229</v>
      </c>
    </row>
    <row r="886" ht="15.75" customHeight="1">
      <c r="A886" s="109"/>
      <c r="B886" s="110"/>
      <c r="C886" s="110"/>
      <c r="D886" s="109"/>
      <c r="E886" s="109"/>
      <c r="F886" s="109"/>
      <c r="G886" s="111"/>
      <c r="H886" s="111"/>
      <c r="I886" s="112"/>
      <c r="J886" s="112"/>
      <c r="K886" s="113"/>
      <c r="L886" s="109"/>
      <c r="M886" s="109"/>
      <c r="N886" s="113" t="s">
        <v>229</v>
      </c>
      <c r="O886" s="113" t="s">
        <v>229</v>
      </c>
      <c r="P886" s="113" t="s">
        <v>229</v>
      </c>
      <c r="Q886" s="113" t="s">
        <v>229</v>
      </c>
      <c r="R886" s="113" t="s">
        <v>229</v>
      </c>
      <c r="S886" s="113" t="s">
        <v>229</v>
      </c>
      <c r="T886" s="114" t="s">
        <v>229</v>
      </c>
      <c r="U886" s="109" t="s">
        <v>229</v>
      </c>
      <c r="V886" s="112" t="s">
        <v>229</v>
      </c>
      <c r="W886" s="111" t="s">
        <v>229</v>
      </c>
      <c r="X886" s="112" t="s">
        <v>229</v>
      </c>
      <c r="Y886" s="114" t="s">
        <v>229</v>
      </c>
      <c r="Z886" s="111" t="s">
        <v>229</v>
      </c>
    </row>
    <row r="887" ht="15.75" customHeight="1">
      <c r="A887" s="109"/>
      <c r="B887" s="110"/>
      <c r="C887" s="110"/>
      <c r="D887" s="109"/>
      <c r="E887" s="109"/>
      <c r="F887" s="109"/>
      <c r="G887" s="111"/>
      <c r="H887" s="111"/>
      <c r="I887" s="112"/>
      <c r="J887" s="112"/>
      <c r="K887" s="113"/>
      <c r="L887" s="109"/>
      <c r="M887" s="109"/>
      <c r="N887" s="113" t="s">
        <v>229</v>
      </c>
      <c r="O887" s="113" t="s">
        <v>229</v>
      </c>
      <c r="P887" s="113" t="s">
        <v>229</v>
      </c>
      <c r="Q887" s="113" t="s">
        <v>229</v>
      </c>
      <c r="R887" s="113" t="s">
        <v>229</v>
      </c>
      <c r="S887" s="113" t="s">
        <v>229</v>
      </c>
      <c r="T887" s="114" t="s">
        <v>229</v>
      </c>
      <c r="U887" s="109" t="s">
        <v>229</v>
      </c>
      <c r="V887" s="112" t="s">
        <v>229</v>
      </c>
      <c r="W887" s="111" t="s">
        <v>229</v>
      </c>
      <c r="X887" s="112" t="s">
        <v>229</v>
      </c>
      <c r="Y887" s="114" t="s">
        <v>229</v>
      </c>
      <c r="Z887" s="111" t="s">
        <v>229</v>
      </c>
    </row>
    <row r="888" ht="15.75" customHeight="1">
      <c r="A888" s="109"/>
      <c r="B888" s="110"/>
      <c r="C888" s="110"/>
      <c r="D888" s="109"/>
      <c r="E888" s="109"/>
      <c r="F888" s="109"/>
      <c r="G888" s="111"/>
      <c r="H888" s="111"/>
      <c r="I888" s="112"/>
      <c r="J888" s="112"/>
      <c r="K888" s="113"/>
      <c r="L888" s="109"/>
      <c r="M888" s="109"/>
      <c r="N888" s="113" t="s">
        <v>229</v>
      </c>
      <c r="O888" s="113" t="s">
        <v>229</v>
      </c>
      <c r="P888" s="113" t="s">
        <v>229</v>
      </c>
      <c r="Q888" s="113" t="s">
        <v>229</v>
      </c>
      <c r="R888" s="113" t="s">
        <v>229</v>
      </c>
      <c r="S888" s="113" t="s">
        <v>229</v>
      </c>
      <c r="T888" s="114" t="s">
        <v>229</v>
      </c>
      <c r="U888" s="109" t="s">
        <v>229</v>
      </c>
      <c r="V888" s="112" t="s">
        <v>229</v>
      </c>
      <c r="W888" s="111" t="s">
        <v>229</v>
      </c>
      <c r="X888" s="112" t="s">
        <v>229</v>
      </c>
      <c r="Y888" s="114" t="s">
        <v>229</v>
      </c>
      <c r="Z888" s="111" t="s">
        <v>229</v>
      </c>
    </row>
    <row r="889" ht="15.75" customHeight="1">
      <c r="A889" s="109"/>
      <c r="B889" s="110"/>
      <c r="C889" s="110"/>
      <c r="D889" s="109"/>
      <c r="E889" s="109"/>
      <c r="F889" s="109"/>
      <c r="G889" s="111"/>
      <c r="H889" s="111"/>
      <c r="I889" s="112"/>
      <c r="J889" s="112"/>
      <c r="K889" s="113"/>
      <c r="L889" s="109"/>
      <c r="M889" s="109"/>
      <c r="N889" s="113" t="s">
        <v>229</v>
      </c>
      <c r="O889" s="113" t="s">
        <v>229</v>
      </c>
      <c r="P889" s="113" t="s">
        <v>229</v>
      </c>
      <c r="Q889" s="113" t="s">
        <v>229</v>
      </c>
      <c r="R889" s="113" t="s">
        <v>229</v>
      </c>
      <c r="S889" s="113" t="s">
        <v>229</v>
      </c>
      <c r="T889" s="114" t="s">
        <v>229</v>
      </c>
      <c r="U889" s="109" t="s">
        <v>229</v>
      </c>
      <c r="V889" s="112" t="s">
        <v>229</v>
      </c>
      <c r="W889" s="111" t="s">
        <v>229</v>
      </c>
      <c r="X889" s="112" t="s">
        <v>229</v>
      </c>
      <c r="Y889" s="114" t="s">
        <v>229</v>
      </c>
      <c r="Z889" s="111" t="s">
        <v>229</v>
      </c>
    </row>
    <row r="890" ht="15.75" customHeight="1">
      <c r="A890" s="109"/>
      <c r="B890" s="110"/>
      <c r="C890" s="110"/>
      <c r="D890" s="109"/>
      <c r="E890" s="109"/>
      <c r="F890" s="109"/>
      <c r="G890" s="111"/>
      <c r="H890" s="111"/>
      <c r="I890" s="112"/>
      <c r="J890" s="112"/>
      <c r="K890" s="113"/>
      <c r="L890" s="109"/>
      <c r="M890" s="109"/>
      <c r="N890" s="113" t="s">
        <v>229</v>
      </c>
      <c r="O890" s="113" t="s">
        <v>229</v>
      </c>
      <c r="P890" s="113" t="s">
        <v>229</v>
      </c>
      <c r="Q890" s="113" t="s">
        <v>229</v>
      </c>
      <c r="R890" s="113" t="s">
        <v>229</v>
      </c>
      <c r="S890" s="113" t="s">
        <v>229</v>
      </c>
      <c r="T890" s="114" t="s">
        <v>229</v>
      </c>
      <c r="U890" s="109" t="s">
        <v>229</v>
      </c>
      <c r="V890" s="112" t="s">
        <v>229</v>
      </c>
      <c r="W890" s="111" t="s">
        <v>229</v>
      </c>
      <c r="X890" s="112" t="s">
        <v>229</v>
      </c>
      <c r="Y890" s="114" t="s">
        <v>229</v>
      </c>
      <c r="Z890" s="111" t="s">
        <v>229</v>
      </c>
    </row>
    <row r="891" ht="15.75" customHeight="1">
      <c r="A891" s="109"/>
      <c r="B891" s="110"/>
      <c r="C891" s="110"/>
      <c r="D891" s="109"/>
      <c r="E891" s="109"/>
      <c r="F891" s="109"/>
      <c r="G891" s="111"/>
      <c r="H891" s="111"/>
      <c r="I891" s="112"/>
      <c r="J891" s="112"/>
      <c r="K891" s="113"/>
      <c r="L891" s="109"/>
      <c r="M891" s="109"/>
      <c r="N891" s="113" t="s">
        <v>229</v>
      </c>
      <c r="O891" s="113" t="s">
        <v>229</v>
      </c>
      <c r="P891" s="113" t="s">
        <v>229</v>
      </c>
      <c r="Q891" s="113" t="s">
        <v>229</v>
      </c>
      <c r="R891" s="113" t="s">
        <v>229</v>
      </c>
      <c r="S891" s="113" t="s">
        <v>229</v>
      </c>
      <c r="T891" s="114" t="s">
        <v>229</v>
      </c>
      <c r="U891" s="109" t="s">
        <v>229</v>
      </c>
      <c r="V891" s="112" t="s">
        <v>229</v>
      </c>
      <c r="W891" s="111" t="s">
        <v>229</v>
      </c>
      <c r="X891" s="112" t="s">
        <v>229</v>
      </c>
      <c r="Y891" s="114" t="s">
        <v>229</v>
      </c>
      <c r="Z891" s="111" t="s">
        <v>229</v>
      </c>
    </row>
    <row r="892" ht="15.75" customHeight="1">
      <c r="A892" s="109"/>
      <c r="B892" s="110"/>
      <c r="C892" s="110"/>
      <c r="D892" s="109"/>
      <c r="E892" s="109"/>
      <c r="F892" s="109"/>
      <c r="G892" s="111"/>
      <c r="H892" s="111"/>
      <c r="I892" s="112"/>
      <c r="J892" s="112"/>
      <c r="K892" s="113"/>
      <c r="L892" s="109"/>
      <c r="M892" s="109"/>
      <c r="N892" s="113" t="s">
        <v>229</v>
      </c>
      <c r="O892" s="113" t="s">
        <v>229</v>
      </c>
      <c r="P892" s="113" t="s">
        <v>229</v>
      </c>
      <c r="Q892" s="113" t="s">
        <v>229</v>
      </c>
      <c r="R892" s="113" t="s">
        <v>229</v>
      </c>
      <c r="S892" s="113" t="s">
        <v>229</v>
      </c>
      <c r="T892" s="114" t="s">
        <v>229</v>
      </c>
      <c r="U892" s="109" t="s">
        <v>229</v>
      </c>
      <c r="V892" s="112" t="s">
        <v>229</v>
      </c>
      <c r="W892" s="111" t="s">
        <v>229</v>
      </c>
      <c r="X892" s="112" t="s">
        <v>229</v>
      </c>
      <c r="Y892" s="114" t="s">
        <v>229</v>
      </c>
      <c r="Z892" s="111" t="s">
        <v>229</v>
      </c>
    </row>
    <row r="893" ht="15.75" customHeight="1">
      <c r="A893" s="109"/>
      <c r="B893" s="110"/>
      <c r="C893" s="110"/>
      <c r="D893" s="109"/>
      <c r="E893" s="109"/>
      <c r="F893" s="109"/>
      <c r="G893" s="111"/>
      <c r="H893" s="111"/>
      <c r="I893" s="112"/>
      <c r="J893" s="112"/>
      <c r="K893" s="113"/>
      <c r="L893" s="109"/>
      <c r="M893" s="109"/>
      <c r="N893" s="113" t="s">
        <v>229</v>
      </c>
      <c r="O893" s="113" t="s">
        <v>229</v>
      </c>
      <c r="P893" s="113" t="s">
        <v>229</v>
      </c>
      <c r="Q893" s="113" t="s">
        <v>229</v>
      </c>
      <c r="R893" s="113" t="s">
        <v>229</v>
      </c>
      <c r="S893" s="113" t="s">
        <v>229</v>
      </c>
      <c r="T893" s="114" t="s">
        <v>229</v>
      </c>
      <c r="U893" s="109" t="s">
        <v>229</v>
      </c>
      <c r="V893" s="112" t="s">
        <v>229</v>
      </c>
      <c r="W893" s="111" t="s">
        <v>229</v>
      </c>
      <c r="X893" s="112" t="s">
        <v>229</v>
      </c>
      <c r="Y893" s="114" t="s">
        <v>229</v>
      </c>
      <c r="Z893" s="111" t="s">
        <v>229</v>
      </c>
    </row>
    <row r="894" ht="15.75" customHeight="1">
      <c r="A894" s="109"/>
      <c r="B894" s="110"/>
      <c r="C894" s="110"/>
      <c r="D894" s="109"/>
      <c r="E894" s="109"/>
      <c r="F894" s="109"/>
      <c r="G894" s="111"/>
      <c r="H894" s="111"/>
      <c r="I894" s="112"/>
      <c r="J894" s="112"/>
      <c r="K894" s="113"/>
      <c r="L894" s="109"/>
      <c r="M894" s="109"/>
      <c r="N894" s="113" t="s">
        <v>229</v>
      </c>
      <c r="O894" s="113" t="s">
        <v>229</v>
      </c>
      <c r="P894" s="113" t="s">
        <v>229</v>
      </c>
      <c r="Q894" s="113" t="s">
        <v>229</v>
      </c>
      <c r="R894" s="113" t="s">
        <v>229</v>
      </c>
      <c r="S894" s="113" t="s">
        <v>229</v>
      </c>
      <c r="T894" s="114" t="s">
        <v>229</v>
      </c>
      <c r="U894" s="109" t="s">
        <v>229</v>
      </c>
      <c r="V894" s="112" t="s">
        <v>229</v>
      </c>
      <c r="W894" s="111" t="s">
        <v>229</v>
      </c>
      <c r="X894" s="112" t="s">
        <v>229</v>
      </c>
      <c r="Y894" s="114" t="s">
        <v>229</v>
      </c>
      <c r="Z894" s="111" t="s">
        <v>229</v>
      </c>
    </row>
    <row r="895" ht="15.75" customHeight="1">
      <c r="A895" s="109"/>
      <c r="B895" s="110"/>
      <c r="C895" s="110"/>
      <c r="D895" s="109"/>
      <c r="E895" s="109"/>
      <c r="F895" s="109"/>
      <c r="G895" s="111"/>
      <c r="H895" s="111"/>
      <c r="I895" s="112"/>
      <c r="J895" s="112"/>
      <c r="K895" s="113"/>
      <c r="L895" s="109"/>
      <c r="M895" s="109"/>
      <c r="N895" s="113" t="s">
        <v>229</v>
      </c>
      <c r="O895" s="113" t="s">
        <v>229</v>
      </c>
      <c r="P895" s="113" t="s">
        <v>229</v>
      </c>
      <c r="Q895" s="113" t="s">
        <v>229</v>
      </c>
      <c r="R895" s="113" t="s">
        <v>229</v>
      </c>
      <c r="S895" s="113" t="s">
        <v>229</v>
      </c>
      <c r="T895" s="114" t="s">
        <v>229</v>
      </c>
      <c r="U895" s="109" t="s">
        <v>229</v>
      </c>
      <c r="V895" s="112" t="s">
        <v>229</v>
      </c>
      <c r="W895" s="111" t="s">
        <v>229</v>
      </c>
      <c r="X895" s="112" t="s">
        <v>229</v>
      </c>
      <c r="Y895" s="114" t="s">
        <v>229</v>
      </c>
      <c r="Z895" s="111" t="s">
        <v>229</v>
      </c>
    </row>
    <row r="896" ht="15.75" customHeight="1">
      <c r="A896" s="109"/>
      <c r="B896" s="110"/>
      <c r="C896" s="110"/>
      <c r="D896" s="109"/>
      <c r="E896" s="109"/>
      <c r="F896" s="109"/>
      <c r="G896" s="111"/>
      <c r="H896" s="111"/>
      <c r="I896" s="112"/>
      <c r="J896" s="112"/>
      <c r="K896" s="113"/>
      <c r="L896" s="109"/>
      <c r="M896" s="109"/>
      <c r="N896" s="113" t="s">
        <v>229</v>
      </c>
      <c r="O896" s="113" t="s">
        <v>229</v>
      </c>
      <c r="P896" s="113" t="s">
        <v>229</v>
      </c>
      <c r="Q896" s="113" t="s">
        <v>229</v>
      </c>
      <c r="R896" s="113" t="s">
        <v>229</v>
      </c>
      <c r="S896" s="113" t="s">
        <v>229</v>
      </c>
      <c r="T896" s="114" t="s">
        <v>229</v>
      </c>
      <c r="U896" s="109" t="s">
        <v>229</v>
      </c>
      <c r="V896" s="112" t="s">
        <v>229</v>
      </c>
      <c r="W896" s="111" t="s">
        <v>229</v>
      </c>
      <c r="X896" s="112" t="s">
        <v>229</v>
      </c>
      <c r="Y896" s="114" t="s">
        <v>229</v>
      </c>
      <c r="Z896" s="111" t="s">
        <v>229</v>
      </c>
    </row>
    <row r="897" ht="15.75" customHeight="1">
      <c r="A897" s="109"/>
      <c r="B897" s="110"/>
      <c r="C897" s="110"/>
      <c r="D897" s="109"/>
      <c r="E897" s="109"/>
      <c r="F897" s="109"/>
      <c r="G897" s="111"/>
      <c r="H897" s="111"/>
      <c r="I897" s="112"/>
      <c r="J897" s="112"/>
      <c r="K897" s="113"/>
      <c r="L897" s="109"/>
      <c r="M897" s="109"/>
      <c r="N897" s="113" t="s">
        <v>229</v>
      </c>
      <c r="O897" s="113" t="s">
        <v>229</v>
      </c>
      <c r="P897" s="113" t="s">
        <v>229</v>
      </c>
      <c r="Q897" s="113" t="s">
        <v>229</v>
      </c>
      <c r="R897" s="113" t="s">
        <v>229</v>
      </c>
      <c r="S897" s="113" t="s">
        <v>229</v>
      </c>
      <c r="T897" s="114" t="s">
        <v>229</v>
      </c>
      <c r="U897" s="109" t="s">
        <v>229</v>
      </c>
      <c r="V897" s="112" t="s">
        <v>229</v>
      </c>
      <c r="W897" s="111" t="s">
        <v>229</v>
      </c>
      <c r="X897" s="112" t="s">
        <v>229</v>
      </c>
      <c r="Y897" s="114" t="s">
        <v>229</v>
      </c>
      <c r="Z897" s="111" t="s">
        <v>229</v>
      </c>
    </row>
    <row r="898" ht="15.75" customHeight="1">
      <c r="A898" s="109"/>
      <c r="B898" s="110"/>
      <c r="C898" s="110"/>
      <c r="D898" s="109"/>
      <c r="E898" s="109"/>
      <c r="F898" s="109"/>
      <c r="G898" s="111"/>
      <c r="H898" s="111"/>
      <c r="I898" s="112"/>
      <c r="J898" s="112"/>
      <c r="K898" s="113"/>
      <c r="L898" s="109"/>
      <c r="M898" s="109"/>
      <c r="N898" s="113" t="s">
        <v>229</v>
      </c>
      <c r="O898" s="113" t="s">
        <v>229</v>
      </c>
      <c r="P898" s="113" t="s">
        <v>229</v>
      </c>
      <c r="Q898" s="113" t="s">
        <v>229</v>
      </c>
      <c r="R898" s="113" t="s">
        <v>229</v>
      </c>
      <c r="S898" s="113" t="s">
        <v>229</v>
      </c>
      <c r="T898" s="114" t="s">
        <v>229</v>
      </c>
      <c r="U898" s="109" t="s">
        <v>229</v>
      </c>
      <c r="V898" s="112" t="s">
        <v>229</v>
      </c>
      <c r="W898" s="111" t="s">
        <v>229</v>
      </c>
      <c r="X898" s="112" t="s">
        <v>229</v>
      </c>
      <c r="Y898" s="114" t="s">
        <v>229</v>
      </c>
      <c r="Z898" s="111" t="s">
        <v>229</v>
      </c>
    </row>
    <row r="899" ht="15.75" customHeight="1">
      <c r="A899" s="109"/>
      <c r="B899" s="110"/>
      <c r="C899" s="110"/>
      <c r="D899" s="109"/>
      <c r="E899" s="109"/>
      <c r="F899" s="109"/>
      <c r="G899" s="111"/>
      <c r="H899" s="111"/>
      <c r="I899" s="112"/>
      <c r="J899" s="112"/>
      <c r="K899" s="113"/>
      <c r="L899" s="109"/>
      <c r="M899" s="109"/>
      <c r="N899" s="113" t="s">
        <v>229</v>
      </c>
      <c r="O899" s="113" t="s">
        <v>229</v>
      </c>
      <c r="P899" s="113" t="s">
        <v>229</v>
      </c>
      <c r="Q899" s="113" t="s">
        <v>229</v>
      </c>
      <c r="R899" s="113" t="s">
        <v>229</v>
      </c>
      <c r="S899" s="113" t="s">
        <v>229</v>
      </c>
      <c r="T899" s="114" t="s">
        <v>229</v>
      </c>
      <c r="U899" s="109" t="s">
        <v>229</v>
      </c>
      <c r="V899" s="112" t="s">
        <v>229</v>
      </c>
      <c r="W899" s="111" t="s">
        <v>229</v>
      </c>
      <c r="X899" s="112" t="s">
        <v>229</v>
      </c>
      <c r="Y899" s="114" t="s">
        <v>229</v>
      </c>
      <c r="Z899" s="111" t="s">
        <v>229</v>
      </c>
    </row>
    <row r="900" ht="15.75" customHeight="1">
      <c r="A900" s="109"/>
      <c r="B900" s="110"/>
      <c r="C900" s="110"/>
      <c r="D900" s="109"/>
      <c r="E900" s="109"/>
      <c r="F900" s="109"/>
      <c r="G900" s="111"/>
      <c r="H900" s="111"/>
      <c r="I900" s="112"/>
      <c r="J900" s="112"/>
      <c r="K900" s="113"/>
      <c r="L900" s="109"/>
      <c r="M900" s="109"/>
      <c r="N900" s="113" t="s">
        <v>229</v>
      </c>
      <c r="O900" s="113" t="s">
        <v>229</v>
      </c>
      <c r="P900" s="113" t="s">
        <v>229</v>
      </c>
      <c r="Q900" s="113" t="s">
        <v>229</v>
      </c>
      <c r="R900" s="113" t="s">
        <v>229</v>
      </c>
      <c r="S900" s="113" t="s">
        <v>229</v>
      </c>
      <c r="T900" s="114" t="s">
        <v>229</v>
      </c>
      <c r="U900" s="109" t="s">
        <v>229</v>
      </c>
      <c r="V900" s="112" t="s">
        <v>229</v>
      </c>
      <c r="W900" s="111" t="s">
        <v>229</v>
      </c>
      <c r="X900" s="112" t="s">
        <v>229</v>
      </c>
      <c r="Y900" s="114" t="s">
        <v>229</v>
      </c>
      <c r="Z900" s="111" t="s">
        <v>229</v>
      </c>
    </row>
    <row r="901" ht="15.75" customHeight="1">
      <c r="A901" s="109"/>
      <c r="B901" s="110"/>
      <c r="C901" s="110"/>
      <c r="D901" s="109"/>
      <c r="E901" s="109"/>
      <c r="F901" s="109"/>
      <c r="G901" s="111"/>
      <c r="H901" s="111"/>
      <c r="I901" s="112"/>
      <c r="J901" s="112"/>
      <c r="K901" s="113"/>
      <c r="L901" s="109"/>
      <c r="M901" s="109"/>
      <c r="N901" s="113" t="s">
        <v>229</v>
      </c>
      <c r="O901" s="113" t="s">
        <v>229</v>
      </c>
      <c r="P901" s="113" t="s">
        <v>229</v>
      </c>
      <c r="Q901" s="113" t="s">
        <v>229</v>
      </c>
      <c r="R901" s="113" t="s">
        <v>229</v>
      </c>
      <c r="S901" s="113" t="s">
        <v>229</v>
      </c>
      <c r="T901" s="114" t="s">
        <v>229</v>
      </c>
      <c r="U901" s="109" t="s">
        <v>229</v>
      </c>
      <c r="V901" s="112" t="s">
        <v>229</v>
      </c>
      <c r="W901" s="111" t="s">
        <v>229</v>
      </c>
      <c r="X901" s="112" t="s">
        <v>229</v>
      </c>
      <c r="Y901" s="114" t="s">
        <v>229</v>
      </c>
      <c r="Z901" s="111" t="s">
        <v>229</v>
      </c>
    </row>
    <row r="902" ht="15.75" customHeight="1">
      <c r="A902" s="109"/>
      <c r="B902" s="110"/>
      <c r="C902" s="110"/>
      <c r="D902" s="109"/>
      <c r="E902" s="109"/>
      <c r="F902" s="109"/>
      <c r="G902" s="111"/>
      <c r="H902" s="111"/>
      <c r="I902" s="112"/>
      <c r="J902" s="112"/>
      <c r="K902" s="113"/>
      <c r="L902" s="109"/>
      <c r="M902" s="109"/>
      <c r="N902" s="113" t="s">
        <v>229</v>
      </c>
      <c r="O902" s="113" t="s">
        <v>229</v>
      </c>
      <c r="P902" s="113" t="s">
        <v>229</v>
      </c>
      <c r="Q902" s="113" t="s">
        <v>229</v>
      </c>
      <c r="R902" s="113" t="s">
        <v>229</v>
      </c>
      <c r="S902" s="113" t="s">
        <v>229</v>
      </c>
      <c r="T902" s="114" t="s">
        <v>229</v>
      </c>
      <c r="U902" s="109" t="s">
        <v>229</v>
      </c>
      <c r="V902" s="112" t="s">
        <v>229</v>
      </c>
      <c r="W902" s="111" t="s">
        <v>229</v>
      </c>
      <c r="X902" s="112" t="s">
        <v>229</v>
      </c>
      <c r="Y902" s="114" t="s">
        <v>229</v>
      </c>
      <c r="Z902" s="111" t="s">
        <v>229</v>
      </c>
    </row>
    <row r="903" ht="15.75" customHeight="1">
      <c r="A903" s="109"/>
      <c r="B903" s="110"/>
      <c r="C903" s="110"/>
      <c r="D903" s="109"/>
      <c r="E903" s="109"/>
      <c r="F903" s="109"/>
      <c r="G903" s="111"/>
      <c r="H903" s="111"/>
      <c r="I903" s="112"/>
      <c r="J903" s="112"/>
      <c r="K903" s="113"/>
      <c r="L903" s="109"/>
      <c r="M903" s="109"/>
      <c r="N903" s="113" t="s">
        <v>229</v>
      </c>
      <c r="O903" s="113" t="s">
        <v>229</v>
      </c>
      <c r="P903" s="113" t="s">
        <v>229</v>
      </c>
      <c r="Q903" s="113" t="s">
        <v>229</v>
      </c>
      <c r="R903" s="113" t="s">
        <v>229</v>
      </c>
      <c r="S903" s="113" t="s">
        <v>229</v>
      </c>
      <c r="T903" s="114" t="s">
        <v>229</v>
      </c>
      <c r="U903" s="109" t="s">
        <v>229</v>
      </c>
      <c r="V903" s="112" t="s">
        <v>229</v>
      </c>
      <c r="W903" s="111" t="s">
        <v>229</v>
      </c>
      <c r="X903" s="112" t="s">
        <v>229</v>
      </c>
      <c r="Y903" s="114" t="s">
        <v>229</v>
      </c>
      <c r="Z903" s="111" t="s">
        <v>229</v>
      </c>
    </row>
    <row r="904" ht="15.75" customHeight="1">
      <c r="A904" s="109"/>
      <c r="B904" s="110"/>
      <c r="C904" s="110"/>
      <c r="D904" s="109"/>
      <c r="E904" s="109"/>
      <c r="F904" s="109"/>
      <c r="G904" s="111"/>
      <c r="H904" s="111"/>
      <c r="I904" s="112"/>
      <c r="J904" s="112"/>
      <c r="K904" s="113"/>
      <c r="L904" s="109"/>
      <c r="M904" s="109"/>
      <c r="N904" s="113" t="s">
        <v>229</v>
      </c>
      <c r="O904" s="113" t="s">
        <v>229</v>
      </c>
      <c r="P904" s="113" t="s">
        <v>229</v>
      </c>
      <c r="Q904" s="113" t="s">
        <v>229</v>
      </c>
      <c r="R904" s="113" t="s">
        <v>229</v>
      </c>
      <c r="S904" s="113" t="s">
        <v>229</v>
      </c>
      <c r="T904" s="114" t="s">
        <v>229</v>
      </c>
      <c r="U904" s="109" t="s">
        <v>229</v>
      </c>
      <c r="V904" s="112" t="s">
        <v>229</v>
      </c>
      <c r="W904" s="111" t="s">
        <v>229</v>
      </c>
      <c r="X904" s="112" t="s">
        <v>229</v>
      </c>
      <c r="Y904" s="114" t="s">
        <v>229</v>
      </c>
      <c r="Z904" s="111" t="s">
        <v>229</v>
      </c>
    </row>
    <row r="905" ht="15.75" customHeight="1">
      <c r="A905" s="109"/>
      <c r="B905" s="110"/>
      <c r="C905" s="110"/>
      <c r="D905" s="109"/>
      <c r="E905" s="109"/>
      <c r="F905" s="109"/>
      <c r="G905" s="111"/>
      <c r="H905" s="111"/>
      <c r="I905" s="112"/>
      <c r="J905" s="112"/>
      <c r="K905" s="113"/>
      <c r="L905" s="109"/>
      <c r="M905" s="109"/>
      <c r="N905" s="113" t="s">
        <v>229</v>
      </c>
      <c r="O905" s="113" t="s">
        <v>229</v>
      </c>
      <c r="P905" s="113" t="s">
        <v>229</v>
      </c>
      <c r="Q905" s="113" t="s">
        <v>229</v>
      </c>
      <c r="R905" s="113" t="s">
        <v>229</v>
      </c>
      <c r="S905" s="113" t="s">
        <v>229</v>
      </c>
      <c r="T905" s="114" t="s">
        <v>229</v>
      </c>
      <c r="U905" s="109" t="s">
        <v>229</v>
      </c>
      <c r="V905" s="112" t="s">
        <v>229</v>
      </c>
      <c r="W905" s="111" t="s">
        <v>229</v>
      </c>
      <c r="X905" s="112" t="s">
        <v>229</v>
      </c>
      <c r="Y905" s="114" t="s">
        <v>229</v>
      </c>
      <c r="Z905" s="111" t="s">
        <v>229</v>
      </c>
    </row>
    <row r="906" ht="15.75" customHeight="1">
      <c r="A906" s="109"/>
      <c r="B906" s="110"/>
      <c r="C906" s="110"/>
      <c r="D906" s="109"/>
      <c r="E906" s="109"/>
      <c r="F906" s="109"/>
      <c r="G906" s="111"/>
      <c r="H906" s="111"/>
      <c r="I906" s="112"/>
      <c r="J906" s="112"/>
      <c r="K906" s="113"/>
      <c r="L906" s="109"/>
      <c r="M906" s="109"/>
      <c r="N906" s="113" t="s">
        <v>229</v>
      </c>
      <c r="O906" s="113" t="s">
        <v>229</v>
      </c>
      <c r="P906" s="113" t="s">
        <v>229</v>
      </c>
      <c r="Q906" s="113" t="s">
        <v>229</v>
      </c>
      <c r="R906" s="113" t="s">
        <v>229</v>
      </c>
      <c r="S906" s="113" t="s">
        <v>229</v>
      </c>
      <c r="T906" s="114" t="s">
        <v>229</v>
      </c>
      <c r="U906" s="109" t="s">
        <v>229</v>
      </c>
      <c r="V906" s="112" t="s">
        <v>229</v>
      </c>
      <c r="W906" s="111" t="s">
        <v>229</v>
      </c>
      <c r="X906" s="112" t="s">
        <v>229</v>
      </c>
      <c r="Y906" s="114" t="s">
        <v>229</v>
      </c>
      <c r="Z906" s="111" t="s">
        <v>229</v>
      </c>
    </row>
    <row r="907" ht="15.75" customHeight="1">
      <c r="A907" s="109"/>
      <c r="B907" s="110"/>
      <c r="C907" s="110"/>
      <c r="D907" s="109"/>
      <c r="E907" s="109"/>
      <c r="F907" s="109"/>
      <c r="G907" s="111"/>
      <c r="H907" s="111"/>
      <c r="I907" s="112"/>
      <c r="J907" s="112"/>
      <c r="K907" s="113"/>
      <c r="L907" s="109"/>
      <c r="M907" s="109"/>
      <c r="N907" s="113" t="s">
        <v>229</v>
      </c>
      <c r="O907" s="113" t="s">
        <v>229</v>
      </c>
      <c r="P907" s="113" t="s">
        <v>229</v>
      </c>
      <c r="Q907" s="113" t="s">
        <v>229</v>
      </c>
      <c r="R907" s="113" t="s">
        <v>229</v>
      </c>
      <c r="S907" s="113" t="s">
        <v>229</v>
      </c>
      <c r="T907" s="114" t="s">
        <v>229</v>
      </c>
      <c r="U907" s="109" t="s">
        <v>229</v>
      </c>
      <c r="V907" s="112" t="s">
        <v>229</v>
      </c>
      <c r="W907" s="111" t="s">
        <v>229</v>
      </c>
      <c r="X907" s="112" t="s">
        <v>229</v>
      </c>
      <c r="Y907" s="114" t="s">
        <v>229</v>
      </c>
      <c r="Z907" s="111" t="s">
        <v>229</v>
      </c>
    </row>
    <row r="908" ht="15.75" customHeight="1">
      <c r="A908" s="109"/>
      <c r="B908" s="110"/>
      <c r="C908" s="110"/>
      <c r="D908" s="109"/>
      <c r="E908" s="109"/>
      <c r="F908" s="109"/>
      <c r="G908" s="111"/>
      <c r="H908" s="111"/>
      <c r="I908" s="112"/>
      <c r="J908" s="112"/>
      <c r="K908" s="113"/>
      <c r="L908" s="109"/>
      <c r="M908" s="109"/>
      <c r="N908" s="113" t="s">
        <v>229</v>
      </c>
      <c r="O908" s="113" t="s">
        <v>229</v>
      </c>
      <c r="P908" s="113" t="s">
        <v>229</v>
      </c>
      <c r="Q908" s="113" t="s">
        <v>229</v>
      </c>
      <c r="R908" s="113" t="s">
        <v>229</v>
      </c>
      <c r="S908" s="113" t="s">
        <v>229</v>
      </c>
      <c r="T908" s="114" t="s">
        <v>229</v>
      </c>
      <c r="U908" s="109" t="s">
        <v>229</v>
      </c>
      <c r="V908" s="112" t="s">
        <v>229</v>
      </c>
      <c r="W908" s="111" t="s">
        <v>229</v>
      </c>
      <c r="X908" s="112" t="s">
        <v>229</v>
      </c>
      <c r="Y908" s="114" t="s">
        <v>229</v>
      </c>
      <c r="Z908" s="111" t="s">
        <v>229</v>
      </c>
    </row>
    <row r="909" ht="15.75" customHeight="1">
      <c r="A909" s="109"/>
      <c r="B909" s="110"/>
      <c r="C909" s="110"/>
      <c r="D909" s="109"/>
      <c r="E909" s="109"/>
      <c r="F909" s="109"/>
      <c r="G909" s="111"/>
      <c r="H909" s="111"/>
      <c r="I909" s="112"/>
      <c r="J909" s="112"/>
      <c r="K909" s="113"/>
      <c r="L909" s="109"/>
      <c r="M909" s="109"/>
      <c r="N909" s="113" t="s">
        <v>229</v>
      </c>
      <c r="O909" s="113" t="s">
        <v>229</v>
      </c>
      <c r="P909" s="113" t="s">
        <v>229</v>
      </c>
      <c r="Q909" s="113" t="s">
        <v>229</v>
      </c>
      <c r="R909" s="113" t="s">
        <v>229</v>
      </c>
      <c r="S909" s="113" t="s">
        <v>229</v>
      </c>
      <c r="T909" s="114" t="s">
        <v>229</v>
      </c>
      <c r="U909" s="109" t="s">
        <v>229</v>
      </c>
      <c r="V909" s="112" t="s">
        <v>229</v>
      </c>
      <c r="W909" s="111" t="s">
        <v>229</v>
      </c>
      <c r="X909" s="112" t="s">
        <v>229</v>
      </c>
      <c r="Y909" s="114" t="s">
        <v>229</v>
      </c>
      <c r="Z909" s="111" t="s">
        <v>229</v>
      </c>
    </row>
    <row r="910" ht="15.75" customHeight="1">
      <c r="A910" s="109"/>
      <c r="B910" s="110"/>
      <c r="C910" s="110"/>
      <c r="D910" s="109"/>
      <c r="E910" s="109"/>
      <c r="F910" s="109"/>
      <c r="G910" s="111"/>
      <c r="H910" s="111"/>
      <c r="I910" s="112"/>
      <c r="J910" s="112"/>
      <c r="K910" s="113"/>
      <c r="L910" s="109"/>
      <c r="M910" s="109"/>
      <c r="N910" s="113" t="s">
        <v>229</v>
      </c>
      <c r="O910" s="113" t="s">
        <v>229</v>
      </c>
      <c r="P910" s="113" t="s">
        <v>229</v>
      </c>
      <c r="Q910" s="113" t="s">
        <v>229</v>
      </c>
      <c r="R910" s="113" t="s">
        <v>229</v>
      </c>
      <c r="S910" s="113" t="s">
        <v>229</v>
      </c>
      <c r="T910" s="114" t="s">
        <v>229</v>
      </c>
      <c r="U910" s="109" t="s">
        <v>229</v>
      </c>
      <c r="V910" s="112" t="s">
        <v>229</v>
      </c>
      <c r="W910" s="111" t="s">
        <v>229</v>
      </c>
      <c r="X910" s="112" t="s">
        <v>229</v>
      </c>
      <c r="Y910" s="114" t="s">
        <v>229</v>
      </c>
      <c r="Z910" s="111" t="s">
        <v>229</v>
      </c>
    </row>
    <row r="911" ht="15.75" customHeight="1">
      <c r="A911" s="109"/>
      <c r="B911" s="110"/>
      <c r="C911" s="110"/>
      <c r="D911" s="109"/>
      <c r="E911" s="109"/>
      <c r="F911" s="109"/>
      <c r="G911" s="111"/>
      <c r="H911" s="111"/>
      <c r="I911" s="112"/>
      <c r="J911" s="112"/>
      <c r="K911" s="113"/>
      <c r="L911" s="109"/>
      <c r="M911" s="109"/>
      <c r="N911" s="113" t="s">
        <v>229</v>
      </c>
      <c r="O911" s="113" t="s">
        <v>229</v>
      </c>
      <c r="P911" s="113" t="s">
        <v>229</v>
      </c>
      <c r="Q911" s="113" t="s">
        <v>229</v>
      </c>
      <c r="R911" s="113" t="s">
        <v>229</v>
      </c>
      <c r="S911" s="113" t="s">
        <v>229</v>
      </c>
      <c r="T911" s="114" t="s">
        <v>229</v>
      </c>
      <c r="U911" s="109" t="s">
        <v>229</v>
      </c>
      <c r="V911" s="112" t="s">
        <v>229</v>
      </c>
      <c r="W911" s="111" t="s">
        <v>229</v>
      </c>
      <c r="X911" s="112" t="s">
        <v>229</v>
      </c>
      <c r="Y911" s="114" t="s">
        <v>229</v>
      </c>
      <c r="Z911" s="111" t="s">
        <v>229</v>
      </c>
    </row>
    <row r="912" ht="15.75" customHeight="1">
      <c r="A912" s="109"/>
      <c r="B912" s="110"/>
      <c r="C912" s="110"/>
      <c r="D912" s="109"/>
      <c r="E912" s="109"/>
      <c r="F912" s="109"/>
      <c r="G912" s="111"/>
      <c r="H912" s="111"/>
      <c r="I912" s="112"/>
      <c r="J912" s="112"/>
      <c r="K912" s="113"/>
      <c r="L912" s="109"/>
      <c r="M912" s="109"/>
      <c r="N912" s="113" t="s">
        <v>229</v>
      </c>
      <c r="O912" s="113" t="s">
        <v>229</v>
      </c>
      <c r="P912" s="113" t="s">
        <v>229</v>
      </c>
      <c r="Q912" s="113" t="s">
        <v>229</v>
      </c>
      <c r="R912" s="113" t="s">
        <v>229</v>
      </c>
      <c r="S912" s="113" t="s">
        <v>229</v>
      </c>
      <c r="T912" s="114" t="s">
        <v>229</v>
      </c>
      <c r="U912" s="109" t="s">
        <v>229</v>
      </c>
      <c r="V912" s="112" t="s">
        <v>229</v>
      </c>
      <c r="W912" s="111" t="s">
        <v>229</v>
      </c>
      <c r="X912" s="112" t="s">
        <v>229</v>
      </c>
      <c r="Y912" s="114" t="s">
        <v>229</v>
      </c>
      <c r="Z912" s="111" t="s">
        <v>229</v>
      </c>
    </row>
    <row r="913" ht="15.75" customHeight="1">
      <c r="A913" s="109"/>
      <c r="B913" s="110"/>
      <c r="C913" s="110"/>
      <c r="D913" s="109"/>
      <c r="E913" s="109"/>
      <c r="F913" s="109"/>
      <c r="G913" s="111"/>
      <c r="H913" s="111"/>
      <c r="I913" s="112"/>
      <c r="J913" s="112"/>
      <c r="K913" s="113"/>
      <c r="L913" s="109"/>
      <c r="M913" s="109"/>
      <c r="N913" s="113" t="s">
        <v>229</v>
      </c>
      <c r="O913" s="113" t="s">
        <v>229</v>
      </c>
      <c r="P913" s="113" t="s">
        <v>229</v>
      </c>
      <c r="Q913" s="113" t="s">
        <v>229</v>
      </c>
      <c r="R913" s="113" t="s">
        <v>229</v>
      </c>
      <c r="S913" s="113" t="s">
        <v>229</v>
      </c>
      <c r="T913" s="114" t="s">
        <v>229</v>
      </c>
      <c r="U913" s="109" t="s">
        <v>229</v>
      </c>
      <c r="V913" s="112" t="s">
        <v>229</v>
      </c>
      <c r="W913" s="111" t="s">
        <v>229</v>
      </c>
      <c r="X913" s="112" t="s">
        <v>229</v>
      </c>
      <c r="Y913" s="114" t="s">
        <v>229</v>
      </c>
      <c r="Z913" s="111" t="s">
        <v>229</v>
      </c>
    </row>
    <row r="914" ht="15.75" customHeight="1">
      <c r="A914" s="109"/>
      <c r="B914" s="110"/>
      <c r="C914" s="110"/>
      <c r="D914" s="109"/>
      <c r="E914" s="109"/>
      <c r="F914" s="109"/>
      <c r="G914" s="111"/>
      <c r="H914" s="111"/>
      <c r="I914" s="112"/>
      <c r="J914" s="112"/>
      <c r="K914" s="113"/>
      <c r="L914" s="109"/>
      <c r="M914" s="109"/>
      <c r="N914" s="113" t="s">
        <v>229</v>
      </c>
      <c r="O914" s="113" t="s">
        <v>229</v>
      </c>
      <c r="P914" s="113" t="s">
        <v>229</v>
      </c>
      <c r="Q914" s="113" t="s">
        <v>229</v>
      </c>
      <c r="R914" s="113" t="s">
        <v>229</v>
      </c>
      <c r="S914" s="113" t="s">
        <v>229</v>
      </c>
      <c r="T914" s="114" t="s">
        <v>229</v>
      </c>
      <c r="U914" s="109" t="s">
        <v>229</v>
      </c>
      <c r="V914" s="112" t="s">
        <v>229</v>
      </c>
      <c r="W914" s="111" t="s">
        <v>229</v>
      </c>
      <c r="X914" s="112" t="s">
        <v>229</v>
      </c>
      <c r="Y914" s="114" t="s">
        <v>229</v>
      </c>
      <c r="Z914" s="111" t="s">
        <v>229</v>
      </c>
    </row>
    <row r="915" ht="15.75" customHeight="1">
      <c r="A915" s="109"/>
      <c r="B915" s="110"/>
      <c r="C915" s="110"/>
      <c r="D915" s="109"/>
      <c r="E915" s="109"/>
      <c r="F915" s="109"/>
      <c r="G915" s="111"/>
      <c r="H915" s="111"/>
      <c r="I915" s="112"/>
      <c r="J915" s="112"/>
      <c r="K915" s="113"/>
      <c r="L915" s="109"/>
      <c r="M915" s="109"/>
      <c r="N915" s="113" t="s">
        <v>229</v>
      </c>
      <c r="O915" s="113" t="s">
        <v>229</v>
      </c>
      <c r="P915" s="113" t="s">
        <v>229</v>
      </c>
      <c r="Q915" s="113" t="s">
        <v>229</v>
      </c>
      <c r="R915" s="113" t="s">
        <v>229</v>
      </c>
      <c r="S915" s="113" t="s">
        <v>229</v>
      </c>
      <c r="T915" s="114" t="s">
        <v>229</v>
      </c>
      <c r="U915" s="109" t="s">
        <v>229</v>
      </c>
      <c r="V915" s="112" t="s">
        <v>229</v>
      </c>
      <c r="W915" s="111" t="s">
        <v>229</v>
      </c>
      <c r="X915" s="112" t="s">
        <v>229</v>
      </c>
      <c r="Y915" s="114" t="s">
        <v>229</v>
      </c>
      <c r="Z915" s="111" t="s">
        <v>229</v>
      </c>
    </row>
    <row r="916" ht="15.75" customHeight="1">
      <c r="A916" s="109"/>
      <c r="B916" s="110"/>
      <c r="C916" s="110"/>
      <c r="D916" s="109"/>
      <c r="E916" s="109"/>
      <c r="F916" s="109"/>
      <c r="G916" s="111"/>
      <c r="H916" s="111"/>
      <c r="I916" s="112"/>
      <c r="J916" s="112"/>
      <c r="K916" s="113"/>
      <c r="L916" s="109"/>
      <c r="M916" s="109"/>
      <c r="N916" s="113" t="s">
        <v>229</v>
      </c>
      <c r="O916" s="113" t="s">
        <v>229</v>
      </c>
      <c r="P916" s="113" t="s">
        <v>229</v>
      </c>
      <c r="Q916" s="113" t="s">
        <v>229</v>
      </c>
      <c r="R916" s="113" t="s">
        <v>229</v>
      </c>
      <c r="S916" s="113" t="s">
        <v>229</v>
      </c>
      <c r="T916" s="114" t="s">
        <v>229</v>
      </c>
      <c r="U916" s="109" t="s">
        <v>229</v>
      </c>
      <c r="V916" s="112" t="s">
        <v>229</v>
      </c>
      <c r="W916" s="111" t="s">
        <v>229</v>
      </c>
      <c r="X916" s="112" t="s">
        <v>229</v>
      </c>
      <c r="Y916" s="114" t="s">
        <v>229</v>
      </c>
      <c r="Z916" s="111" t="s">
        <v>229</v>
      </c>
    </row>
    <row r="917" ht="15.75" customHeight="1">
      <c r="A917" s="109"/>
      <c r="B917" s="110"/>
      <c r="C917" s="110"/>
      <c r="D917" s="109"/>
      <c r="E917" s="109"/>
      <c r="F917" s="109"/>
      <c r="G917" s="111"/>
      <c r="H917" s="111"/>
      <c r="I917" s="112"/>
      <c r="J917" s="112"/>
      <c r="K917" s="113"/>
      <c r="L917" s="109"/>
      <c r="M917" s="109"/>
      <c r="N917" s="113" t="s">
        <v>229</v>
      </c>
      <c r="O917" s="113" t="s">
        <v>229</v>
      </c>
      <c r="P917" s="113" t="s">
        <v>229</v>
      </c>
      <c r="Q917" s="113" t="s">
        <v>229</v>
      </c>
      <c r="R917" s="113" t="s">
        <v>229</v>
      </c>
      <c r="S917" s="113" t="s">
        <v>229</v>
      </c>
      <c r="T917" s="114" t="s">
        <v>229</v>
      </c>
      <c r="U917" s="109" t="s">
        <v>229</v>
      </c>
      <c r="V917" s="112" t="s">
        <v>229</v>
      </c>
      <c r="W917" s="111" t="s">
        <v>229</v>
      </c>
      <c r="X917" s="112" t="s">
        <v>229</v>
      </c>
      <c r="Y917" s="114" t="s">
        <v>229</v>
      </c>
      <c r="Z917" s="111" t="s">
        <v>229</v>
      </c>
    </row>
    <row r="918" ht="15.75" customHeight="1">
      <c r="A918" s="109"/>
      <c r="B918" s="110"/>
      <c r="C918" s="110"/>
      <c r="D918" s="109"/>
      <c r="E918" s="109"/>
      <c r="F918" s="109"/>
      <c r="G918" s="111"/>
      <c r="H918" s="111"/>
      <c r="I918" s="112"/>
      <c r="J918" s="112"/>
      <c r="K918" s="113"/>
      <c r="L918" s="109"/>
      <c r="M918" s="109"/>
      <c r="N918" s="113" t="s">
        <v>229</v>
      </c>
      <c r="O918" s="113" t="s">
        <v>229</v>
      </c>
      <c r="P918" s="113" t="s">
        <v>229</v>
      </c>
      <c r="Q918" s="113" t="s">
        <v>229</v>
      </c>
      <c r="R918" s="113" t="s">
        <v>229</v>
      </c>
      <c r="S918" s="113" t="s">
        <v>229</v>
      </c>
      <c r="T918" s="114" t="s">
        <v>229</v>
      </c>
      <c r="U918" s="109" t="s">
        <v>229</v>
      </c>
      <c r="V918" s="112" t="s">
        <v>229</v>
      </c>
      <c r="W918" s="111" t="s">
        <v>229</v>
      </c>
      <c r="X918" s="112" t="s">
        <v>229</v>
      </c>
      <c r="Y918" s="114" t="s">
        <v>229</v>
      </c>
      <c r="Z918" s="111" t="s">
        <v>229</v>
      </c>
    </row>
    <row r="919" ht="15.75" customHeight="1">
      <c r="A919" s="109"/>
      <c r="B919" s="110"/>
      <c r="C919" s="110"/>
      <c r="D919" s="109"/>
      <c r="E919" s="109"/>
      <c r="F919" s="109"/>
      <c r="G919" s="111"/>
      <c r="H919" s="111"/>
      <c r="I919" s="112"/>
      <c r="J919" s="112"/>
      <c r="K919" s="113"/>
      <c r="L919" s="109"/>
      <c r="M919" s="109"/>
      <c r="N919" s="113" t="s">
        <v>229</v>
      </c>
      <c r="O919" s="113" t="s">
        <v>229</v>
      </c>
      <c r="P919" s="113" t="s">
        <v>229</v>
      </c>
      <c r="Q919" s="113" t="s">
        <v>229</v>
      </c>
      <c r="R919" s="113" t="s">
        <v>229</v>
      </c>
      <c r="S919" s="113" t="s">
        <v>229</v>
      </c>
      <c r="T919" s="114" t="s">
        <v>229</v>
      </c>
      <c r="U919" s="109" t="s">
        <v>229</v>
      </c>
      <c r="V919" s="112" t="s">
        <v>229</v>
      </c>
      <c r="W919" s="111" t="s">
        <v>229</v>
      </c>
      <c r="X919" s="112" t="s">
        <v>229</v>
      </c>
      <c r="Y919" s="114" t="s">
        <v>229</v>
      </c>
      <c r="Z919" s="111" t="s">
        <v>229</v>
      </c>
    </row>
    <row r="920" ht="15.75" customHeight="1">
      <c r="A920" s="109"/>
      <c r="B920" s="110"/>
      <c r="C920" s="110"/>
      <c r="D920" s="109"/>
      <c r="E920" s="109"/>
      <c r="F920" s="109"/>
      <c r="G920" s="111"/>
      <c r="H920" s="111"/>
      <c r="I920" s="112"/>
      <c r="J920" s="112"/>
      <c r="K920" s="113"/>
      <c r="L920" s="109"/>
      <c r="M920" s="109"/>
      <c r="N920" s="113" t="s">
        <v>229</v>
      </c>
      <c r="O920" s="113" t="s">
        <v>229</v>
      </c>
      <c r="P920" s="113" t="s">
        <v>229</v>
      </c>
      <c r="Q920" s="113" t="s">
        <v>229</v>
      </c>
      <c r="R920" s="113" t="s">
        <v>229</v>
      </c>
      <c r="S920" s="113" t="s">
        <v>229</v>
      </c>
      <c r="T920" s="114" t="s">
        <v>229</v>
      </c>
      <c r="U920" s="109" t="s">
        <v>229</v>
      </c>
      <c r="V920" s="112" t="s">
        <v>229</v>
      </c>
      <c r="W920" s="111" t="s">
        <v>229</v>
      </c>
      <c r="X920" s="112" t="s">
        <v>229</v>
      </c>
      <c r="Y920" s="114" t="s">
        <v>229</v>
      </c>
      <c r="Z920" s="111" t="s">
        <v>229</v>
      </c>
    </row>
    <row r="921" ht="15.75" customHeight="1">
      <c r="A921" s="109"/>
      <c r="B921" s="110"/>
      <c r="C921" s="110"/>
      <c r="D921" s="109"/>
      <c r="E921" s="109"/>
      <c r="F921" s="109"/>
      <c r="G921" s="111"/>
      <c r="H921" s="111"/>
      <c r="I921" s="112"/>
      <c r="J921" s="112"/>
      <c r="K921" s="113"/>
      <c r="L921" s="109"/>
      <c r="M921" s="109"/>
      <c r="N921" s="113" t="s">
        <v>229</v>
      </c>
      <c r="O921" s="113" t="s">
        <v>229</v>
      </c>
      <c r="P921" s="113" t="s">
        <v>229</v>
      </c>
      <c r="Q921" s="113" t="s">
        <v>229</v>
      </c>
      <c r="R921" s="113" t="s">
        <v>229</v>
      </c>
      <c r="S921" s="113" t="s">
        <v>229</v>
      </c>
      <c r="T921" s="114" t="s">
        <v>229</v>
      </c>
      <c r="U921" s="109" t="s">
        <v>229</v>
      </c>
      <c r="V921" s="112" t="s">
        <v>229</v>
      </c>
      <c r="W921" s="111" t="s">
        <v>229</v>
      </c>
      <c r="X921" s="112" t="s">
        <v>229</v>
      </c>
      <c r="Y921" s="114" t="s">
        <v>229</v>
      </c>
      <c r="Z921" s="111" t="s">
        <v>229</v>
      </c>
    </row>
    <row r="922" ht="15.75" customHeight="1">
      <c r="A922" s="109"/>
      <c r="B922" s="110"/>
      <c r="C922" s="110"/>
      <c r="D922" s="109"/>
      <c r="E922" s="109"/>
      <c r="F922" s="109"/>
      <c r="G922" s="111"/>
      <c r="H922" s="111"/>
      <c r="I922" s="112"/>
      <c r="J922" s="112"/>
      <c r="K922" s="113"/>
      <c r="L922" s="109"/>
      <c r="M922" s="109"/>
      <c r="N922" s="113" t="s">
        <v>229</v>
      </c>
      <c r="O922" s="113" t="s">
        <v>229</v>
      </c>
      <c r="P922" s="113" t="s">
        <v>229</v>
      </c>
      <c r="Q922" s="113" t="s">
        <v>229</v>
      </c>
      <c r="R922" s="113" t="s">
        <v>229</v>
      </c>
      <c r="S922" s="113" t="s">
        <v>229</v>
      </c>
      <c r="T922" s="114" t="s">
        <v>229</v>
      </c>
      <c r="U922" s="109" t="s">
        <v>229</v>
      </c>
      <c r="V922" s="112" t="s">
        <v>229</v>
      </c>
      <c r="W922" s="111" t="s">
        <v>229</v>
      </c>
      <c r="X922" s="112" t="s">
        <v>229</v>
      </c>
      <c r="Y922" s="114" t="s">
        <v>229</v>
      </c>
      <c r="Z922" s="111" t="s">
        <v>229</v>
      </c>
    </row>
    <row r="923" ht="15.75" customHeight="1">
      <c r="A923" s="109"/>
      <c r="B923" s="110"/>
      <c r="C923" s="110"/>
      <c r="D923" s="109"/>
      <c r="E923" s="109"/>
      <c r="F923" s="109"/>
      <c r="G923" s="111"/>
      <c r="H923" s="111"/>
      <c r="I923" s="112"/>
      <c r="J923" s="112"/>
      <c r="K923" s="113"/>
      <c r="L923" s="109"/>
      <c r="M923" s="109"/>
      <c r="N923" s="113" t="s">
        <v>229</v>
      </c>
      <c r="O923" s="113" t="s">
        <v>229</v>
      </c>
      <c r="P923" s="113" t="s">
        <v>229</v>
      </c>
      <c r="Q923" s="113" t="s">
        <v>229</v>
      </c>
      <c r="R923" s="113" t="s">
        <v>229</v>
      </c>
      <c r="S923" s="113" t="s">
        <v>229</v>
      </c>
      <c r="T923" s="114" t="s">
        <v>229</v>
      </c>
      <c r="U923" s="109" t="s">
        <v>229</v>
      </c>
      <c r="V923" s="112" t="s">
        <v>229</v>
      </c>
      <c r="W923" s="111" t="s">
        <v>229</v>
      </c>
      <c r="X923" s="112" t="s">
        <v>229</v>
      </c>
      <c r="Y923" s="114" t="s">
        <v>229</v>
      </c>
      <c r="Z923" s="111" t="s">
        <v>229</v>
      </c>
    </row>
    <row r="924" ht="15.75" customHeight="1">
      <c r="A924" s="109"/>
      <c r="B924" s="110"/>
      <c r="C924" s="110"/>
      <c r="D924" s="109"/>
      <c r="E924" s="109"/>
      <c r="F924" s="109"/>
      <c r="G924" s="111"/>
      <c r="H924" s="111"/>
      <c r="I924" s="112"/>
      <c r="J924" s="112"/>
      <c r="K924" s="113"/>
      <c r="L924" s="109"/>
      <c r="M924" s="109"/>
      <c r="N924" s="113" t="s">
        <v>229</v>
      </c>
      <c r="O924" s="113" t="s">
        <v>229</v>
      </c>
      <c r="P924" s="113" t="s">
        <v>229</v>
      </c>
      <c r="Q924" s="113" t="s">
        <v>229</v>
      </c>
      <c r="R924" s="113" t="s">
        <v>229</v>
      </c>
      <c r="S924" s="113" t="s">
        <v>229</v>
      </c>
      <c r="T924" s="114" t="s">
        <v>229</v>
      </c>
      <c r="U924" s="109" t="s">
        <v>229</v>
      </c>
      <c r="V924" s="112" t="s">
        <v>229</v>
      </c>
      <c r="W924" s="111" t="s">
        <v>229</v>
      </c>
      <c r="X924" s="112" t="s">
        <v>229</v>
      </c>
      <c r="Y924" s="114" t="s">
        <v>229</v>
      </c>
      <c r="Z924" s="111" t="s">
        <v>229</v>
      </c>
    </row>
    <row r="925" ht="15.75" customHeight="1">
      <c r="A925" s="109"/>
      <c r="B925" s="110"/>
      <c r="C925" s="110"/>
      <c r="D925" s="109"/>
      <c r="E925" s="109"/>
      <c r="F925" s="109"/>
      <c r="G925" s="111"/>
      <c r="H925" s="111"/>
      <c r="I925" s="112"/>
      <c r="J925" s="112"/>
      <c r="K925" s="113"/>
      <c r="L925" s="109"/>
      <c r="M925" s="109"/>
      <c r="N925" s="113" t="s">
        <v>229</v>
      </c>
      <c r="O925" s="113" t="s">
        <v>229</v>
      </c>
      <c r="P925" s="113" t="s">
        <v>229</v>
      </c>
      <c r="Q925" s="113" t="s">
        <v>229</v>
      </c>
      <c r="R925" s="113" t="s">
        <v>229</v>
      </c>
      <c r="S925" s="113" t="s">
        <v>229</v>
      </c>
      <c r="T925" s="114" t="s">
        <v>229</v>
      </c>
      <c r="U925" s="109" t="s">
        <v>229</v>
      </c>
      <c r="V925" s="112" t="s">
        <v>229</v>
      </c>
      <c r="W925" s="111" t="s">
        <v>229</v>
      </c>
      <c r="X925" s="112" t="s">
        <v>229</v>
      </c>
      <c r="Y925" s="114" t="s">
        <v>229</v>
      </c>
      <c r="Z925" s="111" t="s">
        <v>229</v>
      </c>
    </row>
    <row r="926" ht="15.75" customHeight="1">
      <c r="A926" s="109"/>
      <c r="B926" s="110"/>
      <c r="C926" s="110"/>
      <c r="D926" s="109"/>
      <c r="E926" s="109"/>
      <c r="F926" s="109"/>
      <c r="G926" s="111"/>
      <c r="H926" s="111"/>
      <c r="I926" s="112"/>
      <c r="J926" s="112"/>
      <c r="K926" s="113"/>
      <c r="L926" s="109"/>
      <c r="M926" s="109"/>
      <c r="N926" s="113" t="s">
        <v>229</v>
      </c>
      <c r="O926" s="113" t="s">
        <v>229</v>
      </c>
      <c r="P926" s="113" t="s">
        <v>229</v>
      </c>
      <c r="Q926" s="113" t="s">
        <v>229</v>
      </c>
      <c r="R926" s="113" t="s">
        <v>229</v>
      </c>
      <c r="S926" s="113" t="s">
        <v>229</v>
      </c>
      <c r="T926" s="114" t="s">
        <v>229</v>
      </c>
      <c r="U926" s="109" t="s">
        <v>229</v>
      </c>
      <c r="V926" s="112" t="s">
        <v>229</v>
      </c>
      <c r="W926" s="111" t="s">
        <v>229</v>
      </c>
      <c r="X926" s="112" t="s">
        <v>229</v>
      </c>
      <c r="Y926" s="114" t="s">
        <v>229</v>
      </c>
      <c r="Z926" s="111" t="s">
        <v>229</v>
      </c>
    </row>
    <row r="927" ht="15.75" customHeight="1">
      <c r="A927" s="109"/>
      <c r="B927" s="110"/>
      <c r="C927" s="110"/>
      <c r="D927" s="109"/>
      <c r="E927" s="109"/>
      <c r="F927" s="109"/>
      <c r="G927" s="111"/>
      <c r="H927" s="111"/>
      <c r="I927" s="112"/>
      <c r="J927" s="112"/>
      <c r="K927" s="113"/>
      <c r="L927" s="109"/>
      <c r="M927" s="109"/>
      <c r="N927" s="113" t="s">
        <v>229</v>
      </c>
      <c r="O927" s="113" t="s">
        <v>229</v>
      </c>
      <c r="P927" s="113" t="s">
        <v>229</v>
      </c>
      <c r="Q927" s="113" t="s">
        <v>229</v>
      </c>
      <c r="R927" s="113" t="s">
        <v>229</v>
      </c>
      <c r="S927" s="113" t="s">
        <v>229</v>
      </c>
      <c r="T927" s="114" t="s">
        <v>229</v>
      </c>
      <c r="U927" s="109" t="s">
        <v>229</v>
      </c>
      <c r="V927" s="112" t="s">
        <v>229</v>
      </c>
      <c r="W927" s="111" t="s">
        <v>229</v>
      </c>
      <c r="X927" s="112" t="s">
        <v>229</v>
      </c>
      <c r="Y927" s="114" t="s">
        <v>229</v>
      </c>
      <c r="Z927" s="111" t="s">
        <v>229</v>
      </c>
    </row>
    <row r="928" ht="15.75" customHeight="1">
      <c r="A928" s="109"/>
      <c r="B928" s="110"/>
      <c r="C928" s="110"/>
      <c r="D928" s="109"/>
      <c r="E928" s="109"/>
      <c r="F928" s="109"/>
      <c r="G928" s="111"/>
      <c r="H928" s="111"/>
      <c r="I928" s="112"/>
      <c r="J928" s="112"/>
      <c r="K928" s="113"/>
      <c r="L928" s="109"/>
      <c r="M928" s="109"/>
      <c r="N928" s="113" t="s">
        <v>229</v>
      </c>
      <c r="O928" s="113" t="s">
        <v>229</v>
      </c>
      <c r="P928" s="113" t="s">
        <v>229</v>
      </c>
      <c r="Q928" s="113" t="s">
        <v>229</v>
      </c>
      <c r="R928" s="113" t="s">
        <v>229</v>
      </c>
      <c r="S928" s="113" t="s">
        <v>229</v>
      </c>
      <c r="T928" s="114" t="s">
        <v>229</v>
      </c>
      <c r="U928" s="109" t="s">
        <v>229</v>
      </c>
      <c r="V928" s="112" t="s">
        <v>229</v>
      </c>
      <c r="W928" s="111" t="s">
        <v>229</v>
      </c>
      <c r="X928" s="112" t="s">
        <v>229</v>
      </c>
      <c r="Y928" s="114" t="s">
        <v>229</v>
      </c>
      <c r="Z928" s="111" t="s">
        <v>229</v>
      </c>
    </row>
    <row r="929" ht="15.75" customHeight="1">
      <c r="A929" s="109"/>
      <c r="B929" s="110"/>
      <c r="C929" s="110"/>
      <c r="D929" s="109"/>
      <c r="E929" s="109"/>
      <c r="F929" s="109"/>
      <c r="G929" s="111"/>
      <c r="H929" s="111"/>
      <c r="I929" s="112"/>
      <c r="J929" s="112"/>
      <c r="K929" s="113"/>
      <c r="L929" s="109"/>
      <c r="M929" s="109"/>
      <c r="N929" s="113" t="s">
        <v>229</v>
      </c>
      <c r="O929" s="113" t="s">
        <v>229</v>
      </c>
      <c r="P929" s="113" t="s">
        <v>229</v>
      </c>
      <c r="Q929" s="113" t="s">
        <v>229</v>
      </c>
      <c r="R929" s="113" t="s">
        <v>229</v>
      </c>
      <c r="S929" s="113" t="s">
        <v>229</v>
      </c>
      <c r="T929" s="114" t="s">
        <v>229</v>
      </c>
      <c r="U929" s="109" t="s">
        <v>229</v>
      </c>
      <c r="V929" s="112" t="s">
        <v>229</v>
      </c>
      <c r="W929" s="111" t="s">
        <v>229</v>
      </c>
      <c r="X929" s="112" t="s">
        <v>229</v>
      </c>
      <c r="Y929" s="114" t="s">
        <v>229</v>
      </c>
      <c r="Z929" s="111" t="s">
        <v>229</v>
      </c>
    </row>
    <row r="930" ht="15.75" customHeight="1">
      <c r="A930" s="109"/>
      <c r="B930" s="110"/>
      <c r="C930" s="110"/>
      <c r="D930" s="109"/>
      <c r="E930" s="109"/>
      <c r="F930" s="109"/>
      <c r="G930" s="111"/>
      <c r="H930" s="111"/>
      <c r="I930" s="112"/>
      <c r="J930" s="112"/>
      <c r="K930" s="113"/>
      <c r="L930" s="109"/>
      <c r="M930" s="109"/>
      <c r="N930" s="113" t="s">
        <v>229</v>
      </c>
      <c r="O930" s="113" t="s">
        <v>229</v>
      </c>
      <c r="P930" s="113" t="s">
        <v>229</v>
      </c>
      <c r="Q930" s="113" t="s">
        <v>229</v>
      </c>
      <c r="R930" s="113" t="s">
        <v>229</v>
      </c>
      <c r="S930" s="113" t="s">
        <v>229</v>
      </c>
      <c r="T930" s="114" t="s">
        <v>229</v>
      </c>
      <c r="U930" s="109" t="s">
        <v>229</v>
      </c>
      <c r="V930" s="112" t="s">
        <v>229</v>
      </c>
      <c r="W930" s="111" t="s">
        <v>229</v>
      </c>
      <c r="X930" s="112" t="s">
        <v>229</v>
      </c>
      <c r="Y930" s="114" t="s">
        <v>229</v>
      </c>
      <c r="Z930" s="111" t="s">
        <v>229</v>
      </c>
    </row>
    <row r="931" ht="15.75" customHeight="1">
      <c r="A931" s="109"/>
      <c r="B931" s="110"/>
      <c r="C931" s="110"/>
      <c r="D931" s="109"/>
      <c r="E931" s="109"/>
      <c r="F931" s="109"/>
      <c r="G931" s="111"/>
      <c r="H931" s="111"/>
      <c r="I931" s="112"/>
      <c r="J931" s="112"/>
      <c r="K931" s="113"/>
      <c r="L931" s="109"/>
      <c r="M931" s="109"/>
      <c r="N931" s="113" t="s">
        <v>229</v>
      </c>
      <c r="O931" s="113" t="s">
        <v>229</v>
      </c>
      <c r="P931" s="113" t="s">
        <v>229</v>
      </c>
      <c r="Q931" s="113" t="s">
        <v>229</v>
      </c>
      <c r="R931" s="113" t="s">
        <v>229</v>
      </c>
      <c r="S931" s="113" t="s">
        <v>229</v>
      </c>
      <c r="T931" s="114" t="s">
        <v>229</v>
      </c>
      <c r="U931" s="109" t="s">
        <v>229</v>
      </c>
      <c r="V931" s="112" t="s">
        <v>229</v>
      </c>
      <c r="W931" s="111" t="s">
        <v>229</v>
      </c>
      <c r="X931" s="112" t="s">
        <v>229</v>
      </c>
      <c r="Y931" s="114" t="s">
        <v>229</v>
      </c>
      <c r="Z931" s="111" t="s">
        <v>229</v>
      </c>
    </row>
    <row r="932" ht="15.75" customHeight="1">
      <c r="A932" s="109"/>
      <c r="B932" s="110"/>
      <c r="C932" s="110"/>
      <c r="D932" s="109"/>
      <c r="E932" s="109"/>
      <c r="F932" s="109"/>
      <c r="G932" s="111"/>
      <c r="H932" s="111"/>
      <c r="I932" s="112"/>
      <c r="J932" s="112"/>
      <c r="K932" s="113"/>
      <c r="L932" s="109"/>
      <c r="M932" s="109"/>
      <c r="N932" s="113" t="s">
        <v>229</v>
      </c>
      <c r="O932" s="113" t="s">
        <v>229</v>
      </c>
      <c r="P932" s="113" t="s">
        <v>229</v>
      </c>
      <c r="Q932" s="113" t="s">
        <v>229</v>
      </c>
      <c r="R932" s="113" t="s">
        <v>229</v>
      </c>
      <c r="S932" s="113" t="s">
        <v>229</v>
      </c>
      <c r="T932" s="114" t="s">
        <v>229</v>
      </c>
      <c r="U932" s="109" t="s">
        <v>229</v>
      </c>
      <c r="V932" s="112" t="s">
        <v>229</v>
      </c>
      <c r="W932" s="111" t="s">
        <v>229</v>
      </c>
      <c r="X932" s="112" t="s">
        <v>229</v>
      </c>
      <c r="Y932" s="114" t="s">
        <v>229</v>
      </c>
      <c r="Z932" s="111" t="s">
        <v>229</v>
      </c>
    </row>
    <row r="933" ht="15.75" customHeight="1">
      <c r="A933" s="109"/>
      <c r="B933" s="110"/>
      <c r="C933" s="110"/>
      <c r="D933" s="109"/>
      <c r="E933" s="109"/>
      <c r="F933" s="109"/>
      <c r="G933" s="111"/>
      <c r="H933" s="111"/>
      <c r="I933" s="112"/>
      <c r="J933" s="112"/>
      <c r="K933" s="113"/>
      <c r="L933" s="109"/>
      <c r="M933" s="109"/>
      <c r="N933" s="113" t="s">
        <v>229</v>
      </c>
      <c r="O933" s="113" t="s">
        <v>229</v>
      </c>
      <c r="P933" s="113" t="s">
        <v>229</v>
      </c>
      <c r="Q933" s="113" t="s">
        <v>229</v>
      </c>
      <c r="R933" s="113" t="s">
        <v>229</v>
      </c>
      <c r="S933" s="113" t="s">
        <v>229</v>
      </c>
      <c r="T933" s="114" t="s">
        <v>229</v>
      </c>
      <c r="U933" s="109" t="s">
        <v>229</v>
      </c>
      <c r="V933" s="112" t="s">
        <v>229</v>
      </c>
      <c r="W933" s="111" t="s">
        <v>229</v>
      </c>
      <c r="X933" s="112" t="s">
        <v>229</v>
      </c>
      <c r="Y933" s="114" t="s">
        <v>229</v>
      </c>
      <c r="Z933" s="111" t="s">
        <v>229</v>
      </c>
    </row>
    <row r="934" ht="15.75" customHeight="1">
      <c r="A934" s="109"/>
      <c r="B934" s="110"/>
      <c r="C934" s="110"/>
      <c r="D934" s="109"/>
      <c r="E934" s="109"/>
      <c r="F934" s="109"/>
      <c r="G934" s="111"/>
      <c r="H934" s="111"/>
      <c r="I934" s="112"/>
      <c r="J934" s="112"/>
      <c r="K934" s="113"/>
      <c r="L934" s="109"/>
      <c r="M934" s="109"/>
      <c r="N934" s="113" t="s">
        <v>229</v>
      </c>
      <c r="O934" s="113" t="s">
        <v>229</v>
      </c>
      <c r="P934" s="113" t="s">
        <v>229</v>
      </c>
      <c r="Q934" s="113" t="s">
        <v>229</v>
      </c>
      <c r="R934" s="113" t="s">
        <v>229</v>
      </c>
      <c r="S934" s="113" t="s">
        <v>229</v>
      </c>
      <c r="T934" s="114" t="s">
        <v>229</v>
      </c>
      <c r="U934" s="109" t="s">
        <v>229</v>
      </c>
      <c r="V934" s="112" t="s">
        <v>229</v>
      </c>
      <c r="W934" s="111" t="s">
        <v>229</v>
      </c>
      <c r="X934" s="112" t="s">
        <v>229</v>
      </c>
      <c r="Y934" s="114" t="s">
        <v>229</v>
      </c>
      <c r="Z934" s="111" t="s">
        <v>229</v>
      </c>
    </row>
    <row r="935" ht="15.75" customHeight="1">
      <c r="A935" s="109"/>
      <c r="B935" s="110"/>
      <c r="C935" s="110"/>
      <c r="D935" s="109"/>
      <c r="E935" s="109"/>
      <c r="F935" s="109"/>
      <c r="G935" s="111"/>
      <c r="H935" s="111"/>
      <c r="I935" s="112"/>
      <c r="J935" s="112"/>
      <c r="K935" s="113"/>
      <c r="L935" s="109"/>
      <c r="M935" s="109"/>
      <c r="N935" s="113" t="s">
        <v>229</v>
      </c>
      <c r="O935" s="113" t="s">
        <v>229</v>
      </c>
      <c r="P935" s="113" t="s">
        <v>229</v>
      </c>
      <c r="Q935" s="113" t="s">
        <v>229</v>
      </c>
      <c r="R935" s="113" t="s">
        <v>229</v>
      </c>
      <c r="S935" s="113" t="s">
        <v>229</v>
      </c>
      <c r="T935" s="114" t="s">
        <v>229</v>
      </c>
      <c r="U935" s="109" t="s">
        <v>229</v>
      </c>
      <c r="V935" s="112" t="s">
        <v>229</v>
      </c>
      <c r="W935" s="111" t="s">
        <v>229</v>
      </c>
      <c r="X935" s="112" t="s">
        <v>229</v>
      </c>
      <c r="Y935" s="114" t="s">
        <v>229</v>
      </c>
      <c r="Z935" s="111" t="s">
        <v>229</v>
      </c>
    </row>
    <row r="936" ht="15.75" customHeight="1">
      <c r="A936" s="109"/>
      <c r="B936" s="110"/>
      <c r="C936" s="110"/>
      <c r="D936" s="109"/>
      <c r="E936" s="109"/>
      <c r="F936" s="109"/>
      <c r="G936" s="111"/>
      <c r="H936" s="111"/>
      <c r="I936" s="112"/>
      <c r="J936" s="112"/>
      <c r="K936" s="113"/>
      <c r="L936" s="109"/>
      <c r="M936" s="109"/>
      <c r="N936" s="113" t="s">
        <v>229</v>
      </c>
      <c r="O936" s="113" t="s">
        <v>229</v>
      </c>
      <c r="P936" s="113" t="s">
        <v>229</v>
      </c>
      <c r="Q936" s="113" t="s">
        <v>229</v>
      </c>
      <c r="R936" s="113" t="s">
        <v>229</v>
      </c>
      <c r="S936" s="113" t="s">
        <v>229</v>
      </c>
      <c r="T936" s="114" t="s">
        <v>229</v>
      </c>
      <c r="U936" s="109" t="s">
        <v>229</v>
      </c>
      <c r="V936" s="112" t="s">
        <v>229</v>
      </c>
      <c r="W936" s="111" t="s">
        <v>229</v>
      </c>
      <c r="X936" s="112" t="s">
        <v>229</v>
      </c>
      <c r="Y936" s="114" t="s">
        <v>229</v>
      </c>
      <c r="Z936" s="111" t="s">
        <v>229</v>
      </c>
    </row>
    <row r="937" ht="15.75" customHeight="1">
      <c r="A937" s="109"/>
      <c r="B937" s="110"/>
      <c r="C937" s="110"/>
      <c r="D937" s="109"/>
      <c r="E937" s="109"/>
      <c r="F937" s="109"/>
      <c r="G937" s="111"/>
      <c r="H937" s="111"/>
      <c r="I937" s="112"/>
      <c r="J937" s="112"/>
      <c r="K937" s="113"/>
      <c r="L937" s="109"/>
      <c r="M937" s="109"/>
      <c r="N937" s="113" t="s">
        <v>229</v>
      </c>
      <c r="O937" s="113" t="s">
        <v>229</v>
      </c>
      <c r="P937" s="113" t="s">
        <v>229</v>
      </c>
      <c r="Q937" s="113" t="s">
        <v>229</v>
      </c>
      <c r="R937" s="113" t="s">
        <v>229</v>
      </c>
      <c r="S937" s="113" t="s">
        <v>229</v>
      </c>
      <c r="T937" s="114" t="s">
        <v>229</v>
      </c>
      <c r="U937" s="109" t="s">
        <v>229</v>
      </c>
      <c r="V937" s="112" t="s">
        <v>229</v>
      </c>
      <c r="W937" s="111" t="s">
        <v>229</v>
      </c>
      <c r="X937" s="112" t="s">
        <v>229</v>
      </c>
      <c r="Y937" s="114" t="s">
        <v>229</v>
      </c>
      <c r="Z937" s="111" t="s">
        <v>229</v>
      </c>
    </row>
    <row r="938" ht="15.75" customHeight="1">
      <c r="A938" s="109"/>
      <c r="B938" s="110"/>
      <c r="C938" s="110"/>
      <c r="D938" s="109"/>
      <c r="E938" s="109"/>
      <c r="F938" s="109"/>
      <c r="G938" s="111"/>
      <c r="H938" s="111"/>
      <c r="I938" s="112"/>
      <c r="J938" s="112"/>
      <c r="K938" s="113"/>
      <c r="L938" s="109"/>
      <c r="M938" s="109"/>
      <c r="N938" s="113" t="s">
        <v>229</v>
      </c>
      <c r="O938" s="113" t="s">
        <v>229</v>
      </c>
      <c r="P938" s="113" t="s">
        <v>229</v>
      </c>
      <c r="Q938" s="113" t="s">
        <v>229</v>
      </c>
      <c r="R938" s="113" t="s">
        <v>229</v>
      </c>
      <c r="S938" s="113" t="s">
        <v>229</v>
      </c>
      <c r="T938" s="114" t="s">
        <v>229</v>
      </c>
      <c r="U938" s="109" t="s">
        <v>229</v>
      </c>
      <c r="V938" s="112" t="s">
        <v>229</v>
      </c>
      <c r="W938" s="111" t="s">
        <v>229</v>
      </c>
      <c r="X938" s="112" t="s">
        <v>229</v>
      </c>
      <c r="Y938" s="114" t="s">
        <v>229</v>
      </c>
      <c r="Z938" s="111" t="s">
        <v>229</v>
      </c>
    </row>
    <row r="939" ht="15.75" customHeight="1">
      <c r="A939" s="109"/>
      <c r="B939" s="110"/>
      <c r="C939" s="110"/>
      <c r="D939" s="109"/>
      <c r="E939" s="109"/>
      <c r="F939" s="109"/>
      <c r="G939" s="111"/>
      <c r="H939" s="111"/>
      <c r="I939" s="112"/>
      <c r="J939" s="112"/>
      <c r="K939" s="113"/>
      <c r="L939" s="109"/>
      <c r="M939" s="109"/>
      <c r="N939" s="113" t="s">
        <v>229</v>
      </c>
      <c r="O939" s="113" t="s">
        <v>229</v>
      </c>
      <c r="P939" s="113" t="s">
        <v>229</v>
      </c>
      <c r="Q939" s="113" t="s">
        <v>229</v>
      </c>
      <c r="R939" s="113" t="s">
        <v>229</v>
      </c>
      <c r="S939" s="113" t="s">
        <v>229</v>
      </c>
      <c r="T939" s="114" t="s">
        <v>229</v>
      </c>
      <c r="U939" s="109" t="s">
        <v>229</v>
      </c>
      <c r="V939" s="112" t="s">
        <v>229</v>
      </c>
      <c r="W939" s="111" t="s">
        <v>229</v>
      </c>
      <c r="X939" s="112" t="s">
        <v>229</v>
      </c>
      <c r="Y939" s="114" t="s">
        <v>229</v>
      </c>
      <c r="Z939" s="111" t="s">
        <v>229</v>
      </c>
    </row>
    <row r="940" ht="15.75" customHeight="1">
      <c r="A940" s="109"/>
      <c r="B940" s="110"/>
      <c r="C940" s="110"/>
      <c r="D940" s="109"/>
      <c r="E940" s="109"/>
      <c r="F940" s="109"/>
      <c r="G940" s="111"/>
      <c r="H940" s="111"/>
      <c r="I940" s="112"/>
      <c r="J940" s="112"/>
      <c r="K940" s="113"/>
      <c r="L940" s="109"/>
      <c r="M940" s="109"/>
      <c r="N940" s="113" t="s">
        <v>229</v>
      </c>
      <c r="O940" s="113" t="s">
        <v>229</v>
      </c>
      <c r="P940" s="113" t="s">
        <v>229</v>
      </c>
      <c r="Q940" s="113" t="s">
        <v>229</v>
      </c>
      <c r="R940" s="113" t="s">
        <v>229</v>
      </c>
      <c r="S940" s="113" t="s">
        <v>229</v>
      </c>
      <c r="T940" s="114" t="s">
        <v>229</v>
      </c>
      <c r="U940" s="109" t="s">
        <v>229</v>
      </c>
      <c r="V940" s="112" t="s">
        <v>229</v>
      </c>
      <c r="W940" s="111" t="s">
        <v>229</v>
      </c>
      <c r="X940" s="112" t="s">
        <v>229</v>
      </c>
      <c r="Y940" s="114" t="s">
        <v>229</v>
      </c>
      <c r="Z940" s="111" t="s">
        <v>229</v>
      </c>
    </row>
    <row r="941" ht="15.75" customHeight="1">
      <c r="A941" s="109"/>
      <c r="B941" s="110"/>
      <c r="C941" s="110"/>
      <c r="D941" s="109"/>
      <c r="E941" s="109"/>
      <c r="F941" s="109"/>
      <c r="G941" s="111"/>
      <c r="H941" s="111"/>
      <c r="I941" s="112"/>
      <c r="J941" s="112"/>
      <c r="K941" s="113"/>
      <c r="L941" s="109"/>
      <c r="M941" s="109"/>
      <c r="N941" s="113" t="s">
        <v>229</v>
      </c>
      <c r="O941" s="113" t="s">
        <v>229</v>
      </c>
      <c r="P941" s="113" t="s">
        <v>229</v>
      </c>
      <c r="Q941" s="113" t="s">
        <v>229</v>
      </c>
      <c r="R941" s="113" t="s">
        <v>229</v>
      </c>
      <c r="S941" s="113" t="s">
        <v>229</v>
      </c>
      <c r="T941" s="114" t="s">
        <v>229</v>
      </c>
      <c r="U941" s="109" t="s">
        <v>229</v>
      </c>
      <c r="V941" s="112" t="s">
        <v>229</v>
      </c>
      <c r="W941" s="111" t="s">
        <v>229</v>
      </c>
      <c r="X941" s="112" t="s">
        <v>229</v>
      </c>
      <c r="Y941" s="114" t="s">
        <v>229</v>
      </c>
      <c r="Z941" s="111" t="s">
        <v>229</v>
      </c>
    </row>
    <row r="942" ht="15.75" customHeight="1">
      <c r="A942" s="109"/>
      <c r="B942" s="110"/>
      <c r="C942" s="110"/>
      <c r="D942" s="109"/>
      <c r="E942" s="109"/>
      <c r="F942" s="109"/>
      <c r="G942" s="111"/>
      <c r="H942" s="111"/>
      <c r="I942" s="112"/>
      <c r="J942" s="112"/>
      <c r="K942" s="113"/>
      <c r="L942" s="109"/>
      <c r="M942" s="109"/>
      <c r="N942" s="113" t="s">
        <v>229</v>
      </c>
      <c r="O942" s="113" t="s">
        <v>229</v>
      </c>
      <c r="P942" s="113" t="s">
        <v>229</v>
      </c>
      <c r="Q942" s="113" t="s">
        <v>229</v>
      </c>
      <c r="R942" s="113" t="s">
        <v>229</v>
      </c>
      <c r="S942" s="113" t="s">
        <v>229</v>
      </c>
      <c r="T942" s="114" t="s">
        <v>229</v>
      </c>
      <c r="U942" s="109" t="s">
        <v>229</v>
      </c>
      <c r="V942" s="112" t="s">
        <v>229</v>
      </c>
      <c r="W942" s="111" t="s">
        <v>229</v>
      </c>
      <c r="X942" s="112" t="s">
        <v>229</v>
      </c>
      <c r="Y942" s="114" t="s">
        <v>229</v>
      </c>
      <c r="Z942" s="111" t="s">
        <v>229</v>
      </c>
    </row>
    <row r="943" ht="15.75" customHeight="1">
      <c r="A943" s="109"/>
      <c r="B943" s="110"/>
      <c r="C943" s="110"/>
      <c r="D943" s="109"/>
      <c r="E943" s="109"/>
      <c r="F943" s="109"/>
      <c r="G943" s="111"/>
      <c r="H943" s="111"/>
      <c r="I943" s="112"/>
      <c r="J943" s="112"/>
      <c r="K943" s="113"/>
      <c r="L943" s="109"/>
      <c r="M943" s="109"/>
      <c r="N943" s="113" t="s">
        <v>229</v>
      </c>
      <c r="O943" s="113" t="s">
        <v>229</v>
      </c>
      <c r="P943" s="113" t="s">
        <v>229</v>
      </c>
      <c r="Q943" s="113" t="s">
        <v>229</v>
      </c>
      <c r="R943" s="113" t="s">
        <v>229</v>
      </c>
      <c r="S943" s="113" t="s">
        <v>229</v>
      </c>
      <c r="T943" s="114" t="s">
        <v>229</v>
      </c>
      <c r="U943" s="109" t="s">
        <v>229</v>
      </c>
      <c r="V943" s="112" t="s">
        <v>229</v>
      </c>
      <c r="W943" s="111" t="s">
        <v>229</v>
      </c>
      <c r="X943" s="112" t="s">
        <v>229</v>
      </c>
      <c r="Y943" s="114" t="s">
        <v>229</v>
      </c>
      <c r="Z943" s="111" t="s">
        <v>229</v>
      </c>
    </row>
    <row r="944" ht="15.75" customHeight="1">
      <c r="A944" s="109"/>
      <c r="B944" s="110"/>
      <c r="C944" s="110"/>
      <c r="D944" s="109"/>
      <c r="E944" s="109"/>
      <c r="F944" s="109"/>
      <c r="G944" s="111"/>
      <c r="H944" s="111"/>
      <c r="I944" s="112"/>
      <c r="J944" s="112"/>
      <c r="K944" s="113"/>
      <c r="L944" s="109"/>
      <c r="M944" s="109"/>
      <c r="N944" s="113" t="s">
        <v>229</v>
      </c>
      <c r="O944" s="113" t="s">
        <v>229</v>
      </c>
      <c r="P944" s="113" t="s">
        <v>229</v>
      </c>
      <c r="Q944" s="113" t="s">
        <v>229</v>
      </c>
      <c r="R944" s="113" t="s">
        <v>229</v>
      </c>
      <c r="S944" s="113" t="s">
        <v>229</v>
      </c>
      <c r="T944" s="114" t="s">
        <v>229</v>
      </c>
      <c r="U944" s="109" t="s">
        <v>229</v>
      </c>
      <c r="V944" s="112" t="s">
        <v>229</v>
      </c>
      <c r="W944" s="111" t="s">
        <v>229</v>
      </c>
      <c r="X944" s="112" t="s">
        <v>229</v>
      </c>
      <c r="Y944" s="114" t="s">
        <v>229</v>
      </c>
      <c r="Z944" s="111" t="s">
        <v>229</v>
      </c>
    </row>
    <row r="945" ht="15.75" customHeight="1">
      <c r="A945" s="109"/>
      <c r="B945" s="110"/>
      <c r="C945" s="110"/>
      <c r="D945" s="109"/>
      <c r="E945" s="109"/>
      <c r="F945" s="109"/>
      <c r="G945" s="111"/>
      <c r="H945" s="111"/>
      <c r="I945" s="112"/>
      <c r="J945" s="112"/>
      <c r="K945" s="113"/>
      <c r="L945" s="109"/>
      <c r="M945" s="109"/>
      <c r="N945" s="113" t="s">
        <v>229</v>
      </c>
      <c r="O945" s="113" t="s">
        <v>229</v>
      </c>
      <c r="P945" s="113" t="s">
        <v>229</v>
      </c>
      <c r="Q945" s="113" t="s">
        <v>229</v>
      </c>
      <c r="R945" s="113" t="s">
        <v>229</v>
      </c>
      <c r="S945" s="113" t="s">
        <v>229</v>
      </c>
      <c r="T945" s="114" t="s">
        <v>229</v>
      </c>
      <c r="U945" s="109" t="s">
        <v>229</v>
      </c>
      <c r="V945" s="112" t="s">
        <v>229</v>
      </c>
      <c r="W945" s="111" t="s">
        <v>229</v>
      </c>
      <c r="X945" s="112" t="s">
        <v>229</v>
      </c>
      <c r="Y945" s="114" t="s">
        <v>229</v>
      </c>
      <c r="Z945" s="111" t="s">
        <v>229</v>
      </c>
    </row>
    <row r="946" ht="15.75" customHeight="1">
      <c r="A946" s="109"/>
      <c r="B946" s="110"/>
      <c r="C946" s="110"/>
      <c r="D946" s="109"/>
      <c r="E946" s="109"/>
      <c r="F946" s="109"/>
      <c r="G946" s="111"/>
      <c r="H946" s="111"/>
      <c r="I946" s="112"/>
      <c r="J946" s="112"/>
      <c r="K946" s="113"/>
      <c r="L946" s="109"/>
      <c r="M946" s="109"/>
      <c r="N946" s="113" t="s">
        <v>229</v>
      </c>
      <c r="O946" s="113" t="s">
        <v>229</v>
      </c>
      <c r="P946" s="113" t="s">
        <v>229</v>
      </c>
      <c r="Q946" s="113" t="s">
        <v>229</v>
      </c>
      <c r="R946" s="113" t="s">
        <v>229</v>
      </c>
      <c r="S946" s="113" t="s">
        <v>229</v>
      </c>
      <c r="T946" s="114" t="s">
        <v>229</v>
      </c>
      <c r="U946" s="109" t="s">
        <v>229</v>
      </c>
      <c r="V946" s="112" t="s">
        <v>229</v>
      </c>
      <c r="W946" s="111" t="s">
        <v>229</v>
      </c>
      <c r="X946" s="112" t="s">
        <v>229</v>
      </c>
      <c r="Y946" s="114" t="s">
        <v>229</v>
      </c>
      <c r="Z946" s="111" t="s">
        <v>229</v>
      </c>
    </row>
    <row r="947" ht="15.75" customHeight="1">
      <c r="A947" s="109"/>
      <c r="B947" s="110"/>
      <c r="C947" s="110"/>
      <c r="D947" s="109"/>
      <c r="E947" s="109"/>
      <c r="F947" s="109"/>
      <c r="G947" s="111"/>
      <c r="H947" s="111"/>
      <c r="I947" s="112"/>
      <c r="J947" s="112"/>
      <c r="K947" s="113"/>
      <c r="L947" s="109"/>
      <c r="M947" s="109"/>
      <c r="N947" s="113" t="s">
        <v>229</v>
      </c>
      <c r="O947" s="113" t="s">
        <v>229</v>
      </c>
      <c r="P947" s="113" t="s">
        <v>229</v>
      </c>
      <c r="Q947" s="113" t="s">
        <v>229</v>
      </c>
      <c r="R947" s="113" t="s">
        <v>229</v>
      </c>
      <c r="S947" s="113" t="s">
        <v>229</v>
      </c>
      <c r="T947" s="114" t="s">
        <v>229</v>
      </c>
      <c r="U947" s="109" t="s">
        <v>229</v>
      </c>
      <c r="V947" s="112" t="s">
        <v>229</v>
      </c>
      <c r="W947" s="111" t="s">
        <v>229</v>
      </c>
      <c r="X947" s="112" t="s">
        <v>229</v>
      </c>
      <c r="Y947" s="114" t="s">
        <v>229</v>
      </c>
      <c r="Z947" s="111" t="s">
        <v>229</v>
      </c>
    </row>
    <row r="948" ht="15.75" customHeight="1">
      <c r="A948" s="109"/>
      <c r="B948" s="110"/>
      <c r="C948" s="110"/>
      <c r="D948" s="109"/>
      <c r="E948" s="109"/>
      <c r="F948" s="109"/>
      <c r="G948" s="111"/>
      <c r="H948" s="111"/>
      <c r="I948" s="112"/>
      <c r="J948" s="112"/>
      <c r="K948" s="113"/>
      <c r="L948" s="109"/>
      <c r="M948" s="109"/>
      <c r="N948" s="113" t="s">
        <v>229</v>
      </c>
      <c r="O948" s="113" t="s">
        <v>229</v>
      </c>
      <c r="P948" s="113" t="s">
        <v>229</v>
      </c>
      <c r="Q948" s="113" t="s">
        <v>229</v>
      </c>
      <c r="R948" s="113" t="s">
        <v>229</v>
      </c>
      <c r="S948" s="113" t="s">
        <v>229</v>
      </c>
      <c r="T948" s="114" t="s">
        <v>229</v>
      </c>
      <c r="U948" s="109" t="s">
        <v>229</v>
      </c>
      <c r="V948" s="112" t="s">
        <v>229</v>
      </c>
      <c r="W948" s="111" t="s">
        <v>229</v>
      </c>
      <c r="X948" s="112" t="s">
        <v>229</v>
      </c>
      <c r="Y948" s="114" t="s">
        <v>229</v>
      </c>
      <c r="Z948" s="111" t="s">
        <v>229</v>
      </c>
    </row>
    <row r="949" ht="15.75" customHeight="1">
      <c r="A949" s="109"/>
      <c r="B949" s="110"/>
      <c r="C949" s="110"/>
      <c r="D949" s="109"/>
      <c r="E949" s="109"/>
      <c r="F949" s="109"/>
      <c r="G949" s="111"/>
      <c r="H949" s="111"/>
      <c r="I949" s="112"/>
      <c r="J949" s="112"/>
      <c r="K949" s="113"/>
      <c r="L949" s="109"/>
      <c r="M949" s="109"/>
      <c r="N949" s="113" t="s">
        <v>229</v>
      </c>
      <c r="O949" s="113" t="s">
        <v>229</v>
      </c>
      <c r="P949" s="113" t="s">
        <v>229</v>
      </c>
      <c r="Q949" s="113" t="s">
        <v>229</v>
      </c>
      <c r="R949" s="113" t="s">
        <v>229</v>
      </c>
      <c r="S949" s="113" t="s">
        <v>229</v>
      </c>
      <c r="T949" s="114" t="s">
        <v>229</v>
      </c>
      <c r="U949" s="109" t="s">
        <v>229</v>
      </c>
      <c r="V949" s="112" t="s">
        <v>229</v>
      </c>
      <c r="W949" s="111" t="s">
        <v>229</v>
      </c>
      <c r="X949" s="112" t="s">
        <v>229</v>
      </c>
      <c r="Y949" s="114" t="s">
        <v>229</v>
      </c>
      <c r="Z949" s="111" t="s">
        <v>229</v>
      </c>
    </row>
    <row r="950" ht="15.75" customHeight="1">
      <c r="A950" s="109"/>
      <c r="B950" s="110"/>
      <c r="C950" s="110"/>
      <c r="D950" s="109"/>
      <c r="E950" s="109"/>
      <c r="F950" s="109"/>
      <c r="G950" s="111"/>
      <c r="H950" s="111"/>
      <c r="I950" s="112"/>
      <c r="J950" s="112"/>
      <c r="K950" s="113"/>
      <c r="L950" s="109"/>
      <c r="M950" s="109"/>
      <c r="N950" s="113" t="s">
        <v>229</v>
      </c>
      <c r="O950" s="113" t="s">
        <v>229</v>
      </c>
      <c r="P950" s="113" t="s">
        <v>229</v>
      </c>
      <c r="Q950" s="113" t="s">
        <v>229</v>
      </c>
      <c r="R950" s="113" t="s">
        <v>229</v>
      </c>
      <c r="S950" s="113" t="s">
        <v>229</v>
      </c>
      <c r="T950" s="114" t="s">
        <v>229</v>
      </c>
      <c r="U950" s="109" t="s">
        <v>229</v>
      </c>
      <c r="V950" s="112" t="s">
        <v>229</v>
      </c>
      <c r="W950" s="111" t="s">
        <v>229</v>
      </c>
      <c r="X950" s="112" t="s">
        <v>229</v>
      </c>
      <c r="Y950" s="114" t="s">
        <v>229</v>
      </c>
      <c r="Z950" s="111" t="s">
        <v>229</v>
      </c>
    </row>
    <row r="951" ht="15.75" customHeight="1">
      <c r="A951" s="109"/>
      <c r="B951" s="110"/>
      <c r="C951" s="110"/>
      <c r="D951" s="109"/>
      <c r="E951" s="109"/>
      <c r="F951" s="109"/>
      <c r="G951" s="111"/>
      <c r="H951" s="111"/>
      <c r="I951" s="112"/>
      <c r="J951" s="112"/>
      <c r="K951" s="113"/>
      <c r="L951" s="109"/>
      <c r="M951" s="109"/>
      <c r="N951" s="113" t="s">
        <v>229</v>
      </c>
      <c r="O951" s="113" t="s">
        <v>229</v>
      </c>
      <c r="P951" s="113" t="s">
        <v>229</v>
      </c>
      <c r="Q951" s="113" t="s">
        <v>229</v>
      </c>
      <c r="R951" s="113" t="s">
        <v>229</v>
      </c>
      <c r="S951" s="113" t="s">
        <v>229</v>
      </c>
      <c r="T951" s="114" t="s">
        <v>229</v>
      </c>
      <c r="U951" s="109" t="s">
        <v>229</v>
      </c>
      <c r="V951" s="112" t="s">
        <v>229</v>
      </c>
      <c r="W951" s="111" t="s">
        <v>229</v>
      </c>
      <c r="X951" s="112" t="s">
        <v>229</v>
      </c>
      <c r="Y951" s="114" t="s">
        <v>229</v>
      </c>
      <c r="Z951" s="111" t="s">
        <v>229</v>
      </c>
    </row>
    <row r="952" ht="15.75" customHeight="1">
      <c r="A952" s="109"/>
      <c r="B952" s="110"/>
      <c r="C952" s="110"/>
      <c r="D952" s="109"/>
      <c r="E952" s="109"/>
      <c r="F952" s="109"/>
      <c r="G952" s="111"/>
      <c r="H952" s="111"/>
      <c r="I952" s="112"/>
      <c r="J952" s="112"/>
      <c r="K952" s="113"/>
      <c r="L952" s="109"/>
      <c r="M952" s="109"/>
      <c r="N952" s="113" t="s">
        <v>229</v>
      </c>
      <c r="O952" s="113" t="s">
        <v>229</v>
      </c>
      <c r="P952" s="113" t="s">
        <v>229</v>
      </c>
      <c r="Q952" s="113" t="s">
        <v>229</v>
      </c>
      <c r="R952" s="113" t="s">
        <v>229</v>
      </c>
      <c r="S952" s="113" t="s">
        <v>229</v>
      </c>
      <c r="T952" s="114" t="s">
        <v>229</v>
      </c>
      <c r="U952" s="109" t="s">
        <v>229</v>
      </c>
      <c r="V952" s="112" t="s">
        <v>229</v>
      </c>
      <c r="W952" s="111" t="s">
        <v>229</v>
      </c>
      <c r="X952" s="112" t="s">
        <v>229</v>
      </c>
      <c r="Y952" s="114" t="s">
        <v>229</v>
      </c>
      <c r="Z952" s="111" t="s">
        <v>229</v>
      </c>
    </row>
    <row r="953" ht="15.75" customHeight="1">
      <c r="A953" s="109"/>
      <c r="B953" s="110"/>
      <c r="C953" s="110"/>
      <c r="D953" s="109"/>
      <c r="E953" s="109"/>
      <c r="F953" s="109"/>
      <c r="G953" s="111"/>
      <c r="H953" s="111"/>
      <c r="I953" s="112"/>
      <c r="J953" s="112"/>
      <c r="K953" s="113"/>
      <c r="L953" s="109"/>
      <c r="M953" s="109"/>
      <c r="N953" s="113" t="s">
        <v>229</v>
      </c>
      <c r="O953" s="113" t="s">
        <v>229</v>
      </c>
      <c r="P953" s="113" t="s">
        <v>229</v>
      </c>
      <c r="Q953" s="113" t="s">
        <v>229</v>
      </c>
      <c r="R953" s="113" t="s">
        <v>229</v>
      </c>
      <c r="S953" s="113" t="s">
        <v>229</v>
      </c>
      <c r="T953" s="114" t="s">
        <v>229</v>
      </c>
      <c r="U953" s="109" t="s">
        <v>229</v>
      </c>
      <c r="V953" s="112" t="s">
        <v>229</v>
      </c>
      <c r="W953" s="111" t="s">
        <v>229</v>
      </c>
      <c r="X953" s="112" t="s">
        <v>229</v>
      </c>
      <c r="Y953" s="114" t="s">
        <v>229</v>
      </c>
      <c r="Z953" s="111" t="s">
        <v>229</v>
      </c>
    </row>
    <row r="954" ht="15.75" customHeight="1">
      <c r="A954" s="109"/>
      <c r="B954" s="110"/>
      <c r="C954" s="110"/>
      <c r="D954" s="109"/>
      <c r="E954" s="109"/>
      <c r="F954" s="109"/>
      <c r="G954" s="111"/>
      <c r="H954" s="111"/>
      <c r="I954" s="112"/>
      <c r="J954" s="112"/>
      <c r="K954" s="113"/>
      <c r="L954" s="109"/>
      <c r="M954" s="109"/>
      <c r="N954" s="113" t="s">
        <v>229</v>
      </c>
      <c r="O954" s="113" t="s">
        <v>229</v>
      </c>
      <c r="P954" s="113" t="s">
        <v>229</v>
      </c>
      <c r="Q954" s="113" t="s">
        <v>229</v>
      </c>
      <c r="R954" s="113" t="s">
        <v>229</v>
      </c>
      <c r="S954" s="113" t="s">
        <v>229</v>
      </c>
      <c r="T954" s="114" t="s">
        <v>229</v>
      </c>
      <c r="U954" s="109" t="s">
        <v>229</v>
      </c>
      <c r="V954" s="112" t="s">
        <v>229</v>
      </c>
      <c r="W954" s="111" t="s">
        <v>229</v>
      </c>
      <c r="X954" s="112" t="s">
        <v>229</v>
      </c>
      <c r="Y954" s="114" t="s">
        <v>229</v>
      </c>
      <c r="Z954" s="111" t="s">
        <v>229</v>
      </c>
    </row>
    <row r="955" ht="15.75" customHeight="1">
      <c r="A955" s="109"/>
      <c r="B955" s="110"/>
      <c r="C955" s="110"/>
      <c r="D955" s="109"/>
      <c r="E955" s="109"/>
      <c r="F955" s="109"/>
      <c r="G955" s="111"/>
      <c r="H955" s="111"/>
      <c r="I955" s="112"/>
      <c r="J955" s="112"/>
      <c r="K955" s="113"/>
      <c r="L955" s="109"/>
      <c r="M955" s="109"/>
      <c r="N955" s="113" t="s">
        <v>229</v>
      </c>
      <c r="O955" s="113" t="s">
        <v>229</v>
      </c>
      <c r="P955" s="113" t="s">
        <v>229</v>
      </c>
      <c r="Q955" s="113" t="s">
        <v>229</v>
      </c>
      <c r="R955" s="113" t="s">
        <v>229</v>
      </c>
      <c r="S955" s="113" t="s">
        <v>229</v>
      </c>
      <c r="T955" s="114" t="s">
        <v>229</v>
      </c>
      <c r="U955" s="109" t="s">
        <v>229</v>
      </c>
      <c r="V955" s="112" t="s">
        <v>229</v>
      </c>
      <c r="W955" s="111" t="s">
        <v>229</v>
      </c>
      <c r="X955" s="112" t="s">
        <v>229</v>
      </c>
      <c r="Y955" s="114" t="s">
        <v>229</v>
      </c>
      <c r="Z955" s="111" t="s">
        <v>229</v>
      </c>
    </row>
    <row r="956" ht="15.75" customHeight="1">
      <c r="A956" s="109"/>
      <c r="B956" s="110"/>
      <c r="C956" s="110"/>
      <c r="D956" s="109"/>
      <c r="E956" s="109"/>
      <c r="F956" s="109"/>
      <c r="G956" s="111"/>
      <c r="H956" s="111"/>
      <c r="I956" s="112"/>
      <c r="J956" s="112"/>
      <c r="K956" s="113"/>
      <c r="L956" s="109"/>
      <c r="M956" s="109"/>
      <c r="N956" s="113" t="s">
        <v>229</v>
      </c>
      <c r="O956" s="113" t="s">
        <v>229</v>
      </c>
      <c r="P956" s="113" t="s">
        <v>229</v>
      </c>
      <c r="Q956" s="113" t="s">
        <v>229</v>
      </c>
      <c r="R956" s="113" t="s">
        <v>229</v>
      </c>
      <c r="S956" s="113" t="s">
        <v>229</v>
      </c>
      <c r="T956" s="114" t="s">
        <v>229</v>
      </c>
      <c r="U956" s="109" t="s">
        <v>229</v>
      </c>
      <c r="V956" s="112" t="s">
        <v>229</v>
      </c>
      <c r="W956" s="111" t="s">
        <v>229</v>
      </c>
      <c r="X956" s="112" t="s">
        <v>229</v>
      </c>
      <c r="Y956" s="114" t="s">
        <v>229</v>
      </c>
      <c r="Z956" s="111" t="s">
        <v>229</v>
      </c>
    </row>
    <row r="957" ht="15.75" customHeight="1">
      <c r="A957" s="109"/>
      <c r="B957" s="110"/>
      <c r="C957" s="110"/>
      <c r="D957" s="109"/>
      <c r="E957" s="109"/>
      <c r="F957" s="109"/>
      <c r="G957" s="111"/>
      <c r="H957" s="111"/>
      <c r="I957" s="112"/>
      <c r="J957" s="112"/>
      <c r="K957" s="113"/>
      <c r="L957" s="109"/>
      <c r="M957" s="109"/>
      <c r="N957" s="113" t="s">
        <v>229</v>
      </c>
      <c r="O957" s="113" t="s">
        <v>229</v>
      </c>
      <c r="P957" s="113" t="s">
        <v>229</v>
      </c>
      <c r="Q957" s="113" t="s">
        <v>229</v>
      </c>
      <c r="R957" s="113" t="s">
        <v>229</v>
      </c>
      <c r="S957" s="113" t="s">
        <v>229</v>
      </c>
      <c r="T957" s="114" t="s">
        <v>229</v>
      </c>
      <c r="U957" s="109" t="s">
        <v>229</v>
      </c>
      <c r="V957" s="112" t="s">
        <v>229</v>
      </c>
      <c r="W957" s="111" t="s">
        <v>229</v>
      </c>
      <c r="X957" s="112" t="s">
        <v>229</v>
      </c>
      <c r="Y957" s="114" t="s">
        <v>229</v>
      </c>
      <c r="Z957" s="111" t="s">
        <v>229</v>
      </c>
    </row>
    <row r="958" ht="15.75" customHeight="1">
      <c r="A958" s="109"/>
      <c r="B958" s="110"/>
      <c r="C958" s="110"/>
      <c r="D958" s="109"/>
      <c r="E958" s="109"/>
      <c r="F958" s="109"/>
      <c r="G958" s="111"/>
      <c r="H958" s="111"/>
      <c r="I958" s="112"/>
      <c r="J958" s="112"/>
      <c r="K958" s="113"/>
      <c r="L958" s="109"/>
      <c r="M958" s="109"/>
      <c r="N958" s="113" t="s">
        <v>229</v>
      </c>
      <c r="O958" s="113" t="s">
        <v>229</v>
      </c>
      <c r="P958" s="113" t="s">
        <v>229</v>
      </c>
      <c r="Q958" s="113" t="s">
        <v>229</v>
      </c>
      <c r="R958" s="113" t="s">
        <v>229</v>
      </c>
      <c r="S958" s="113" t="s">
        <v>229</v>
      </c>
      <c r="T958" s="114" t="s">
        <v>229</v>
      </c>
      <c r="U958" s="109" t="s">
        <v>229</v>
      </c>
      <c r="V958" s="112" t="s">
        <v>229</v>
      </c>
      <c r="W958" s="111" t="s">
        <v>229</v>
      </c>
      <c r="X958" s="112" t="s">
        <v>229</v>
      </c>
      <c r="Y958" s="114" t="s">
        <v>229</v>
      </c>
      <c r="Z958" s="111" t="s">
        <v>229</v>
      </c>
    </row>
    <row r="959" ht="15.75" customHeight="1">
      <c r="A959" s="109"/>
      <c r="B959" s="110"/>
      <c r="C959" s="110"/>
      <c r="D959" s="109"/>
      <c r="E959" s="109"/>
      <c r="F959" s="109"/>
      <c r="G959" s="111"/>
      <c r="H959" s="111"/>
      <c r="I959" s="112"/>
      <c r="J959" s="112"/>
      <c r="K959" s="113"/>
      <c r="L959" s="109"/>
      <c r="M959" s="109"/>
      <c r="N959" s="113" t="s">
        <v>229</v>
      </c>
      <c r="O959" s="113" t="s">
        <v>229</v>
      </c>
      <c r="P959" s="113" t="s">
        <v>229</v>
      </c>
      <c r="Q959" s="113" t="s">
        <v>229</v>
      </c>
      <c r="R959" s="113" t="s">
        <v>229</v>
      </c>
      <c r="S959" s="113" t="s">
        <v>229</v>
      </c>
      <c r="T959" s="114" t="s">
        <v>229</v>
      </c>
      <c r="U959" s="109" t="s">
        <v>229</v>
      </c>
      <c r="V959" s="112" t="s">
        <v>229</v>
      </c>
      <c r="W959" s="111" t="s">
        <v>229</v>
      </c>
      <c r="X959" s="112" t="s">
        <v>229</v>
      </c>
      <c r="Y959" s="114" t="s">
        <v>229</v>
      </c>
      <c r="Z959" s="111" t="s">
        <v>229</v>
      </c>
    </row>
    <row r="960" ht="15.75" customHeight="1">
      <c r="A960" s="109"/>
      <c r="B960" s="110"/>
      <c r="C960" s="110"/>
      <c r="D960" s="109"/>
      <c r="E960" s="109"/>
      <c r="F960" s="109"/>
      <c r="G960" s="111"/>
      <c r="H960" s="111"/>
      <c r="I960" s="112"/>
      <c r="J960" s="112"/>
      <c r="K960" s="113"/>
      <c r="L960" s="109"/>
      <c r="M960" s="109"/>
      <c r="N960" s="113" t="s">
        <v>229</v>
      </c>
      <c r="O960" s="113" t="s">
        <v>229</v>
      </c>
      <c r="P960" s="113" t="s">
        <v>229</v>
      </c>
      <c r="Q960" s="113" t="s">
        <v>229</v>
      </c>
      <c r="R960" s="113" t="s">
        <v>229</v>
      </c>
      <c r="S960" s="113" t="s">
        <v>229</v>
      </c>
      <c r="T960" s="114" t="s">
        <v>229</v>
      </c>
      <c r="U960" s="109" t="s">
        <v>229</v>
      </c>
      <c r="V960" s="112" t="s">
        <v>229</v>
      </c>
      <c r="W960" s="111" t="s">
        <v>229</v>
      </c>
      <c r="X960" s="112" t="s">
        <v>229</v>
      </c>
      <c r="Y960" s="114" t="s">
        <v>229</v>
      </c>
      <c r="Z960" s="111" t="s">
        <v>229</v>
      </c>
    </row>
    <row r="961" ht="15.75" customHeight="1">
      <c r="A961" s="109"/>
      <c r="B961" s="110"/>
      <c r="C961" s="110"/>
      <c r="D961" s="109"/>
      <c r="E961" s="109"/>
      <c r="F961" s="109"/>
      <c r="G961" s="111"/>
      <c r="H961" s="111"/>
      <c r="I961" s="112"/>
      <c r="J961" s="112"/>
      <c r="K961" s="113"/>
      <c r="L961" s="109"/>
      <c r="M961" s="109"/>
      <c r="N961" s="113" t="s">
        <v>229</v>
      </c>
      <c r="O961" s="113" t="s">
        <v>229</v>
      </c>
      <c r="P961" s="113" t="s">
        <v>229</v>
      </c>
      <c r="Q961" s="113" t="s">
        <v>229</v>
      </c>
      <c r="R961" s="113" t="s">
        <v>229</v>
      </c>
      <c r="S961" s="113" t="s">
        <v>229</v>
      </c>
      <c r="T961" s="114" t="s">
        <v>229</v>
      </c>
      <c r="U961" s="109" t="s">
        <v>229</v>
      </c>
      <c r="V961" s="112" t="s">
        <v>229</v>
      </c>
      <c r="W961" s="111" t="s">
        <v>229</v>
      </c>
      <c r="X961" s="112" t="s">
        <v>229</v>
      </c>
      <c r="Y961" s="114" t="s">
        <v>229</v>
      </c>
      <c r="Z961" s="111" t="s">
        <v>229</v>
      </c>
    </row>
    <row r="962" ht="15.75" customHeight="1">
      <c r="A962" s="109"/>
      <c r="B962" s="110"/>
      <c r="C962" s="110"/>
      <c r="D962" s="109"/>
      <c r="E962" s="109"/>
      <c r="F962" s="109"/>
      <c r="G962" s="111"/>
      <c r="H962" s="111"/>
      <c r="I962" s="112"/>
      <c r="J962" s="112"/>
      <c r="K962" s="113"/>
      <c r="L962" s="109"/>
      <c r="M962" s="109"/>
      <c r="N962" s="113" t="s">
        <v>229</v>
      </c>
      <c r="O962" s="113" t="s">
        <v>229</v>
      </c>
      <c r="P962" s="113" t="s">
        <v>229</v>
      </c>
      <c r="Q962" s="113" t="s">
        <v>229</v>
      </c>
      <c r="R962" s="113" t="s">
        <v>229</v>
      </c>
      <c r="S962" s="113" t="s">
        <v>229</v>
      </c>
      <c r="T962" s="114" t="s">
        <v>229</v>
      </c>
      <c r="U962" s="109" t="s">
        <v>229</v>
      </c>
      <c r="V962" s="112" t="s">
        <v>229</v>
      </c>
      <c r="W962" s="111" t="s">
        <v>229</v>
      </c>
      <c r="X962" s="112" t="s">
        <v>229</v>
      </c>
      <c r="Y962" s="114" t="s">
        <v>229</v>
      </c>
      <c r="Z962" s="111" t="s">
        <v>229</v>
      </c>
    </row>
    <row r="963" ht="15.75" customHeight="1">
      <c r="A963" s="109"/>
      <c r="B963" s="110"/>
      <c r="C963" s="110"/>
      <c r="D963" s="109"/>
      <c r="E963" s="109"/>
      <c r="F963" s="109"/>
      <c r="G963" s="111"/>
      <c r="H963" s="111"/>
      <c r="I963" s="112"/>
      <c r="J963" s="112"/>
      <c r="K963" s="113"/>
      <c r="L963" s="109"/>
      <c r="M963" s="109"/>
      <c r="N963" s="113" t="s">
        <v>229</v>
      </c>
      <c r="O963" s="113" t="s">
        <v>229</v>
      </c>
      <c r="P963" s="113" t="s">
        <v>229</v>
      </c>
      <c r="Q963" s="113" t="s">
        <v>229</v>
      </c>
      <c r="R963" s="113" t="s">
        <v>229</v>
      </c>
      <c r="S963" s="113" t="s">
        <v>229</v>
      </c>
      <c r="T963" s="114" t="s">
        <v>229</v>
      </c>
      <c r="U963" s="109" t="s">
        <v>229</v>
      </c>
      <c r="V963" s="112" t="s">
        <v>229</v>
      </c>
      <c r="W963" s="111" t="s">
        <v>229</v>
      </c>
      <c r="X963" s="112" t="s">
        <v>229</v>
      </c>
      <c r="Y963" s="114" t="s">
        <v>229</v>
      </c>
      <c r="Z963" s="111" t="s">
        <v>229</v>
      </c>
    </row>
    <row r="964" ht="15.75" customHeight="1">
      <c r="A964" s="109"/>
      <c r="B964" s="110"/>
      <c r="C964" s="110"/>
      <c r="D964" s="109"/>
      <c r="E964" s="109"/>
      <c r="F964" s="109"/>
      <c r="G964" s="111"/>
      <c r="H964" s="111"/>
      <c r="I964" s="112"/>
      <c r="J964" s="112"/>
      <c r="K964" s="113"/>
      <c r="L964" s="109"/>
      <c r="M964" s="109"/>
      <c r="N964" s="113" t="s">
        <v>229</v>
      </c>
      <c r="O964" s="113" t="s">
        <v>229</v>
      </c>
      <c r="P964" s="113" t="s">
        <v>229</v>
      </c>
      <c r="Q964" s="113" t="s">
        <v>229</v>
      </c>
      <c r="R964" s="113" t="s">
        <v>229</v>
      </c>
      <c r="S964" s="113" t="s">
        <v>229</v>
      </c>
      <c r="T964" s="114" t="s">
        <v>229</v>
      </c>
      <c r="U964" s="109" t="s">
        <v>229</v>
      </c>
      <c r="V964" s="112" t="s">
        <v>229</v>
      </c>
      <c r="W964" s="111" t="s">
        <v>229</v>
      </c>
      <c r="X964" s="112" t="s">
        <v>229</v>
      </c>
      <c r="Y964" s="114" t="s">
        <v>229</v>
      </c>
      <c r="Z964" s="111" t="s">
        <v>229</v>
      </c>
    </row>
    <row r="965" ht="15.75" customHeight="1">
      <c r="A965" s="109"/>
      <c r="B965" s="110"/>
      <c r="C965" s="110"/>
      <c r="D965" s="109"/>
      <c r="E965" s="109"/>
      <c r="F965" s="109"/>
      <c r="G965" s="111"/>
      <c r="H965" s="111"/>
      <c r="I965" s="112"/>
      <c r="J965" s="112"/>
      <c r="K965" s="113"/>
      <c r="L965" s="109"/>
      <c r="M965" s="109"/>
      <c r="N965" s="113" t="s">
        <v>229</v>
      </c>
      <c r="O965" s="113" t="s">
        <v>229</v>
      </c>
      <c r="P965" s="113" t="s">
        <v>229</v>
      </c>
      <c r="Q965" s="113" t="s">
        <v>229</v>
      </c>
      <c r="R965" s="113" t="s">
        <v>229</v>
      </c>
      <c r="S965" s="113" t="s">
        <v>229</v>
      </c>
      <c r="T965" s="114" t="s">
        <v>229</v>
      </c>
      <c r="U965" s="109" t="s">
        <v>229</v>
      </c>
      <c r="V965" s="112" t="s">
        <v>229</v>
      </c>
      <c r="W965" s="111" t="s">
        <v>229</v>
      </c>
      <c r="X965" s="112" t="s">
        <v>229</v>
      </c>
      <c r="Y965" s="114" t="s">
        <v>229</v>
      </c>
      <c r="Z965" s="111" t="s">
        <v>229</v>
      </c>
    </row>
    <row r="966" ht="15.75" customHeight="1">
      <c r="A966" s="109"/>
      <c r="B966" s="110"/>
      <c r="C966" s="110"/>
      <c r="D966" s="109"/>
      <c r="E966" s="109"/>
      <c r="F966" s="109"/>
      <c r="G966" s="111"/>
      <c r="H966" s="111"/>
      <c r="I966" s="112"/>
      <c r="J966" s="112"/>
      <c r="K966" s="113"/>
      <c r="L966" s="109"/>
      <c r="M966" s="109"/>
      <c r="N966" s="113" t="s">
        <v>229</v>
      </c>
      <c r="O966" s="113" t="s">
        <v>229</v>
      </c>
      <c r="P966" s="113" t="s">
        <v>229</v>
      </c>
      <c r="Q966" s="113" t="s">
        <v>229</v>
      </c>
      <c r="R966" s="113" t="s">
        <v>229</v>
      </c>
      <c r="S966" s="113" t="s">
        <v>229</v>
      </c>
      <c r="T966" s="114" t="s">
        <v>229</v>
      </c>
      <c r="U966" s="109" t="s">
        <v>229</v>
      </c>
      <c r="V966" s="112" t="s">
        <v>229</v>
      </c>
      <c r="W966" s="111" t="s">
        <v>229</v>
      </c>
      <c r="X966" s="112" t="s">
        <v>229</v>
      </c>
      <c r="Y966" s="114" t="s">
        <v>229</v>
      </c>
      <c r="Z966" s="111" t="s">
        <v>229</v>
      </c>
    </row>
    <row r="967" ht="15.75" customHeight="1">
      <c r="A967" s="109"/>
      <c r="B967" s="110"/>
      <c r="C967" s="110"/>
      <c r="D967" s="109"/>
      <c r="E967" s="109"/>
      <c r="F967" s="109"/>
      <c r="G967" s="111"/>
      <c r="H967" s="111"/>
      <c r="I967" s="112"/>
      <c r="J967" s="112"/>
      <c r="K967" s="113"/>
      <c r="L967" s="109"/>
      <c r="M967" s="109"/>
      <c r="N967" s="113" t="s">
        <v>229</v>
      </c>
      <c r="O967" s="113" t="s">
        <v>229</v>
      </c>
      <c r="P967" s="113" t="s">
        <v>229</v>
      </c>
      <c r="Q967" s="113" t="s">
        <v>229</v>
      </c>
      <c r="R967" s="113" t="s">
        <v>229</v>
      </c>
      <c r="S967" s="113" t="s">
        <v>229</v>
      </c>
      <c r="T967" s="114" t="s">
        <v>229</v>
      </c>
      <c r="U967" s="109" t="s">
        <v>229</v>
      </c>
      <c r="V967" s="112" t="s">
        <v>229</v>
      </c>
      <c r="W967" s="111" t="s">
        <v>229</v>
      </c>
      <c r="X967" s="112" t="s">
        <v>229</v>
      </c>
      <c r="Y967" s="114" t="s">
        <v>229</v>
      </c>
      <c r="Z967" s="111" t="s">
        <v>229</v>
      </c>
    </row>
    <row r="968" ht="15.75" customHeight="1">
      <c r="A968" s="109"/>
      <c r="B968" s="110"/>
      <c r="C968" s="110"/>
      <c r="D968" s="109"/>
      <c r="E968" s="109"/>
      <c r="F968" s="109"/>
      <c r="G968" s="111"/>
      <c r="H968" s="111"/>
      <c r="I968" s="112"/>
      <c r="J968" s="112"/>
      <c r="K968" s="113"/>
      <c r="L968" s="109"/>
      <c r="M968" s="109"/>
      <c r="N968" s="113" t="s">
        <v>229</v>
      </c>
      <c r="O968" s="113" t="s">
        <v>229</v>
      </c>
      <c r="P968" s="113" t="s">
        <v>229</v>
      </c>
      <c r="Q968" s="113" t="s">
        <v>229</v>
      </c>
      <c r="R968" s="113" t="s">
        <v>229</v>
      </c>
      <c r="S968" s="113" t="s">
        <v>229</v>
      </c>
      <c r="T968" s="114" t="s">
        <v>229</v>
      </c>
      <c r="U968" s="109" t="s">
        <v>229</v>
      </c>
      <c r="V968" s="112" t="s">
        <v>229</v>
      </c>
      <c r="W968" s="111" t="s">
        <v>229</v>
      </c>
      <c r="X968" s="112" t="s">
        <v>229</v>
      </c>
      <c r="Y968" s="114" t="s">
        <v>229</v>
      </c>
      <c r="Z968" s="111" t="s">
        <v>229</v>
      </c>
    </row>
    <row r="969" ht="15.75" customHeight="1">
      <c r="A969" s="109"/>
      <c r="B969" s="110"/>
      <c r="C969" s="110"/>
      <c r="D969" s="109"/>
      <c r="E969" s="109"/>
      <c r="F969" s="109"/>
      <c r="G969" s="111"/>
      <c r="H969" s="111"/>
      <c r="I969" s="112"/>
      <c r="J969" s="112"/>
      <c r="K969" s="113"/>
      <c r="L969" s="109"/>
      <c r="M969" s="109"/>
      <c r="N969" s="113" t="s">
        <v>229</v>
      </c>
      <c r="O969" s="113" t="s">
        <v>229</v>
      </c>
      <c r="P969" s="113" t="s">
        <v>229</v>
      </c>
      <c r="Q969" s="113" t="s">
        <v>229</v>
      </c>
      <c r="R969" s="113" t="s">
        <v>229</v>
      </c>
      <c r="S969" s="113" t="s">
        <v>229</v>
      </c>
      <c r="T969" s="114" t="s">
        <v>229</v>
      </c>
      <c r="U969" s="109" t="s">
        <v>229</v>
      </c>
      <c r="V969" s="112" t="s">
        <v>229</v>
      </c>
      <c r="W969" s="111" t="s">
        <v>229</v>
      </c>
      <c r="X969" s="112" t="s">
        <v>229</v>
      </c>
      <c r="Y969" s="114" t="s">
        <v>229</v>
      </c>
      <c r="Z969" s="111" t="s">
        <v>229</v>
      </c>
    </row>
    <row r="970" ht="15.75" customHeight="1">
      <c r="A970" s="109"/>
      <c r="B970" s="110"/>
      <c r="C970" s="110"/>
      <c r="D970" s="109"/>
      <c r="E970" s="109"/>
      <c r="F970" s="109"/>
      <c r="G970" s="111"/>
      <c r="H970" s="111"/>
      <c r="I970" s="112"/>
      <c r="J970" s="112"/>
      <c r="K970" s="113"/>
      <c r="L970" s="109"/>
      <c r="M970" s="109"/>
      <c r="N970" s="113" t="s">
        <v>229</v>
      </c>
      <c r="O970" s="113" t="s">
        <v>229</v>
      </c>
      <c r="P970" s="113" t="s">
        <v>229</v>
      </c>
      <c r="Q970" s="113" t="s">
        <v>229</v>
      </c>
      <c r="R970" s="113" t="s">
        <v>229</v>
      </c>
      <c r="S970" s="113" t="s">
        <v>229</v>
      </c>
      <c r="T970" s="114" t="s">
        <v>229</v>
      </c>
      <c r="U970" s="109" t="s">
        <v>229</v>
      </c>
      <c r="V970" s="112" t="s">
        <v>229</v>
      </c>
      <c r="W970" s="111" t="s">
        <v>229</v>
      </c>
      <c r="X970" s="112" t="s">
        <v>229</v>
      </c>
      <c r="Y970" s="114" t="s">
        <v>229</v>
      </c>
      <c r="Z970" s="111" t="s">
        <v>229</v>
      </c>
    </row>
    <row r="971" ht="15.75" customHeight="1">
      <c r="A971" s="109"/>
      <c r="B971" s="110"/>
      <c r="C971" s="110"/>
      <c r="D971" s="109"/>
      <c r="E971" s="109"/>
      <c r="F971" s="109"/>
      <c r="G971" s="111"/>
      <c r="H971" s="111"/>
      <c r="I971" s="112"/>
      <c r="J971" s="112"/>
      <c r="K971" s="113"/>
      <c r="L971" s="109"/>
      <c r="M971" s="109"/>
      <c r="N971" s="113" t="s">
        <v>229</v>
      </c>
      <c r="O971" s="113" t="s">
        <v>229</v>
      </c>
      <c r="P971" s="113" t="s">
        <v>229</v>
      </c>
      <c r="Q971" s="113" t="s">
        <v>229</v>
      </c>
      <c r="R971" s="113" t="s">
        <v>229</v>
      </c>
      <c r="S971" s="113" t="s">
        <v>229</v>
      </c>
      <c r="T971" s="114" t="s">
        <v>229</v>
      </c>
      <c r="U971" s="109" t="s">
        <v>229</v>
      </c>
      <c r="V971" s="112" t="s">
        <v>229</v>
      </c>
      <c r="W971" s="111" t="s">
        <v>229</v>
      </c>
      <c r="X971" s="112" t="s">
        <v>229</v>
      </c>
      <c r="Y971" s="114" t="s">
        <v>229</v>
      </c>
      <c r="Z971" s="111" t="s">
        <v>229</v>
      </c>
    </row>
    <row r="972" ht="15.75" customHeight="1">
      <c r="A972" s="109"/>
      <c r="B972" s="110"/>
      <c r="C972" s="110"/>
      <c r="D972" s="109"/>
      <c r="E972" s="109"/>
      <c r="F972" s="109"/>
      <c r="G972" s="111"/>
      <c r="H972" s="111"/>
      <c r="I972" s="112"/>
      <c r="J972" s="112"/>
      <c r="K972" s="113"/>
      <c r="L972" s="109"/>
      <c r="M972" s="109"/>
      <c r="N972" s="113" t="s">
        <v>229</v>
      </c>
      <c r="O972" s="113" t="s">
        <v>229</v>
      </c>
      <c r="P972" s="113" t="s">
        <v>229</v>
      </c>
      <c r="Q972" s="113" t="s">
        <v>229</v>
      </c>
      <c r="R972" s="113" t="s">
        <v>229</v>
      </c>
      <c r="S972" s="113" t="s">
        <v>229</v>
      </c>
      <c r="T972" s="114" t="s">
        <v>229</v>
      </c>
      <c r="U972" s="109" t="s">
        <v>229</v>
      </c>
      <c r="V972" s="112" t="s">
        <v>229</v>
      </c>
      <c r="W972" s="111" t="s">
        <v>229</v>
      </c>
      <c r="X972" s="112" t="s">
        <v>229</v>
      </c>
      <c r="Y972" s="114" t="s">
        <v>229</v>
      </c>
      <c r="Z972" s="111" t="s">
        <v>229</v>
      </c>
    </row>
    <row r="973" ht="15.75" customHeight="1">
      <c r="A973" s="109"/>
      <c r="B973" s="110"/>
      <c r="C973" s="110"/>
      <c r="D973" s="109"/>
      <c r="E973" s="109"/>
      <c r="F973" s="109"/>
      <c r="G973" s="111"/>
      <c r="H973" s="111"/>
      <c r="I973" s="112"/>
      <c r="J973" s="112"/>
      <c r="K973" s="113"/>
      <c r="L973" s="109"/>
      <c r="M973" s="109"/>
      <c r="N973" s="113" t="s">
        <v>229</v>
      </c>
      <c r="O973" s="113" t="s">
        <v>229</v>
      </c>
      <c r="P973" s="113" t="s">
        <v>229</v>
      </c>
      <c r="Q973" s="113" t="s">
        <v>229</v>
      </c>
      <c r="R973" s="113" t="s">
        <v>229</v>
      </c>
      <c r="S973" s="113" t="s">
        <v>229</v>
      </c>
      <c r="T973" s="114" t="s">
        <v>229</v>
      </c>
      <c r="U973" s="109" t="s">
        <v>229</v>
      </c>
      <c r="V973" s="112" t="s">
        <v>229</v>
      </c>
      <c r="W973" s="111" t="s">
        <v>229</v>
      </c>
      <c r="X973" s="112" t="s">
        <v>229</v>
      </c>
      <c r="Y973" s="114" t="s">
        <v>229</v>
      </c>
      <c r="Z973" s="111" t="s">
        <v>229</v>
      </c>
    </row>
    <row r="974" ht="15.75" customHeight="1">
      <c r="A974" s="109"/>
      <c r="B974" s="110"/>
      <c r="C974" s="110"/>
      <c r="D974" s="109"/>
      <c r="E974" s="109"/>
      <c r="F974" s="109"/>
      <c r="G974" s="111"/>
      <c r="H974" s="111"/>
      <c r="I974" s="112"/>
      <c r="J974" s="112"/>
      <c r="K974" s="113"/>
      <c r="L974" s="109"/>
      <c r="M974" s="109"/>
      <c r="N974" s="113" t="s">
        <v>229</v>
      </c>
      <c r="O974" s="113" t="s">
        <v>229</v>
      </c>
      <c r="P974" s="113" t="s">
        <v>229</v>
      </c>
      <c r="Q974" s="113" t="s">
        <v>229</v>
      </c>
      <c r="R974" s="113" t="s">
        <v>229</v>
      </c>
      <c r="S974" s="113" t="s">
        <v>229</v>
      </c>
      <c r="T974" s="114" t="s">
        <v>229</v>
      </c>
      <c r="U974" s="109" t="s">
        <v>229</v>
      </c>
      <c r="V974" s="112" t="s">
        <v>229</v>
      </c>
      <c r="W974" s="111" t="s">
        <v>229</v>
      </c>
      <c r="X974" s="112" t="s">
        <v>229</v>
      </c>
      <c r="Y974" s="114" t="s">
        <v>229</v>
      </c>
      <c r="Z974" s="111" t="s">
        <v>229</v>
      </c>
    </row>
    <row r="975" ht="15.75" customHeight="1">
      <c r="A975" s="109"/>
      <c r="B975" s="110"/>
      <c r="C975" s="110"/>
      <c r="D975" s="109"/>
      <c r="E975" s="109"/>
      <c r="F975" s="109"/>
      <c r="G975" s="111"/>
      <c r="H975" s="111"/>
      <c r="I975" s="112"/>
      <c r="J975" s="112"/>
      <c r="K975" s="113"/>
      <c r="L975" s="109"/>
      <c r="M975" s="109"/>
      <c r="N975" s="113" t="s">
        <v>229</v>
      </c>
      <c r="O975" s="113" t="s">
        <v>229</v>
      </c>
      <c r="P975" s="113" t="s">
        <v>229</v>
      </c>
      <c r="Q975" s="113" t="s">
        <v>229</v>
      </c>
      <c r="R975" s="113" t="s">
        <v>229</v>
      </c>
      <c r="S975" s="113" t="s">
        <v>229</v>
      </c>
      <c r="T975" s="114" t="s">
        <v>229</v>
      </c>
      <c r="U975" s="109" t="s">
        <v>229</v>
      </c>
      <c r="V975" s="112" t="s">
        <v>229</v>
      </c>
      <c r="W975" s="111" t="s">
        <v>229</v>
      </c>
      <c r="X975" s="112" t="s">
        <v>229</v>
      </c>
      <c r="Y975" s="114" t="s">
        <v>229</v>
      </c>
      <c r="Z975" s="111" t="s">
        <v>229</v>
      </c>
    </row>
    <row r="976" ht="15.75" customHeight="1">
      <c r="A976" s="109"/>
      <c r="B976" s="110"/>
      <c r="C976" s="110"/>
      <c r="D976" s="109"/>
      <c r="E976" s="109"/>
      <c r="F976" s="109"/>
      <c r="G976" s="111"/>
      <c r="H976" s="111"/>
      <c r="I976" s="112"/>
      <c r="J976" s="112"/>
      <c r="K976" s="113"/>
      <c r="L976" s="109"/>
      <c r="M976" s="109"/>
      <c r="N976" s="113" t="s">
        <v>229</v>
      </c>
      <c r="O976" s="113" t="s">
        <v>229</v>
      </c>
      <c r="P976" s="113" t="s">
        <v>229</v>
      </c>
      <c r="Q976" s="113" t="s">
        <v>229</v>
      </c>
      <c r="R976" s="113" t="s">
        <v>229</v>
      </c>
      <c r="S976" s="113" t="s">
        <v>229</v>
      </c>
      <c r="T976" s="114" t="s">
        <v>229</v>
      </c>
      <c r="U976" s="109" t="s">
        <v>229</v>
      </c>
      <c r="V976" s="112" t="s">
        <v>229</v>
      </c>
      <c r="W976" s="111" t="s">
        <v>229</v>
      </c>
      <c r="X976" s="112" t="s">
        <v>229</v>
      </c>
      <c r="Y976" s="114" t="s">
        <v>229</v>
      </c>
      <c r="Z976" s="111" t="s">
        <v>229</v>
      </c>
    </row>
    <row r="977" ht="15.75" customHeight="1">
      <c r="A977" s="109"/>
      <c r="B977" s="110"/>
      <c r="C977" s="110"/>
      <c r="D977" s="109"/>
      <c r="E977" s="109"/>
      <c r="F977" s="109"/>
      <c r="G977" s="111"/>
      <c r="H977" s="111"/>
      <c r="I977" s="112"/>
      <c r="J977" s="112"/>
      <c r="K977" s="113"/>
      <c r="L977" s="109"/>
      <c r="M977" s="109"/>
      <c r="N977" s="113" t="s">
        <v>229</v>
      </c>
      <c r="O977" s="113" t="s">
        <v>229</v>
      </c>
      <c r="P977" s="113" t="s">
        <v>229</v>
      </c>
      <c r="Q977" s="113" t="s">
        <v>229</v>
      </c>
      <c r="R977" s="113" t="s">
        <v>229</v>
      </c>
      <c r="S977" s="113" t="s">
        <v>229</v>
      </c>
      <c r="T977" s="114" t="s">
        <v>229</v>
      </c>
      <c r="U977" s="109" t="s">
        <v>229</v>
      </c>
      <c r="V977" s="112" t="s">
        <v>229</v>
      </c>
      <c r="W977" s="111" t="s">
        <v>229</v>
      </c>
      <c r="X977" s="112" t="s">
        <v>229</v>
      </c>
      <c r="Y977" s="114" t="s">
        <v>229</v>
      </c>
      <c r="Z977" s="111" t="s">
        <v>229</v>
      </c>
    </row>
    <row r="978" ht="15.75" customHeight="1">
      <c r="A978" s="109"/>
      <c r="B978" s="110"/>
      <c r="C978" s="110"/>
      <c r="D978" s="109"/>
      <c r="E978" s="109"/>
      <c r="F978" s="109"/>
      <c r="G978" s="111"/>
      <c r="H978" s="111"/>
      <c r="I978" s="112"/>
      <c r="J978" s="112"/>
      <c r="K978" s="113"/>
      <c r="L978" s="109"/>
      <c r="M978" s="109"/>
      <c r="N978" s="113" t="s">
        <v>229</v>
      </c>
      <c r="O978" s="113" t="s">
        <v>229</v>
      </c>
      <c r="P978" s="113" t="s">
        <v>229</v>
      </c>
      <c r="Q978" s="113" t="s">
        <v>229</v>
      </c>
      <c r="R978" s="113" t="s">
        <v>229</v>
      </c>
      <c r="S978" s="113" t="s">
        <v>229</v>
      </c>
      <c r="T978" s="114" t="s">
        <v>229</v>
      </c>
      <c r="U978" s="109" t="s">
        <v>229</v>
      </c>
      <c r="V978" s="112" t="s">
        <v>229</v>
      </c>
      <c r="W978" s="111" t="s">
        <v>229</v>
      </c>
      <c r="X978" s="112" t="s">
        <v>229</v>
      </c>
      <c r="Y978" s="114" t="s">
        <v>229</v>
      </c>
      <c r="Z978" s="111" t="s">
        <v>229</v>
      </c>
    </row>
    <row r="979" ht="15.75" customHeight="1">
      <c r="A979" s="109"/>
      <c r="B979" s="110"/>
      <c r="C979" s="110"/>
      <c r="D979" s="109"/>
      <c r="E979" s="109"/>
      <c r="F979" s="109"/>
      <c r="G979" s="111"/>
      <c r="H979" s="111"/>
      <c r="I979" s="112"/>
      <c r="J979" s="112"/>
      <c r="K979" s="113"/>
      <c r="L979" s="109"/>
      <c r="M979" s="109"/>
      <c r="N979" s="113" t="s">
        <v>229</v>
      </c>
      <c r="O979" s="113" t="s">
        <v>229</v>
      </c>
      <c r="P979" s="113" t="s">
        <v>229</v>
      </c>
      <c r="Q979" s="113" t="s">
        <v>229</v>
      </c>
      <c r="R979" s="113" t="s">
        <v>229</v>
      </c>
      <c r="S979" s="113" t="s">
        <v>229</v>
      </c>
      <c r="T979" s="114" t="s">
        <v>229</v>
      </c>
      <c r="U979" s="109" t="s">
        <v>229</v>
      </c>
      <c r="V979" s="112" t="s">
        <v>229</v>
      </c>
      <c r="W979" s="111" t="s">
        <v>229</v>
      </c>
      <c r="X979" s="112" t="s">
        <v>229</v>
      </c>
      <c r="Y979" s="114" t="s">
        <v>229</v>
      </c>
      <c r="Z979" s="111" t="s">
        <v>229</v>
      </c>
    </row>
    <row r="980" ht="15.75" customHeight="1">
      <c r="A980" s="109"/>
      <c r="B980" s="110"/>
      <c r="C980" s="110"/>
      <c r="D980" s="109"/>
      <c r="E980" s="109"/>
      <c r="F980" s="109"/>
      <c r="G980" s="111"/>
      <c r="H980" s="111"/>
      <c r="I980" s="112"/>
      <c r="J980" s="112"/>
      <c r="K980" s="113"/>
      <c r="L980" s="109"/>
      <c r="M980" s="109"/>
      <c r="N980" s="113" t="s">
        <v>229</v>
      </c>
      <c r="O980" s="113" t="s">
        <v>229</v>
      </c>
      <c r="P980" s="113" t="s">
        <v>229</v>
      </c>
      <c r="Q980" s="113" t="s">
        <v>229</v>
      </c>
      <c r="R980" s="113" t="s">
        <v>229</v>
      </c>
      <c r="S980" s="113" t="s">
        <v>229</v>
      </c>
      <c r="T980" s="114" t="s">
        <v>229</v>
      </c>
      <c r="U980" s="109" t="s">
        <v>229</v>
      </c>
      <c r="V980" s="112" t="s">
        <v>229</v>
      </c>
      <c r="W980" s="111" t="s">
        <v>229</v>
      </c>
      <c r="X980" s="112" t="s">
        <v>229</v>
      </c>
      <c r="Y980" s="114" t="s">
        <v>229</v>
      </c>
      <c r="Z980" s="111" t="s">
        <v>229</v>
      </c>
    </row>
    <row r="981" ht="15.75" customHeight="1">
      <c r="A981" s="109"/>
      <c r="B981" s="110"/>
      <c r="C981" s="110"/>
      <c r="D981" s="109"/>
      <c r="E981" s="109"/>
      <c r="F981" s="109"/>
      <c r="G981" s="111"/>
      <c r="H981" s="111"/>
      <c r="I981" s="112"/>
      <c r="J981" s="112"/>
      <c r="K981" s="113"/>
      <c r="L981" s="109"/>
      <c r="M981" s="109"/>
      <c r="N981" s="113" t="s">
        <v>229</v>
      </c>
      <c r="O981" s="113" t="s">
        <v>229</v>
      </c>
      <c r="P981" s="113" t="s">
        <v>229</v>
      </c>
      <c r="Q981" s="113" t="s">
        <v>229</v>
      </c>
      <c r="R981" s="113" t="s">
        <v>229</v>
      </c>
      <c r="S981" s="113" t="s">
        <v>229</v>
      </c>
      <c r="T981" s="114" t="s">
        <v>229</v>
      </c>
      <c r="U981" s="109" t="s">
        <v>229</v>
      </c>
      <c r="V981" s="112" t="s">
        <v>229</v>
      </c>
      <c r="W981" s="111" t="s">
        <v>229</v>
      </c>
      <c r="X981" s="112" t="s">
        <v>229</v>
      </c>
      <c r="Y981" s="114" t="s">
        <v>229</v>
      </c>
      <c r="Z981" s="111" t="s">
        <v>229</v>
      </c>
    </row>
    <row r="982" ht="15.75" customHeight="1">
      <c r="A982" s="109"/>
      <c r="B982" s="110"/>
      <c r="C982" s="110"/>
      <c r="D982" s="109"/>
      <c r="E982" s="109"/>
      <c r="F982" s="109"/>
      <c r="G982" s="111"/>
      <c r="H982" s="111"/>
      <c r="I982" s="112"/>
      <c r="J982" s="112"/>
      <c r="K982" s="113"/>
      <c r="L982" s="109"/>
      <c r="M982" s="109"/>
      <c r="N982" s="113" t="s">
        <v>229</v>
      </c>
      <c r="O982" s="113" t="s">
        <v>229</v>
      </c>
      <c r="P982" s="113" t="s">
        <v>229</v>
      </c>
      <c r="Q982" s="113" t="s">
        <v>229</v>
      </c>
      <c r="R982" s="113" t="s">
        <v>229</v>
      </c>
      <c r="S982" s="113" t="s">
        <v>229</v>
      </c>
      <c r="T982" s="114" t="s">
        <v>229</v>
      </c>
      <c r="U982" s="109" t="s">
        <v>229</v>
      </c>
      <c r="V982" s="112" t="s">
        <v>229</v>
      </c>
      <c r="W982" s="111" t="s">
        <v>229</v>
      </c>
      <c r="X982" s="112" t="s">
        <v>229</v>
      </c>
      <c r="Y982" s="114" t="s">
        <v>229</v>
      </c>
      <c r="Z982" s="111" t="s">
        <v>229</v>
      </c>
    </row>
    <row r="983" ht="15.75" customHeight="1">
      <c r="A983" s="109"/>
      <c r="B983" s="110"/>
      <c r="C983" s="110"/>
      <c r="D983" s="109"/>
      <c r="E983" s="109"/>
      <c r="F983" s="109"/>
      <c r="G983" s="111"/>
      <c r="H983" s="111"/>
      <c r="I983" s="112"/>
      <c r="J983" s="112"/>
      <c r="K983" s="113"/>
      <c r="L983" s="109"/>
      <c r="M983" s="109"/>
      <c r="N983" s="113" t="s">
        <v>229</v>
      </c>
      <c r="O983" s="113" t="s">
        <v>229</v>
      </c>
      <c r="P983" s="113" t="s">
        <v>229</v>
      </c>
      <c r="Q983" s="113" t="s">
        <v>229</v>
      </c>
      <c r="R983" s="113" t="s">
        <v>229</v>
      </c>
      <c r="S983" s="113" t="s">
        <v>229</v>
      </c>
      <c r="T983" s="114" t="s">
        <v>229</v>
      </c>
      <c r="U983" s="109" t="s">
        <v>229</v>
      </c>
      <c r="V983" s="112" t="s">
        <v>229</v>
      </c>
      <c r="W983" s="111" t="s">
        <v>229</v>
      </c>
      <c r="X983" s="112" t="s">
        <v>229</v>
      </c>
      <c r="Y983" s="114" t="s">
        <v>229</v>
      </c>
      <c r="Z983" s="111" t="s">
        <v>229</v>
      </c>
    </row>
    <row r="984" ht="15.75" customHeight="1">
      <c r="A984" s="109"/>
      <c r="B984" s="110"/>
      <c r="C984" s="110"/>
      <c r="D984" s="109"/>
      <c r="E984" s="109"/>
      <c r="F984" s="109"/>
      <c r="G984" s="111"/>
      <c r="H984" s="111"/>
      <c r="I984" s="112"/>
      <c r="J984" s="112"/>
      <c r="K984" s="113"/>
      <c r="L984" s="109"/>
      <c r="M984" s="109"/>
      <c r="N984" s="113" t="s">
        <v>229</v>
      </c>
      <c r="O984" s="113" t="s">
        <v>229</v>
      </c>
      <c r="P984" s="113" t="s">
        <v>229</v>
      </c>
      <c r="Q984" s="113" t="s">
        <v>229</v>
      </c>
      <c r="R984" s="113" t="s">
        <v>229</v>
      </c>
      <c r="S984" s="113" t="s">
        <v>229</v>
      </c>
      <c r="T984" s="114" t="s">
        <v>229</v>
      </c>
      <c r="U984" s="109" t="s">
        <v>229</v>
      </c>
      <c r="V984" s="112" t="s">
        <v>229</v>
      </c>
      <c r="W984" s="111" t="s">
        <v>229</v>
      </c>
      <c r="X984" s="112" t="s">
        <v>229</v>
      </c>
      <c r="Y984" s="114" t="s">
        <v>229</v>
      </c>
      <c r="Z984" s="111" t="s">
        <v>229</v>
      </c>
    </row>
    <row r="985" ht="15.75" customHeight="1">
      <c r="A985" s="109"/>
      <c r="B985" s="110"/>
      <c r="C985" s="110"/>
      <c r="D985" s="109"/>
      <c r="E985" s="109"/>
      <c r="F985" s="109"/>
      <c r="G985" s="111"/>
      <c r="H985" s="111"/>
      <c r="I985" s="112"/>
      <c r="J985" s="112"/>
      <c r="K985" s="113"/>
      <c r="L985" s="109"/>
      <c r="M985" s="109"/>
      <c r="N985" s="113" t="s">
        <v>229</v>
      </c>
      <c r="O985" s="113" t="s">
        <v>229</v>
      </c>
      <c r="P985" s="113" t="s">
        <v>229</v>
      </c>
      <c r="Q985" s="113" t="s">
        <v>229</v>
      </c>
      <c r="R985" s="113" t="s">
        <v>229</v>
      </c>
      <c r="S985" s="113" t="s">
        <v>229</v>
      </c>
      <c r="T985" s="114" t="s">
        <v>229</v>
      </c>
      <c r="U985" s="109" t="s">
        <v>229</v>
      </c>
      <c r="V985" s="112" t="s">
        <v>229</v>
      </c>
      <c r="W985" s="111" t="s">
        <v>229</v>
      </c>
      <c r="X985" s="112" t="s">
        <v>229</v>
      </c>
      <c r="Y985" s="114" t="s">
        <v>229</v>
      </c>
      <c r="Z985" s="111" t="s">
        <v>229</v>
      </c>
    </row>
    <row r="986" ht="15.75" customHeight="1">
      <c r="A986" s="109"/>
      <c r="B986" s="110"/>
      <c r="C986" s="110"/>
      <c r="D986" s="109"/>
      <c r="E986" s="109"/>
      <c r="F986" s="109"/>
      <c r="G986" s="111"/>
      <c r="H986" s="111"/>
      <c r="I986" s="112"/>
      <c r="J986" s="112"/>
      <c r="K986" s="113"/>
      <c r="L986" s="109"/>
      <c r="M986" s="109"/>
      <c r="N986" s="113" t="s">
        <v>229</v>
      </c>
      <c r="O986" s="113" t="s">
        <v>229</v>
      </c>
      <c r="P986" s="113" t="s">
        <v>229</v>
      </c>
      <c r="Q986" s="113" t="s">
        <v>229</v>
      </c>
      <c r="R986" s="113" t="s">
        <v>229</v>
      </c>
      <c r="S986" s="113" t="s">
        <v>229</v>
      </c>
      <c r="T986" s="114" t="s">
        <v>229</v>
      </c>
      <c r="U986" s="109" t="s">
        <v>229</v>
      </c>
      <c r="V986" s="112" t="s">
        <v>229</v>
      </c>
      <c r="W986" s="111" t="s">
        <v>229</v>
      </c>
      <c r="X986" s="112" t="s">
        <v>229</v>
      </c>
      <c r="Y986" s="114" t="s">
        <v>229</v>
      </c>
      <c r="Z986" s="111" t="s">
        <v>229</v>
      </c>
    </row>
    <row r="987" ht="15.75" customHeight="1">
      <c r="A987" s="109"/>
      <c r="B987" s="110"/>
      <c r="C987" s="110"/>
      <c r="D987" s="109"/>
      <c r="E987" s="109"/>
      <c r="F987" s="109"/>
      <c r="G987" s="111"/>
      <c r="H987" s="111"/>
      <c r="I987" s="112"/>
      <c r="J987" s="112"/>
      <c r="K987" s="113"/>
      <c r="L987" s="109"/>
      <c r="M987" s="109"/>
      <c r="N987" s="113" t="s">
        <v>229</v>
      </c>
      <c r="O987" s="113" t="s">
        <v>229</v>
      </c>
      <c r="P987" s="113" t="s">
        <v>229</v>
      </c>
      <c r="Q987" s="113" t="s">
        <v>229</v>
      </c>
      <c r="R987" s="113" t="s">
        <v>229</v>
      </c>
      <c r="S987" s="113" t="s">
        <v>229</v>
      </c>
      <c r="T987" s="114" t="s">
        <v>229</v>
      </c>
      <c r="U987" s="109" t="s">
        <v>229</v>
      </c>
      <c r="V987" s="112" t="s">
        <v>229</v>
      </c>
      <c r="W987" s="111" t="s">
        <v>229</v>
      </c>
      <c r="X987" s="112" t="s">
        <v>229</v>
      </c>
      <c r="Y987" s="114" t="s">
        <v>229</v>
      </c>
      <c r="Z987" s="111" t="s">
        <v>229</v>
      </c>
    </row>
    <row r="988" ht="15.75" customHeight="1">
      <c r="A988" s="109"/>
      <c r="B988" s="110"/>
      <c r="C988" s="110"/>
      <c r="D988" s="109"/>
      <c r="E988" s="109"/>
      <c r="F988" s="109"/>
      <c r="G988" s="111"/>
      <c r="H988" s="111"/>
      <c r="I988" s="112"/>
      <c r="J988" s="112"/>
      <c r="K988" s="113"/>
      <c r="L988" s="109"/>
      <c r="M988" s="109"/>
      <c r="N988" s="113" t="s">
        <v>229</v>
      </c>
      <c r="O988" s="113" t="s">
        <v>229</v>
      </c>
      <c r="P988" s="113" t="s">
        <v>229</v>
      </c>
      <c r="Q988" s="113" t="s">
        <v>229</v>
      </c>
      <c r="R988" s="113" t="s">
        <v>229</v>
      </c>
      <c r="S988" s="113" t="s">
        <v>229</v>
      </c>
      <c r="T988" s="114" t="s">
        <v>229</v>
      </c>
      <c r="U988" s="109" t="s">
        <v>229</v>
      </c>
      <c r="V988" s="112" t="s">
        <v>229</v>
      </c>
      <c r="W988" s="111" t="s">
        <v>229</v>
      </c>
      <c r="X988" s="112" t="s">
        <v>229</v>
      </c>
      <c r="Y988" s="114" t="s">
        <v>229</v>
      </c>
      <c r="Z988" s="111" t="s">
        <v>229</v>
      </c>
    </row>
    <row r="989" ht="15.75" customHeight="1">
      <c r="A989" s="109"/>
      <c r="B989" s="110"/>
      <c r="C989" s="110"/>
      <c r="D989" s="109"/>
      <c r="E989" s="109"/>
      <c r="F989" s="109"/>
      <c r="G989" s="111"/>
      <c r="H989" s="111"/>
      <c r="I989" s="112"/>
      <c r="J989" s="112"/>
      <c r="K989" s="113"/>
      <c r="L989" s="109"/>
      <c r="M989" s="109"/>
      <c r="N989" s="113" t="s">
        <v>229</v>
      </c>
      <c r="O989" s="113" t="s">
        <v>229</v>
      </c>
      <c r="P989" s="113" t="s">
        <v>229</v>
      </c>
      <c r="Q989" s="113" t="s">
        <v>229</v>
      </c>
      <c r="R989" s="113" t="s">
        <v>229</v>
      </c>
      <c r="S989" s="113" t="s">
        <v>229</v>
      </c>
      <c r="T989" s="114" t="s">
        <v>229</v>
      </c>
      <c r="U989" s="109" t="s">
        <v>229</v>
      </c>
      <c r="V989" s="112" t="s">
        <v>229</v>
      </c>
      <c r="W989" s="111" t="s">
        <v>229</v>
      </c>
      <c r="X989" s="112" t="s">
        <v>229</v>
      </c>
      <c r="Y989" s="114" t="s">
        <v>229</v>
      </c>
      <c r="Z989" s="111" t="s">
        <v>229</v>
      </c>
    </row>
    <row r="990" ht="15.75" customHeight="1">
      <c r="A990" s="109"/>
      <c r="B990" s="110"/>
      <c r="C990" s="110"/>
      <c r="D990" s="109"/>
      <c r="E990" s="109"/>
      <c r="F990" s="109"/>
      <c r="G990" s="111"/>
      <c r="H990" s="111"/>
      <c r="I990" s="112"/>
      <c r="J990" s="112"/>
      <c r="K990" s="113"/>
      <c r="L990" s="109"/>
      <c r="M990" s="109"/>
      <c r="N990" s="113" t="s">
        <v>229</v>
      </c>
      <c r="O990" s="113" t="s">
        <v>229</v>
      </c>
      <c r="P990" s="113" t="s">
        <v>229</v>
      </c>
      <c r="Q990" s="113" t="s">
        <v>229</v>
      </c>
      <c r="R990" s="113" t="s">
        <v>229</v>
      </c>
      <c r="S990" s="113" t="s">
        <v>229</v>
      </c>
      <c r="T990" s="114" t="s">
        <v>229</v>
      </c>
      <c r="U990" s="109" t="s">
        <v>229</v>
      </c>
      <c r="V990" s="112" t="s">
        <v>229</v>
      </c>
      <c r="W990" s="111" t="s">
        <v>229</v>
      </c>
      <c r="X990" s="112" t="s">
        <v>229</v>
      </c>
      <c r="Y990" s="114" t="s">
        <v>229</v>
      </c>
      <c r="Z990" s="111" t="s">
        <v>229</v>
      </c>
    </row>
    <row r="991" ht="15.75" customHeight="1">
      <c r="A991" s="109"/>
      <c r="B991" s="110"/>
      <c r="C991" s="110"/>
      <c r="D991" s="109"/>
      <c r="E991" s="109"/>
      <c r="F991" s="109"/>
      <c r="G991" s="111"/>
      <c r="H991" s="111"/>
      <c r="I991" s="112"/>
      <c r="J991" s="112"/>
      <c r="K991" s="113"/>
      <c r="L991" s="109"/>
      <c r="M991" s="109"/>
      <c r="N991" s="113" t="s">
        <v>229</v>
      </c>
      <c r="O991" s="113" t="s">
        <v>229</v>
      </c>
      <c r="P991" s="113" t="s">
        <v>229</v>
      </c>
      <c r="Q991" s="113" t="s">
        <v>229</v>
      </c>
      <c r="R991" s="113" t="s">
        <v>229</v>
      </c>
      <c r="S991" s="113" t="s">
        <v>229</v>
      </c>
      <c r="T991" s="114" t="s">
        <v>229</v>
      </c>
      <c r="U991" s="109" t="s">
        <v>229</v>
      </c>
      <c r="V991" s="112" t="s">
        <v>229</v>
      </c>
      <c r="W991" s="111" t="s">
        <v>229</v>
      </c>
      <c r="X991" s="112" t="s">
        <v>229</v>
      </c>
      <c r="Y991" s="114" t="s">
        <v>229</v>
      </c>
      <c r="Z991" s="111" t="s">
        <v>229</v>
      </c>
    </row>
    <row r="992" ht="15.75" customHeight="1">
      <c r="A992" s="109"/>
      <c r="B992" s="110"/>
      <c r="C992" s="110"/>
      <c r="D992" s="109"/>
      <c r="E992" s="109"/>
      <c r="F992" s="109"/>
      <c r="G992" s="111"/>
      <c r="H992" s="111"/>
      <c r="I992" s="112"/>
      <c r="J992" s="112"/>
      <c r="K992" s="113"/>
      <c r="L992" s="109"/>
      <c r="M992" s="109"/>
      <c r="N992" s="113" t="s">
        <v>229</v>
      </c>
      <c r="O992" s="113" t="s">
        <v>229</v>
      </c>
      <c r="P992" s="113" t="s">
        <v>229</v>
      </c>
      <c r="Q992" s="113" t="s">
        <v>229</v>
      </c>
      <c r="R992" s="113" t="s">
        <v>229</v>
      </c>
      <c r="S992" s="113" t="s">
        <v>229</v>
      </c>
      <c r="T992" s="114" t="s">
        <v>229</v>
      </c>
      <c r="U992" s="109" t="s">
        <v>229</v>
      </c>
      <c r="V992" s="112" t="s">
        <v>229</v>
      </c>
      <c r="W992" s="111" t="s">
        <v>229</v>
      </c>
      <c r="X992" s="112" t="s">
        <v>229</v>
      </c>
      <c r="Y992" s="114" t="s">
        <v>229</v>
      </c>
      <c r="Z992" s="111" t="s">
        <v>229</v>
      </c>
    </row>
    <row r="993" ht="15.75" customHeight="1">
      <c r="A993" s="109"/>
      <c r="B993" s="110"/>
      <c r="C993" s="110"/>
      <c r="D993" s="109"/>
      <c r="E993" s="109"/>
      <c r="F993" s="109"/>
      <c r="G993" s="111"/>
      <c r="H993" s="111"/>
      <c r="I993" s="112"/>
      <c r="J993" s="112"/>
      <c r="K993" s="113"/>
      <c r="L993" s="109"/>
      <c r="M993" s="109"/>
      <c r="N993" s="113" t="s">
        <v>229</v>
      </c>
      <c r="O993" s="113" t="s">
        <v>229</v>
      </c>
      <c r="P993" s="113" t="s">
        <v>229</v>
      </c>
      <c r="Q993" s="113" t="s">
        <v>229</v>
      </c>
      <c r="R993" s="113" t="s">
        <v>229</v>
      </c>
      <c r="S993" s="113" t="s">
        <v>229</v>
      </c>
      <c r="T993" s="114" t="s">
        <v>229</v>
      </c>
      <c r="U993" s="109" t="s">
        <v>229</v>
      </c>
      <c r="V993" s="112" t="s">
        <v>229</v>
      </c>
      <c r="W993" s="111" t="s">
        <v>229</v>
      </c>
      <c r="X993" s="112" t="s">
        <v>229</v>
      </c>
      <c r="Y993" s="114" t="s">
        <v>229</v>
      </c>
      <c r="Z993" s="111" t="s">
        <v>229</v>
      </c>
    </row>
    <row r="994" ht="15.75" customHeight="1">
      <c r="A994" s="109"/>
      <c r="B994" s="110"/>
      <c r="C994" s="110"/>
      <c r="D994" s="109"/>
      <c r="E994" s="109"/>
      <c r="F994" s="109"/>
      <c r="G994" s="111"/>
      <c r="H994" s="111"/>
      <c r="I994" s="112"/>
      <c r="J994" s="112"/>
      <c r="K994" s="113"/>
      <c r="L994" s="109"/>
      <c r="M994" s="109"/>
      <c r="N994" s="113" t="s">
        <v>229</v>
      </c>
      <c r="O994" s="113" t="s">
        <v>229</v>
      </c>
      <c r="P994" s="113" t="s">
        <v>229</v>
      </c>
      <c r="Q994" s="113" t="s">
        <v>229</v>
      </c>
      <c r="R994" s="113" t="s">
        <v>229</v>
      </c>
      <c r="S994" s="113" t="s">
        <v>229</v>
      </c>
      <c r="T994" s="114" t="s">
        <v>229</v>
      </c>
      <c r="U994" s="109" t="s">
        <v>229</v>
      </c>
      <c r="V994" s="112" t="s">
        <v>229</v>
      </c>
      <c r="W994" s="111" t="s">
        <v>229</v>
      </c>
      <c r="X994" s="112" t="s">
        <v>229</v>
      </c>
      <c r="Y994" s="114" t="s">
        <v>229</v>
      </c>
      <c r="Z994" s="111" t="s">
        <v>229</v>
      </c>
    </row>
    <row r="995" ht="15.75" customHeight="1">
      <c r="A995" s="109"/>
      <c r="B995" s="110"/>
      <c r="C995" s="110"/>
      <c r="D995" s="109"/>
      <c r="E995" s="109"/>
      <c r="F995" s="109"/>
      <c r="G995" s="111"/>
      <c r="H995" s="111"/>
      <c r="I995" s="112"/>
      <c r="J995" s="112"/>
      <c r="K995" s="113"/>
      <c r="L995" s="109"/>
      <c r="M995" s="109"/>
      <c r="N995" s="113" t="s">
        <v>229</v>
      </c>
      <c r="O995" s="113" t="s">
        <v>229</v>
      </c>
      <c r="P995" s="113" t="s">
        <v>229</v>
      </c>
      <c r="Q995" s="113" t="s">
        <v>229</v>
      </c>
      <c r="R995" s="113" t="s">
        <v>229</v>
      </c>
      <c r="S995" s="113" t="s">
        <v>229</v>
      </c>
      <c r="T995" s="114" t="s">
        <v>229</v>
      </c>
      <c r="U995" s="109" t="s">
        <v>229</v>
      </c>
      <c r="V995" s="112" t="s">
        <v>229</v>
      </c>
      <c r="W995" s="111" t="s">
        <v>229</v>
      </c>
      <c r="X995" s="112" t="s">
        <v>229</v>
      </c>
      <c r="Y995" s="114" t="s">
        <v>229</v>
      </c>
      <c r="Z995" s="111" t="s">
        <v>229</v>
      </c>
    </row>
    <row r="996" ht="15.75" customHeight="1">
      <c r="A996" s="109"/>
      <c r="B996" s="110"/>
      <c r="C996" s="110"/>
      <c r="D996" s="109"/>
      <c r="E996" s="109"/>
      <c r="F996" s="109"/>
      <c r="G996" s="111"/>
      <c r="H996" s="111"/>
      <c r="I996" s="112"/>
      <c r="J996" s="112"/>
      <c r="K996" s="113"/>
      <c r="L996" s="109"/>
      <c r="M996" s="109"/>
      <c r="N996" s="113" t="s">
        <v>229</v>
      </c>
      <c r="O996" s="113" t="s">
        <v>229</v>
      </c>
      <c r="P996" s="113" t="s">
        <v>229</v>
      </c>
      <c r="Q996" s="113" t="s">
        <v>229</v>
      </c>
      <c r="R996" s="113" t="s">
        <v>229</v>
      </c>
      <c r="S996" s="113" t="s">
        <v>229</v>
      </c>
      <c r="T996" s="114" t="s">
        <v>229</v>
      </c>
      <c r="U996" s="109" t="s">
        <v>229</v>
      </c>
      <c r="V996" s="112" t="s">
        <v>229</v>
      </c>
      <c r="W996" s="111" t="s">
        <v>229</v>
      </c>
      <c r="X996" s="112" t="s">
        <v>229</v>
      </c>
      <c r="Y996" s="114" t="s">
        <v>229</v>
      </c>
      <c r="Z996" s="111" t="s">
        <v>229</v>
      </c>
    </row>
    <row r="997" ht="15.75" customHeight="1">
      <c r="A997" s="109"/>
      <c r="B997" s="110"/>
      <c r="C997" s="110"/>
      <c r="D997" s="109"/>
      <c r="E997" s="109"/>
      <c r="F997" s="109"/>
      <c r="G997" s="111"/>
      <c r="H997" s="111"/>
      <c r="I997" s="112"/>
      <c r="J997" s="112"/>
      <c r="K997" s="113"/>
      <c r="L997" s="109"/>
      <c r="M997" s="109"/>
      <c r="N997" s="113" t="s">
        <v>229</v>
      </c>
      <c r="O997" s="113" t="s">
        <v>229</v>
      </c>
      <c r="P997" s="113" t="s">
        <v>229</v>
      </c>
      <c r="Q997" s="113" t="s">
        <v>229</v>
      </c>
      <c r="R997" s="113" t="s">
        <v>229</v>
      </c>
      <c r="S997" s="113" t="s">
        <v>229</v>
      </c>
      <c r="T997" s="114" t="s">
        <v>229</v>
      </c>
      <c r="U997" s="109" t="s">
        <v>229</v>
      </c>
      <c r="V997" s="112" t="s">
        <v>229</v>
      </c>
      <c r="W997" s="111" t="s">
        <v>229</v>
      </c>
      <c r="X997" s="112" t="s">
        <v>229</v>
      </c>
      <c r="Y997" s="114" t="s">
        <v>229</v>
      </c>
      <c r="Z997" s="111" t="s">
        <v>229</v>
      </c>
    </row>
    <row r="998" ht="15.75" customHeight="1">
      <c r="A998" s="109"/>
      <c r="B998" s="110"/>
      <c r="C998" s="110"/>
      <c r="D998" s="109"/>
      <c r="E998" s="109"/>
      <c r="F998" s="109"/>
      <c r="G998" s="111"/>
      <c r="H998" s="111"/>
      <c r="I998" s="112"/>
      <c r="J998" s="112"/>
      <c r="K998" s="113"/>
      <c r="L998" s="109"/>
      <c r="M998" s="109"/>
      <c r="N998" s="113" t="s">
        <v>229</v>
      </c>
      <c r="O998" s="113" t="s">
        <v>229</v>
      </c>
      <c r="P998" s="113" t="s">
        <v>229</v>
      </c>
      <c r="Q998" s="113" t="s">
        <v>229</v>
      </c>
      <c r="R998" s="113" t="s">
        <v>229</v>
      </c>
      <c r="S998" s="113" t="s">
        <v>229</v>
      </c>
      <c r="T998" s="114" t="s">
        <v>229</v>
      </c>
      <c r="U998" s="109" t="s">
        <v>229</v>
      </c>
      <c r="V998" s="112" t="s">
        <v>229</v>
      </c>
      <c r="W998" s="111" t="s">
        <v>229</v>
      </c>
      <c r="X998" s="112" t="s">
        <v>229</v>
      </c>
      <c r="Y998" s="114" t="s">
        <v>229</v>
      </c>
      <c r="Z998" s="111" t="s">
        <v>229</v>
      </c>
    </row>
    <row r="999" ht="15.75" customHeight="1">
      <c r="A999" s="109"/>
      <c r="B999" s="110"/>
      <c r="C999" s="110"/>
      <c r="D999" s="109"/>
      <c r="E999" s="109"/>
      <c r="F999" s="109"/>
      <c r="G999" s="111"/>
      <c r="H999" s="111"/>
      <c r="I999" s="112"/>
      <c r="J999" s="112"/>
      <c r="K999" s="113"/>
      <c r="L999" s="109"/>
      <c r="M999" s="109"/>
      <c r="N999" s="113" t="s">
        <v>229</v>
      </c>
      <c r="O999" s="113" t="s">
        <v>229</v>
      </c>
      <c r="P999" s="113" t="s">
        <v>229</v>
      </c>
      <c r="Q999" s="113" t="s">
        <v>229</v>
      </c>
      <c r="R999" s="113" t="s">
        <v>229</v>
      </c>
      <c r="S999" s="113" t="s">
        <v>229</v>
      </c>
      <c r="T999" s="114" t="s">
        <v>229</v>
      </c>
      <c r="U999" s="109" t="s">
        <v>229</v>
      </c>
      <c r="V999" s="112" t="s">
        <v>229</v>
      </c>
      <c r="W999" s="111" t="s">
        <v>229</v>
      </c>
      <c r="X999" s="112" t="s">
        <v>229</v>
      </c>
      <c r="Y999" s="114" t="s">
        <v>229</v>
      </c>
      <c r="Z999" s="111" t="s">
        <v>229</v>
      </c>
    </row>
    <row r="1000" ht="15.75" customHeight="1">
      <c r="A1000" s="109"/>
      <c r="B1000" s="110"/>
      <c r="C1000" s="110"/>
      <c r="D1000" s="109"/>
      <c r="E1000" s="109"/>
      <c r="F1000" s="109"/>
      <c r="G1000" s="111"/>
      <c r="H1000" s="111"/>
      <c r="I1000" s="112"/>
      <c r="J1000" s="112"/>
      <c r="K1000" s="113"/>
      <c r="L1000" s="109"/>
      <c r="M1000" s="109"/>
      <c r="N1000" s="113" t="s">
        <v>229</v>
      </c>
      <c r="O1000" s="113" t="s">
        <v>229</v>
      </c>
      <c r="P1000" s="113" t="s">
        <v>229</v>
      </c>
      <c r="Q1000" s="113" t="s">
        <v>229</v>
      </c>
      <c r="R1000" s="113" t="s">
        <v>229</v>
      </c>
      <c r="S1000" s="113" t="s">
        <v>229</v>
      </c>
      <c r="T1000" s="114" t="s">
        <v>229</v>
      </c>
      <c r="U1000" s="109" t="s">
        <v>229</v>
      </c>
      <c r="V1000" s="112" t="s">
        <v>229</v>
      </c>
      <c r="W1000" s="111" t="s">
        <v>229</v>
      </c>
      <c r="X1000" s="112" t="s">
        <v>229</v>
      </c>
      <c r="Y1000" s="114" t="s">
        <v>229</v>
      </c>
      <c r="Z1000" s="111" t="s">
        <v>229</v>
      </c>
    </row>
    <row r="1001" ht="15.75" customHeight="1">
      <c r="A1001" s="109"/>
      <c r="B1001" s="110"/>
      <c r="C1001" s="110"/>
      <c r="D1001" s="109"/>
      <c r="E1001" s="109"/>
      <c r="F1001" s="109"/>
      <c r="G1001" s="111"/>
      <c r="H1001" s="111"/>
      <c r="I1001" s="112"/>
      <c r="J1001" s="112"/>
      <c r="K1001" s="113"/>
      <c r="L1001" s="109"/>
      <c r="M1001" s="109"/>
      <c r="N1001" s="113"/>
      <c r="O1001" s="113"/>
      <c r="P1001" s="113"/>
      <c r="Q1001" s="113"/>
      <c r="R1001" s="113"/>
      <c r="S1001" s="113"/>
      <c r="T1001" s="114"/>
      <c r="U1001" s="109"/>
      <c r="V1001" s="112"/>
      <c r="W1001" s="111"/>
      <c r="X1001" s="112"/>
      <c r="Y1001" s="114"/>
      <c r="Z1001" s="111"/>
    </row>
    <row r="1002" ht="15.75" customHeight="1">
      <c r="A1002" s="109"/>
      <c r="B1002" s="110"/>
      <c r="C1002" s="110"/>
      <c r="D1002" s="109"/>
      <c r="E1002" s="109"/>
      <c r="F1002" s="109"/>
      <c r="G1002" s="111"/>
      <c r="H1002" s="111"/>
      <c r="I1002" s="112"/>
      <c r="J1002" s="112"/>
      <c r="K1002" s="113"/>
      <c r="L1002" s="109"/>
      <c r="M1002" s="109"/>
      <c r="N1002" s="113"/>
      <c r="O1002" s="113"/>
      <c r="P1002" s="113"/>
      <c r="Q1002" s="113"/>
      <c r="R1002" s="113"/>
      <c r="S1002" s="113"/>
      <c r="T1002" s="114"/>
      <c r="U1002" s="109"/>
      <c r="V1002" s="112"/>
      <c r="W1002" s="111"/>
      <c r="X1002" s="112"/>
      <c r="Y1002" s="114"/>
      <c r="Z1002" s="111"/>
    </row>
    <row r="1003" ht="15.75" customHeight="1">
      <c r="A1003" s="109"/>
      <c r="B1003" s="110"/>
      <c r="C1003" s="110"/>
      <c r="D1003" s="109"/>
      <c r="E1003" s="109"/>
      <c r="F1003" s="109"/>
      <c r="G1003" s="111"/>
      <c r="H1003" s="111"/>
      <c r="I1003" s="112"/>
      <c r="J1003" s="112"/>
      <c r="K1003" s="113"/>
      <c r="L1003" s="109"/>
      <c r="M1003" s="109"/>
      <c r="N1003" s="113"/>
      <c r="O1003" s="113"/>
      <c r="P1003" s="113"/>
      <c r="Q1003" s="113"/>
      <c r="R1003" s="113"/>
      <c r="S1003" s="113"/>
      <c r="T1003" s="114"/>
      <c r="U1003" s="109"/>
      <c r="V1003" s="112"/>
      <c r="W1003" s="111"/>
      <c r="X1003" s="112"/>
      <c r="Y1003" s="114"/>
      <c r="Z1003" s="111"/>
    </row>
  </sheetData>
  <mergeCells count="5">
    <mergeCell ref="A1:Z1"/>
    <mergeCell ref="A2:Z2"/>
    <mergeCell ref="A3:M3"/>
    <mergeCell ref="N3:Z3"/>
    <mergeCell ref="A505:M505"/>
  </mergeCells>
  <conditionalFormatting sqref="C5:D1003">
    <cfRule type="expression" dxfId="4" priority="1" stopIfTrue="1">
      <formula>AND($D5="Estimate",OR($C5="",NOT(ISNUMBER($C5))))</formula>
    </cfRule>
  </conditionalFormatting>
  <conditionalFormatting sqref="C5:D1003">
    <cfRule type="expression" dxfId="5" priority="2" stopIfTrue="1">
      <formula>AND($D5="Estimate",ISNUMBER($C5),INT($C5)&lt;TODAY())</formula>
    </cfRule>
  </conditionalFormatting>
  <conditionalFormatting sqref="C5:D1003">
    <cfRule type="expression" dxfId="3" priority="3" stopIfTrue="1">
      <formula>AND($D5="Estimate",ISNUMBER($C5),INT($C5)&gt;=TODAY())</formula>
    </cfRule>
  </conditionalFormatting>
  <conditionalFormatting sqref="W5:W1003">
    <cfRule type="cellIs" dxfId="0" priority="4" stopIfTrue="1" operator="greaterThan">
      <formula>0</formula>
    </cfRule>
  </conditionalFormatting>
  <conditionalFormatting sqref="W5:W1003">
    <cfRule type="cellIs" dxfId="1" priority="5" stopIfTrue="1" operator="lessThan">
      <formula>0</formula>
    </cfRule>
  </conditionalFormatting>
  <conditionalFormatting sqref="W5:W1003">
    <cfRule type="cellIs" dxfId="6" priority="6" stopIfTrue="1" operator="equal">
      <formula>0</formula>
    </cfRule>
  </conditionalFormatting>
  <conditionalFormatting sqref="Z5:Z1003">
    <cfRule type="cellIs" dxfId="0" priority="7" stopIfTrue="1" operator="greaterThan">
      <formula>0</formula>
    </cfRule>
  </conditionalFormatting>
  <conditionalFormatting sqref="Z5:Z1003">
    <cfRule type="cellIs" dxfId="1" priority="8" stopIfTrue="1" operator="lessThan">
      <formula>0</formula>
    </cfRule>
  </conditionalFormatting>
  <conditionalFormatting sqref="Z5:Z1003">
    <cfRule type="cellIs" dxfId="0" priority="9" stopIfTrue="1" operator="greaterThan">
      <formula>0</formula>
    </cfRule>
  </conditionalFormatting>
  <conditionalFormatting sqref="Z5:Z1003">
    <cfRule type="cellIs" dxfId="1" priority="10" stopIfTrue="1" operator="lessThan">
      <formula>0</formula>
    </cfRule>
  </conditionalFormatting>
  <conditionalFormatting sqref="Z5:Z1003">
    <cfRule type="cellIs" dxfId="0" priority="11" stopIfTrue="1" operator="greaterThan">
      <formula>0</formula>
    </cfRule>
  </conditionalFormatting>
  <conditionalFormatting sqref="Z5:Z1003">
    <cfRule type="cellIs" dxfId="1" priority="12" stopIfTrue="1" operator="lessThan">
      <formula>0</formula>
    </cfRule>
  </conditionalFormatting>
  <conditionalFormatting sqref="Z5:Z1003">
    <cfRule type="cellIs" dxfId="0" priority="13" stopIfTrue="1" operator="greaterThan">
      <formula>0</formula>
    </cfRule>
  </conditionalFormatting>
  <conditionalFormatting sqref="Z5:Z1003">
    <cfRule type="cellIs" dxfId="1" priority="14" stopIfTrue="1" operator="lessThan">
      <formula>0</formula>
    </cfRule>
  </conditionalFormatting>
  <dataValidations>
    <dataValidation type="list" allowBlank="1" sqref="F5:F504">
      <formula1>"Cash,Points,Hybrid,Free Game / Chips,Subscription / Membership Fee"</formula1>
    </dataValidation>
    <dataValidation type="list" allowBlank="1" sqref="F506:F507 F509:F1003">
      <formula1>"Cash,Points,Hybrid,Free Game — completed challenge/chips,Subscription — membership charge only"</formula1>
    </dataValidation>
    <dataValidation type="list" allowBlank="1" showErrorMessage="1" sqref="E5:E504 E506:E507 E509:E1003">
      <formula1>"Member,Non-Member,N/A"</formula1>
    </dataValidation>
    <dataValidation type="list" allowBlank="1" showErrorMessage="1" sqref="L5:L504 L506:L507 L509:L1003">
      <formula1>"No,Yes"</formula1>
    </dataValidation>
    <dataValidation type="list" allowBlank="1" showErrorMessage="1" sqref="D5:D504 D506:D507 D509:D1003">
      <formula1>"Estimate,Finalized"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18.0"/>
    <col customWidth="1" min="3" max="3" width="24.0"/>
    <col customWidth="1" min="4" max="4" width="18.0"/>
    <col customWidth="1" min="5" max="5" width="27.63"/>
    <col customWidth="1" min="6" max="6" width="30.0"/>
    <col customWidth="1" min="7" max="7" width="34.0"/>
    <col customWidth="1" hidden="1" min="8" max="8" width="2.0"/>
    <col customWidth="1" min="9" max="9" width="24.0"/>
    <col customWidth="1" min="10" max="10" width="12.0"/>
    <col customWidth="1" min="11" max="26" width="8.63"/>
  </cols>
  <sheetData>
    <row r="1">
      <c r="A1" s="4" t="s">
        <v>2</v>
      </c>
      <c r="H1" s="4"/>
      <c r="I1" s="4"/>
      <c r="J1" s="4"/>
      <c r="K1" s="4"/>
      <c r="L1" s="4"/>
      <c r="M1" s="4"/>
      <c r="N1" s="4"/>
      <c r="O1" s="4"/>
      <c r="P1" s="4"/>
      <c r="Q1" s="4"/>
      <c r="R1" s="4"/>
      <c r="S1" s="4"/>
      <c r="T1" s="4"/>
      <c r="U1" s="4"/>
      <c r="V1" s="4"/>
      <c r="W1" s="4"/>
      <c r="X1" s="4"/>
      <c r="Y1" s="4"/>
      <c r="Z1" s="4"/>
    </row>
    <row r="2">
      <c r="A2" s="12" t="s">
        <v>15</v>
      </c>
      <c r="H2" s="12"/>
      <c r="I2" s="12"/>
      <c r="J2" s="12"/>
      <c r="K2" s="12"/>
      <c r="L2" s="12"/>
      <c r="M2" s="12"/>
      <c r="N2" s="12"/>
      <c r="O2" s="12"/>
      <c r="P2" s="12"/>
      <c r="Q2" s="12"/>
      <c r="R2" s="12"/>
      <c r="S2" s="12"/>
      <c r="T2" s="12"/>
      <c r="U2" s="12"/>
      <c r="V2" s="12"/>
      <c r="W2" s="12"/>
      <c r="X2" s="12"/>
      <c r="Y2" s="12"/>
      <c r="Z2" s="12"/>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6" t="s">
        <v>46</v>
      </c>
      <c r="B4" s="6" t="s">
        <v>47</v>
      </c>
      <c r="C4" s="6" t="s">
        <v>21</v>
      </c>
      <c r="D4" s="6" t="s">
        <v>50</v>
      </c>
      <c r="E4" s="6" t="s">
        <v>53</v>
      </c>
      <c r="F4" s="6" t="s">
        <v>54</v>
      </c>
      <c r="G4" s="6" t="s">
        <v>55</v>
      </c>
      <c r="H4" s="6"/>
      <c r="I4" s="6"/>
      <c r="J4" s="6"/>
      <c r="K4" s="6"/>
      <c r="L4" s="6"/>
      <c r="M4" s="6"/>
      <c r="N4" s="6"/>
      <c r="O4" s="6"/>
      <c r="P4" s="6"/>
      <c r="Q4" s="6"/>
      <c r="R4" s="6"/>
      <c r="S4" s="6"/>
      <c r="T4" s="6"/>
      <c r="U4" s="6"/>
      <c r="V4" s="6"/>
      <c r="W4" s="6"/>
      <c r="X4" s="6"/>
      <c r="Y4" s="6"/>
      <c r="Z4" s="6"/>
    </row>
    <row r="5" ht="24.0" customHeight="1">
      <c r="A5" s="18">
        <f t="shared" ref="A5:A504" si="1">IF($H5="","",ROWS($A$5:A5))</f>
        <v>1</v>
      </c>
      <c r="B5" s="18" t="str">
        <f t="shared" ref="B5:B504" si="2">IF($H5="","","G-"&amp;TEXT($A5,"0000"))</f>
        <v>G-0001</v>
      </c>
      <c r="C5" s="23" t="str">
        <f t="array" ref="C5">IF($H5="","",IFERROR(INDEX('Game Records'!$A:$A,$H5),""))</f>
        <v>test</v>
      </c>
      <c r="D5" s="23" t="str">
        <f t="array" ref="D5">IF($H5="","",IFERROR(INDEX('Game Records'!$U:$U,$H5),""))</f>
        <v>Estimate</v>
      </c>
      <c r="E5" s="23" t="str">
        <f t="array" ref="E5">IF($H5="","",LET(r,$H5,mode,LOWER(INDEX('Game Records'!$D:$D,r)&amp;""),endDate,INDEX('Game Records'!$C:$C,r),IF(mode="estimate",IF(endDate="","Estimate — End Date missing",IF(NOT(ISNUMBER(endDate)),"Estimate — Check End Date",IF(INT(endDate)&gt;=TODAY(),"In Progress — ends "&amp;TEXT(endDate,"mmm d, yyyy"),"Ready to Finalize"))),IF($F5="","No Highlighted Fields","Highlighted Fields Present"))))</f>
        <v>Ready to Finalize</v>
      </c>
      <c r="F5" s="23" t="str">
        <f t="array" ref="F5">IF($H5="","",IF(OR(NOT(_xlfn.ISFORMULA(INDEX('Game Records'!$N:$N,$H5))),NOT(_xlfn.ISFORMULA(INDEX('Game Records'!$O:$O,$H5))),NOT(_xlfn.ISFORMULA(INDEX('Game Records'!$P:$P,$H5))),NOT(_xlfn.ISFORMULA(INDEX('Game Records'!$Q:$Q,$H5))),NOT(_xlfn.ISFORMULA(INDEX('Game Records'!$R:$R,$H5))),NOT(_xlfn.ISFORMULA(INDEX('Game Records'!$S:$S,$H5))),NOT(_xlfn.ISFORMULA(INDEX('Game Records'!$T:$T,$H5))),NOT(_xlfn.ISFORMULA(INDEX('Game Records'!$U:$U,$H5))),NOT(_xlfn.ISFORMULA(INDEX('Game Records'!$V:$V,$H5))),NOT(_xlfn.ISFORMULA(INDEX('Game Records'!$W:$W,$H5))),NOT(_xlfn.ISFORMULA(INDEX('Game Records'!$X:$X,$H5))),NOT(_xlfn.ISFORMULA(INDEX('Game Records'!$Y:$Y,$H5))),NOT(_xlfn.ISFORMULA(INDEX('Game Records'!$Z:$Z,$H5)))),"","")&amp;IF(INDEX('Game Records'!$B:$B,$H5)="","Start Date; ","")&amp;IF(INDEX('Game Records'!$C:$C,$H5)="","End Date; ","")&amp;IF(AND(INDEX('Game Records'!$U:$U,$H5)&lt;&gt;"Subscription",INDEX('Game Records'!$U:$U,$H5)&lt;&gt;"Free Game",INDEX('Game Records'!$U:$U,$H5)&lt;&gt;"Disqualified — Free Game",OR(INDEX('Game Records'!$D:$D,$H5)="",LOWER(INDEX('Game Records'!$D:$D,$H5)&amp;"")="n/a")),"Entry Mode; ","")&amp;IF(AND(INDEX('Game Records'!$U:$U,$H5)&lt;&gt;"Subscription",INDEX('Game Records'!$U:$U,$H5)&lt;&gt;"Free Game",INDEX('Game Records'!$U:$U,$H5)&lt;&gt;"Disqualified — Free Game",OR(INDEX('Game Records'!$E:$E,$H5)="",LOWER(INDEX('Game Records'!$E:$E,$H5)&amp;"")="n/a")),"Game Type; ","")&amp;IF(INDEX('Game Records'!$F:$F,$H5)="","Payment Type; ","")&amp;IF(AND(INDEX('Game Records'!$U:$U,$H5)&lt;&gt;"Subscription",INDEX('Game Records'!$U:$U,$H5)&lt;&gt;"Free Game",INDEX('Game Records'!$U:$U,$H5)&lt;&gt;"Disqualified — Free Game",INDEX('Game Records'!$G:$G,$H5)=""),"Gross Pot; ","")&amp;IF(AND(INDEX('Game Records'!$U:$U,$H5)&lt;&gt;"Free Game",INDEX('Game Records'!$U:$U,$H5)&lt;&gt;"Disqualified — Free Game",INDEX('Game Records'!$H:$H,$H5)=""),"Entry Fee; ","")&amp;IF(AND(INDEX('Game Records'!$U:$U,$H5)&lt;&gt;"Subscription",INDEX('Game Records'!$U:$U,$H5)&lt;&gt;"Free Game",INDEX('Game Records'!$U:$U,$H5)&lt;&gt;"Disqualified — Free Game",INDEX('Game Records'!$I:$I,$H5)=""),"Eligible Players; ","")&amp;IF(AND(INDEX('Game Records'!$U:$U,$H5)&lt;&gt;"Subscription",INDEX('Game Records'!$U:$U,$H5)&lt;&gt;"Free Game",INDEX('Game Records'!$U:$U,$H5)&lt;&gt;"Disqualified — Free Game",INDEX('Game Records'!$J:$J,$H5)=""),"Total Players; ","")&amp;IF(AND(LOWER(INDEX('Game Records'!$D:$D,$H5)&amp;"")="finalized",LOWER(INDEX('Game Records'!$L:$L,$H5)&amp;"")&lt;&gt;"yes",INDEX('Game Records'!$U:$U,$H5)&lt;&gt;"Subscription",INDEX('Game Records'!$U:$U,$H5)&lt;&gt;"Free Game",INDEX('Game Records'!$U:$U,$H5)&lt;&gt;"Disqualified — Free Game",INDEX('Game Records'!$K:$K,$H5)=""),"Final Payout; ","")&amp;IF(AND(LOWER(INDEX('Game Records'!$D:$D,$H5)&amp;"")="finalized",INDEX('Game Records'!$U:$U,$H5)&lt;&gt;"Subscription",INDEX('Game Records'!$U:$U,$H5)&lt;&gt;"Free Game",INDEX('Game Records'!$U:$U,$H5)&lt;&gt;"Disqualified — Free Game",OR(INDEX('Game Records'!$L:$L,$H5)="",LOWER(INDEX('Game Records'!$L:$L,$H5)&amp;"")="n/a")),"Disqualified Status; ",""))</f>
        <v/>
      </c>
      <c r="G5" s="23" t="str">
        <f t="array" ref="G5">IF($H5="","",IFERROR(INDEX('Game Records'!$M:$M,$H5),""))</f>
        <v/>
      </c>
      <c r="H5" s="3">
        <f>IFERROR(__xludf.DUMMYFUNCTION("ARRAYFORMULA(IFERROR(FILTER(ROW('Game Records'!A:A),ROW('Game Records'!A:A)&gt;=5,MAP('Game Records'!A:A,'Game Records'!B:B,'Game Records'!C:C,'Game Records'!D:D,'Game Records'!E:E,'Game Records'!F:F,'Game Records'!G:G,'Game Records'!H:H,'Game Records'!I:I,'"&amp;"Game Records'!J:J,'Game Records'!K:K,'Game Records'!L:L,'Game Records'!M:M,LAMBDA(a,b,c,d,e,f,g,h,i,j,k,l,m,COUNTA(a,b,c,d,e,f,g,h,i,j,k,l,m)&gt;0)),'Game Records'!U:U&lt;&gt;""Subscription"",LEFT('Game Records'!A:A,16)&lt;&gt;""ARCHIVE BOUNDARY"",LEFT('Game Records'!A:"&amp;"A,22)&lt;&gt;""ACTIVE RECORD BOUNDARY""),""""))"),5.0)</f>
        <v>5</v>
      </c>
      <c r="I5" s="6" t="s">
        <v>189</v>
      </c>
      <c r="J5" s="6"/>
    </row>
    <row r="6" ht="24.0" customHeight="1">
      <c r="A6" s="18" t="str">
        <f t="shared" si="1"/>
        <v/>
      </c>
      <c r="B6" s="18" t="str">
        <f t="shared" si="2"/>
        <v/>
      </c>
      <c r="C6" s="23" t="str">
        <f t="array" ref="C6">IF($H6="","",IFERROR(INDEX('Game Records'!$A:$A,$H6),""))</f>
        <v/>
      </c>
      <c r="D6" s="23" t="str">
        <f t="array" ref="D6">IF($H6="","",IFERROR(INDEX('Game Records'!$U:$U,$H6),""))</f>
        <v/>
      </c>
      <c r="E6" s="23" t="str">
        <f t="array" ref="E6">IF($H6="","",LET(r,$H6,mode,LOWER(INDEX('Game Records'!$D:$D,r)&amp;""),endDate,INDEX('Game Records'!$C:$C,r),IF(mode="estimate",IF(endDate="","Estimate — End Date missing",IF(NOT(ISNUMBER(endDate)),"Estimate — Check End Date",IF(INT(endDate)&gt;=TODAY(),"In Progress — ends "&amp;TEXT(endDate,"mmm d, yyyy"),"Ready to Finalize"))),IF($F6="","No Highlighted Fields","Highlighted Fields Present"))))</f>
        <v/>
      </c>
      <c r="F6" s="23" t="str">
        <f t="array" ref="F6">IF($H6="","",IF(OR(NOT(_xlfn.ISFORMULA(INDEX('Game Records'!$N:$N,$H6))),NOT(_xlfn.ISFORMULA(INDEX('Game Records'!$O:$O,$H6))),NOT(_xlfn.ISFORMULA(INDEX('Game Records'!$P:$P,$H6))),NOT(_xlfn.ISFORMULA(INDEX('Game Records'!$Q:$Q,$H6))),NOT(_xlfn.ISFORMULA(INDEX('Game Records'!$R:$R,$H6))),NOT(_xlfn.ISFORMULA(INDEX('Game Records'!$S:$S,$H6))),NOT(_xlfn.ISFORMULA(INDEX('Game Records'!$T:$T,$H6))),NOT(_xlfn.ISFORMULA(INDEX('Game Records'!$U:$U,$H6))),NOT(_xlfn.ISFORMULA(INDEX('Game Records'!$V:$V,$H6))),NOT(_xlfn.ISFORMULA(INDEX('Game Records'!$W:$W,$H6))),NOT(_xlfn.ISFORMULA(INDEX('Game Records'!$X:$X,$H6))),NOT(_xlfn.ISFORMULA(INDEX('Game Records'!$Y:$Y,$H6))),NOT(_xlfn.ISFORMULA(INDEX('Game Records'!$Z:$Z,$H6)))),"","")&amp;IF(INDEX('Game Records'!$B:$B,$H6)="","Start Date; ","")&amp;IF(INDEX('Game Records'!$C:$C,$H6)="","End Date; ","")&amp;IF(AND(INDEX('Game Records'!$U:$U,$H6)&lt;&gt;"Subscription",INDEX('Game Records'!$U:$U,$H6)&lt;&gt;"Free Game",INDEX('Game Records'!$U:$U,$H6)&lt;&gt;"Disqualified — Free Game",OR(INDEX('Game Records'!$D:$D,$H6)="",LOWER(INDEX('Game Records'!$D:$D,$H6)&amp;"")="n/a")),"Entry Mode; ","")&amp;IF(AND(INDEX('Game Records'!$U:$U,$H6)&lt;&gt;"Subscription",INDEX('Game Records'!$U:$U,$H6)&lt;&gt;"Free Game",INDEX('Game Records'!$U:$U,$H6)&lt;&gt;"Disqualified — Free Game",OR(INDEX('Game Records'!$E:$E,$H6)="",LOWER(INDEX('Game Records'!$E:$E,$H6)&amp;"")="n/a")),"Game Type; ","")&amp;IF(INDEX('Game Records'!$F:$F,$H6)="","Payment Type; ","")&amp;IF(AND(INDEX('Game Records'!$U:$U,$H6)&lt;&gt;"Subscription",INDEX('Game Records'!$U:$U,$H6)&lt;&gt;"Free Game",INDEX('Game Records'!$U:$U,$H6)&lt;&gt;"Disqualified — Free Game",INDEX('Game Records'!$G:$G,$H6)=""),"Gross Pot; ","")&amp;IF(AND(INDEX('Game Records'!$U:$U,$H6)&lt;&gt;"Free Game",INDEX('Game Records'!$U:$U,$H6)&lt;&gt;"Disqualified — Free Game",INDEX('Game Records'!$H:$H,$H6)=""),"Entry Fee; ","")&amp;IF(AND(INDEX('Game Records'!$U:$U,$H6)&lt;&gt;"Subscription",INDEX('Game Records'!$U:$U,$H6)&lt;&gt;"Free Game",INDEX('Game Records'!$U:$U,$H6)&lt;&gt;"Disqualified — Free Game",INDEX('Game Records'!$I:$I,$H6)=""),"Eligible Players; ","")&amp;IF(AND(INDEX('Game Records'!$U:$U,$H6)&lt;&gt;"Subscription",INDEX('Game Records'!$U:$U,$H6)&lt;&gt;"Free Game",INDEX('Game Records'!$U:$U,$H6)&lt;&gt;"Disqualified — Free Game",INDEX('Game Records'!$J:$J,$H6)=""),"Total Players; ","")&amp;IF(AND(LOWER(INDEX('Game Records'!$D:$D,$H6)&amp;"")="finalized",LOWER(INDEX('Game Records'!$L:$L,$H6)&amp;"")&lt;&gt;"yes",INDEX('Game Records'!$U:$U,$H6)&lt;&gt;"Subscription",INDEX('Game Records'!$U:$U,$H6)&lt;&gt;"Free Game",INDEX('Game Records'!$U:$U,$H6)&lt;&gt;"Disqualified — Free Game",INDEX('Game Records'!$K:$K,$H6)=""),"Final Payout; ","")&amp;IF(AND(LOWER(INDEX('Game Records'!$D:$D,$H6)&amp;"")="finalized",INDEX('Game Records'!$U:$U,$H6)&lt;&gt;"Subscription",INDEX('Game Records'!$U:$U,$H6)&lt;&gt;"Free Game",INDEX('Game Records'!$U:$U,$H6)&lt;&gt;"Disqualified — Free Game",OR(INDEX('Game Records'!$L:$L,$H6)="",LOWER(INDEX('Game Records'!$L:$L,$H6)&amp;"")="n/a")),"Disqualified Status; ",""))</f>
        <v/>
      </c>
      <c r="G6" s="23" t="str">
        <f t="array" ref="G6">IF($H6="","",IFERROR(INDEX('Game Records'!$M:$M,$H6),""))</f>
        <v/>
      </c>
      <c r="H6" s="3"/>
      <c r="I6" s="61" t="s">
        <v>224</v>
      </c>
      <c r="J6" s="62">
        <f>COUNT($A$5:$A$504)</f>
        <v>1</v>
      </c>
    </row>
    <row r="7" ht="24.0" customHeight="1">
      <c r="A7" s="18" t="str">
        <f t="shared" si="1"/>
        <v/>
      </c>
      <c r="B7" s="18" t="str">
        <f t="shared" si="2"/>
        <v/>
      </c>
      <c r="C7" s="23" t="str">
        <f t="array" ref="C7">IF($H7="","",IFERROR(INDEX('Game Records'!$A:$A,$H7),""))</f>
        <v/>
      </c>
      <c r="D7" s="23" t="str">
        <f t="array" ref="D7">IF($H7="","",IFERROR(INDEX('Game Records'!$U:$U,$H7),""))</f>
        <v/>
      </c>
      <c r="E7" s="23" t="str">
        <f t="array" ref="E7">IF($H7="","",LET(r,$H7,mode,LOWER(INDEX('Game Records'!$D:$D,r)&amp;""),endDate,INDEX('Game Records'!$C:$C,r),IF(mode="estimate",IF(endDate="","Estimate — End Date missing",IF(NOT(ISNUMBER(endDate)),"Estimate — Check End Date",IF(INT(endDate)&gt;=TODAY(),"In Progress — ends "&amp;TEXT(endDate,"mmm d, yyyy"),"Ready to Finalize"))),IF($F7="","No Highlighted Fields","Highlighted Fields Present"))))</f>
        <v/>
      </c>
      <c r="F7" s="23" t="str">
        <f t="array" ref="F7">IF($H7="","",IF(OR(NOT(_xlfn.ISFORMULA(INDEX('Game Records'!$N:$N,$H7))),NOT(_xlfn.ISFORMULA(INDEX('Game Records'!$O:$O,$H7))),NOT(_xlfn.ISFORMULA(INDEX('Game Records'!$P:$P,$H7))),NOT(_xlfn.ISFORMULA(INDEX('Game Records'!$Q:$Q,$H7))),NOT(_xlfn.ISFORMULA(INDEX('Game Records'!$R:$R,$H7))),NOT(_xlfn.ISFORMULA(INDEX('Game Records'!$S:$S,$H7))),NOT(_xlfn.ISFORMULA(INDEX('Game Records'!$T:$T,$H7))),NOT(_xlfn.ISFORMULA(INDEX('Game Records'!$U:$U,$H7))),NOT(_xlfn.ISFORMULA(INDEX('Game Records'!$V:$V,$H7))),NOT(_xlfn.ISFORMULA(INDEX('Game Records'!$W:$W,$H7))),NOT(_xlfn.ISFORMULA(INDEX('Game Records'!$X:$X,$H7))),NOT(_xlfn.ISFORMULA(INDEX('Game Records'!$Y:$Y,$H7))),NOT(_xlfn.ISFORMULA(INDEX('Game Records'!$Z:$Z,$H7)))),"","")&amp;IF(INDEX('Game Records'!$B:$B,$H7)="","Start Date; ","")&amp;IF(INDEX('Game Records'!$C:$C,$H7)="","End Date; ","")&amp;IF(AND(INDEX('Game Records'!$U:$U,$H7)&lt;&gt;"Subscription",INDEX('Game Records'!$U:$U,$H7)&lt;&gt;"Free Game",INDEX('Game Records'!$U:$U,$H7)&lt;&gt;"Disqualified — Free Game",OR(INDEX('Game Records'!$D:$D,$H7)="",LOWER(INDEX('Game Records'!$D:$D,$H7)&amp;"")="n/a")),"Entry Mode; ","")&amp;IF(AND(INDEX('Game Records'!$U:$U,$H7)&lt;&gt;"Subscription",INDEX('Game Records'!$U:$U,$H7)&lt;&gt;"Free Game",INDEX('Game Records'!$U:$U,$H7)&lt;&gt;"Disqualified — Free Game",OR(INDEX('Game Records'!$E:$E,$H7)="",LOWER(INDEX('Game Records'!$E:$E,$H7)&amp;"")="n/a")),"Game Type; ","")&amp;IF(INDEX('Game Records'!$F:$F,$H7)="","Payment Type; ","")&amp;IF(AND(INDEX('Game Records'!$U:$U,$H7)&lt;&gt;"Subscription",INDEX('Game Records'!$U:$U,$H7)&lt;&gt;"Free Game",INDEX('Game Records'!$U:$U,$H7)&lt;&gt;"Disqualified — Free Game",INDEX('Game Records'!$G:$G,$H7)=""),"Gross Pot; ","")&amp;IF(AND(INDEX('Game Records'!$U:$U,$H7)&lt;&gt;"Free Game",INDEX('Game Records'!$U:$U,$H7)&lt;&gt;"Disqualified — Free Game",INDEX('Game Records'!$H:$H,$H7)=""),"Entry Fee; ","")&amp;IF(AND(INDEX('Game Records'!$U:$U,$H7)&lt;&gt;"Subscription",INDEX('Game Records'!$U:$U,$H7)&lt;&gt;"Free Game",INDEX('Game Records'!$U:$U,$H7)&lt;&gt;"Disqualified — Free Game",INDEX('Game Records'!$I:$I,$H7)=""),"Eligible Players; ","")&amp;IF(AND(INDEX('Game Records'!$U:$U,$H7)&lt;&gt;"Subscription",INDEX('Game Records'!$U:$U,$H7)&lt;&gt;"Free Game",INDEX('Game Records'!$U:$U,$H7)&lt;&gt;"Disqualified — Free Game",INDEX('Game Records'!$J:$J,$H7)=""),"Total Players; ","")&amp;IF(AND(LOWER(INDEX('Game Records'!$D:$D,$H7)&amp;"")="finalized",LOWER(INDEX('Game Records'!$L:$L,$H7)&amp;"")&lt;&gt;"yes",INDEX('Game Records'!$U:$U,$H7)&lt;&gt;"Subscription",INDEX('Game Records'!$U:$U,$H7)&lt;&gt;"Free Game",INDEX('Game Records'!$U:$U,$H7)&lt;&gt;"Disqualified — Free Game",INDEX('Game Records'!$K:$K,$H7)=""),"Final Payout; ","")&amp;IF(AND(LOWER(INDEX('Game Records'!$D:$D,$H7)&amp;"")="finalized",INDEX('Game Records'!$U:$U,$H7)&lt;&gt;"Subscription",INDEX('Game Records'!$U:$U,$H7)&lt;&gt;"Free Game",INDEX('Game Records'!$U:$U,$H7)&lt;&gt;"Disqualified — Free Game",OR(INDEX('Game Records'!$L:$L,$H7)="",LOWER(INDEX('Game Records'!$L:$L,$H7)&amp;"")="n/a")),"Disqualified Status; ",""))</f>
        <v/>
      </c>
      <c r="G7" s="23" t="str">
        <f t="array" ref="G7">IF($H7="","",IFERROR(INDEX('Game Records'!$M:$M,$H7),""))</f>
        <v/>
      </c>
      <c r="H7" s="3"/>
      <c r="I7" s="61" t="s">
        <v>11</v>
      </c>
      <c r="J7" s="62">
        <f>COUNTIF('Game Records'!$U:$U,"Profit")</f>
        <v>0</v>
      </c>
    </row>
    <row r="8" ht="24.0" customHeight="1">
      <c r="A8" s="18" t="str">
        <f t="shared" si="1"/>
        <v/>
      </c>
      <c r="B8" s="18" t="str">
        <f t="shared" si="2"/>
        <v/>
      </c>
      <c r="C8" s="23" t="str">
        <f t="array" ref="C8">IF($H8="","",IFERROR(INDEX('Game Records'!$A:$A,$H8),""))</f>
        <v/>
      </c>
      <c r="D8" s="23" t="str">
        <f t="array" ref="D8">IF($H8="","",IFERROR(INDEX('Game Records'!$U:$U,$H8),""))</f>
        <v/>
      </c>
      <c r="E8" s="23" t="str">
        <f t="array" ref="E8">IF($H8="","",LET(r,$H8,mode,LOWER(INDEX('Game Records'!$D:$D,r)&amp;""),endDate,INDEX('Game Records'!$C:$C,r),IF(mode="estimate",IF(endDate="","Estimate — End Date missing",IF(NOT(ISNUMBER(endDate)),"Estimate — Check End Date",IF(INT(endDate)&gt;=TODAY(),"In Progress — ends "&amp;TEXT(endDate,"mmm d, yyyy"),"Ready to Finalize"))),IF($F8="","No Highlighted Fields","Highlighted Fields Present"))))</f>
        <v/>
      </c>
      <c r="F8" s="23" t="str">
        <f t="array" ref="F8">IF($H8="","",IF(OR(NOT(_xlfn.ISFORMULA(INDEX('Game Records'!$N:$N,$H8))),NOT(_xlfn.ISFORMULA(INDEX('Game Records'!$O:$O,$H8))),NOT(_xlfn.ISFORMULA(INDEX('Game Records'!$P:$P,$H8))),NOT(_xlfn.ISFORMULA(INDEX('Game Records'!$Q:$Q,$H8))),NOT(_xlfn.ISFORMULA(INDEX('Game Records'!$R:$R,$H8))),NOT(_xlfn.ISFORMULA(INDEX('Game Records'!$S:$S,$H8))),NOT(_xlfn.ISFORMULA(INDEX('Game Records'!$T:$T,$H8))),NOT(_xlfn.ISFORMULA(INDEX('Game Records'!$U:$U,$H8))),NOT(_xlfn.ISFORMULA(INDEX('Game Records'!$V:$V,$H8))),NOT(_xlfn.ISFORMULA(INDEX('Game Records'!$W:$W,$H8))),NOT(_xlfn.ISFORMULA(INDEX('Game Records'!$X:$X,$H8))),NOT(_xlfn.ISFORMULA(INDEX('Game Records'!$Y:$Y,$H8))),NOT(_xlfn.ISFORMULA(INDEX('Game Records'!$Z:$Z,$H8)))),"","")&amp;IF(INDEX('Game Records'!$B:$B,$H8)="","Start Date; ","")&amp;IF(INDEX('Game Records'!$C:$C,$H8)="","End Date; ","")&amp;IF(AND(INDEX('Game Records'!$U:$U,$H8)&lt;&gt;"Subscription",INDEX('Game Records'!$U:$U,$H8)&lt;&gt;"Free Game",INDEX('Game Records'!$U:$U,$H8)&lt;&gt;"Disqualified — Free Game",OR(INDEX('Game Records'!$D:$D,$H8)="",LOWER(INDEX('Game Records'!$D:$D,$H8)&amp;"")="n/a")),"Entry Mode; ","")&amp;IF(AND(INDEX('Game Records'!$U:$U,$H8)&lt;&gt;"Subscription",INDEX('Game Records'!$U:$U,$H8)&lt;&gt;"Free Game",INDEX('Game Records'!$U:$U,$H8)&lt;&gt;"Disqualified — Free Game",OR(INDEX('Game Records'!$E:$E,$H8)="",LOWER(INDEX('Game Records'!$E:$E,$H8)&amp;"")="n/a")),"Game Type; ","")&amp;IF(INDEX('Game Records'!$F:$F,$H8)="","Payment Type; ","")&amp;IF(AND(INDEX('Game Records'!$U:$U,$H8)&lt;&gt;"Subscription",INDEX('Game Records'!$U:$U,$H8)&lt;&gt;"Free Game",INDEX('Game Records'!$U:$U,$H8)&lt;&gt;"Disqualified — Free Game",INDEX('Game Records'!$G:$G,$H8)=""),"Gross Pot; ","")&amp;IF(AND(INDEX('Game Records'!$U:$U,$H8)&lt;&gt;"Free Game",INDEX('Game Records'!$U:$U,$H8)&lt;&gt;"Disqualified — Free Game",INDEX('Game Records'!$H:$H,$H8)=""),"Entry Fee; ","")&amp;IF(AND(INDEX('Game Records'!$U:$U,$H8)&lt;&gt;"Subscription",INDEX('Game Records'!$U:$U,$H8)&lt;&gt;"Free Game",INDEX('Game Records'!$U:$U,$H8)&lt;&gt;"Disqualified — Free Game",INDEX('Game Records'!$I:$I,$H8)=""),"Eligible Players; ","")&amp;IF(AND(INDEX('Game Records'!$U:$U,$H8)&lt;&gt;"Subscription",INDEX('Game Records'!$U:$U,$H8)&lt;&gt;"Free Game",INDEX('Game Records'!$U:$U,$H8)&lt;&gt;"Disqualified — Free Game",INDEX('Game Records'!$J:$J,$H8)=""),"Total Players; ","")&amp;IF(AND(LOWER(INDEX('Game Records'!$D:$D,$H8)&amp;"")="finalized",LOWER(INDEX('Game Records'!$L:$L,$H8)&amp;"")&lt;&gt;"yes",INDEX('Game Records'!$U:$U,$H8)&lt;&gt;"Subscription",INDEX('Game Records'!$U:$U,$H8)&lt;&gt;"Free Game",INDEX('Game Records'!$U:$U,$H8)&lt;&gt;"Disqualified — Free Game",INDEX('Game Records'!$K:$K,$H8)=""),"Final Payout; ","")&amp;IF(AND(LOWER(INDEX('Game Records'!$D:$D,$H8)&amp;"")="finalized",INDEX('Game Records'!$U:$U,$H8)&lt;&gt;"Subscription",INDEX('Game Records'!$U:$U,$H8)&lt;&gt;"Free Game",INDEX('Game Records'!$U:$U,$H8)&lt;&gt;"Disqualified — Free Game",OR(INDEX('Game Records'!$L:$L,$H8)="",LOWER(INDEX('Game Records'!$L:$L,$H8)&amp;"")="n/a")),"Disqualified Status; ",""))</f>
        <v/>
      </c>
      <c r="G8" s="23" t="str">
        <f t="array" ref="G8">IF($H8="","",IFERROR(INDEX('Game Records'!$M:$M,$H8),""))</f>
        <v/>
      </c>
      <c r="H8" s="3"/>
      <c r="I8" s="61" t="s">
        <v>41</v>
      </c>
      <c r="J8" s="62">
        <f>COUNTIF('Game Records'!$U:$U,"Draw")</f>
        <v>0</v>
      </c>
    </row>
    <row r="9" ht="24.0" customHeight="1">
      <c r="A9" s="18" t="str">
        <f t="shared" si="1"/>
        <v/>
      </c>
      <c r="B9" s="18" t="str">
        <f t="shared" si="2"/>
        <v/>
      </c>
      <c r="C9" s="23" t="str">
        <f t="array" ref="C9">IF($H9="","",IFERROR(INDEX('Game Records'!$A:$A,$H9),""))</f>
        <v/>
      </c>
      <c r="D9" s="23" t="str">
        <f t="array" ref="D9">IF($H9="","",IFERROR(INDEX('Game Records'!$U:$U,$H9),""))</f>
        <v/>
      </c>
      <c r="E9" s="23" t="str">
        <f t="array" ref="E9">IF($H9="","",LET(r,$H9,mode,LOWER(INDEX('Game Records'!$D:$D,r)&amp;""),endDate,INDEX('Game Records'!$C:$C,r),IF(mode="estimate",IF(endDate="","Estimate — End Date missing",IF(NOT(ISNUMBER(endDate)),"Estimate — Check End Date",IF(INT(endDate)&gt;=TODAY(),"In Progress — ends "&amp;TEXT(endDate,"mmm d, yyyy"),"Ready to Finalize"))),IF($F9="","No Highlighted Fields","Highlighted Fields Present"))))</f>
        <v/>
      </c>
      <c r="F9" s="23" t="str">
        <f t="array" ref="F9">IF($H9="","",IF(OR(NOT(_xlfn.ISFORMULA(INDEX('Game Records'!$N:$N,$H9))),NOT(_xlfn.ISFORMULA(INDEX('Game Records'!$O:$O,$H9))),NOT(_xlfn.ISFORMULA(INDEX('Game Records'!$P:$P,$H9))),NOT(_xlfn.ISFORMULA(INDEX('Game Records'!$Q:$Q,$H9))),NOT(_xlfn.ISFORMULA(INDEX('Game Records'!$R:$R,$H9))),NOT(_xlfn.ISFORMULA(INDEX('Game Records'!$S:$S,$H9))),NOT(_xlfn.ISFORMULA(INDEX('Game Records'!$T:$T,$H9))),NOT(_xlfn.ISFORMULA(INDEX('Game Records'!$U:$U,$H9))),NOT(_xlfn.ISFORMULA(INDEX('Game Records'!$V:$V,$H9))),NOT(_xlfn.ISFORMULA(INDEX('Game Records'!$W:$W,$H9))),NOT(_xlfn.ISFORMULA(INDEX('Game Records'!$X:$X,$H9))),NOT(_xlfn.ISFORMULA(INDEX('Game Records'!$Y:$Y,$H9))),NOT(_xlfn.ISFORMULA(INDEX('Game Records'!$Z:$Z,$H9)))),"","")&amp;IF(INDEX('Game Records'!$B:$B,$H9)="","Start Date; ","")&amp;IF(INDEX('Game Records'!$C:$C,$H9)="","End Date; ","")&amp;IF(AND(INDEX('Game Records'!$U:$U,$H9)&lt;&gt;"Subscription",INDEX('Game Records'!$U:$U,$H9)&lt;&gt;"Free Game",INDEX('Game Records'!$U:$U,$H9)&lt;&gt;"Disqualified — Free Game",OR(INDEX('Game Records'!$D:$D,$H9)="",LOWER(INDEX('Game Records'!$D:$D,$H9)&amp;"")="n/a")),"Entry Mode; ","")&amp;IF(AND(INDEX('Game Records'!$U:$U,$H9)&lt;&gt;"Subscription",INDEX('Game Records'!$U:$U,$H9)&lt;&gt;"Free Game",INDEX('Game Records'!$U:$U,$H9)&lt;&gt;"Disqualified — Free Game",OR(INDEX('Game Records'!$E:$E,$H9)="",LOWER(INDEX('Game Records'!$E:$E,$H9)&amp;"")="n/a")),"Game Type; ","")&amp;IF(INDEX('Game Records'!$F:$F,$H9)="","Payment Type; ","")&amp;IF(AND(INDEX('Game Records'!$U:$U,$H9)&lt;&gt;"Subscription",INDEX('Game Records'!$U:$U,$H9)&lt;&gt;"Free Game",INDEX('Game Records'!$U:$U,$H9)&lt;&gt;"Disqualified — Free Game",INDEX('Game Records'!$G:$G,$H9)=""),"Gross Pot; ","")&amp;IF(AND(INDEX('Game Records'!$U:$U,$H9)&lt;&gt;"Free Game",INDEX('Game Records'!$U:$U,$H9)&lt;&gt;"Disqualified — Free Game",INDEX('Game Records'!$H:$H,$H9)=""),"Entry Fee; ","")&amp;IF(AND(INDEX('Game Records'!$U:$U,$H9)&lt;&gt;"Subscription",INDEX('Game Records'!$U:$U,$H9)&lt;&gt;"Free Game",INDEX('Game Records'!$U:$U,$H9)&lt;&gt;"Disqualified — Free Game",INDEX('Game Records'!$I:$I,$H9)=""),"Eligible Players; ","")&amp;IF(AND(INDEX('Game Records'!$U:$U,$H9)&lt;&gt;"Subscription",INDEX('Game Records'!$U:$U,$H9)&lt;&gt;"Free Game",INDEX('Game Records'!$U:$U,$H9)&lt;&gt;"Disqualified — Free Game",INDEX('Game Records'!$J:$J,$H9)=""),"Total Players; ","")&amp;IF(AND(LOWER(INDEX('Game Records'!$D:$D,$H9)&amp;"")="finalized",LOWER(INDEX('Game Records'!$L:$L,$H9)&amp;"")&lt;&gt;"yes",INDEX('Game Records'!$U:$U,$H9)&lt;&gt;"Subscription",INDEX('Game Records'!$U:$U,$H9)&lt;&gt;"Free Game",INDEX('Game Records'!$U:$U,$H9)&lt;&gt;"Disqualified — Free Game",INDEX('Game Records'!$K:$K,$H9)=""),"Final Payout; ","")&amp;IF(AND(LOWER(INDEX('Game Records'!$D:$D,$H9)&amp;"")="finalized",INDEX('Game Records'!$U:$U,$H9)&lt;&gt;"Subscription",INDEX('Game Records'!$U:$U,$H9)&lt;&gt;"Free Game",INDEX('Game Records'!$U:$U,$H9)&lt;&gt;"Disqualified — Free Game",OR(INDEX('Game Records'!$L:$L,$H9)="",LOWER(INDEX('Game Records'!$L:$L,$H9)&amp;"")="n/a")),"Disqualified Status; ",""))</f>
        <v/>
      </c>
      <c r="G9" s="23" t="str">
        <f t="array" ref="G9">IF($H9="","",IFERROR(INDEX('Game Records'!$M:$M,$H9),""))</f>
        <v/>
      </c>
      <c r="H9" s="3"/>
      <c r="I9" s="61" t="s">
        <v>52</v>
      </c>
      <c r="J9" s="62">
        <f>COUNTIF('Game Records'!$U:$U,"Disqualified")</f>
        <v>0</v>
      </c>
    </row>
    <row r="10" ht="24.0" customHeight="1">
      <c r="A10" s="18" t="str">
        <f t="shared" si="1"/>
        <v/>
      </c>
      <c r="B10" s="18" t="str">
        <f t="shared" si="2"/>
        <v/>
      </c>
      <c r="C10" s="23" t="str">
        <f t="array" ref="C10">IF($H10="","",IFERROR(INDEX('Game Records'!$A:$A,$H10),""))</f>
        <v/>
      </c>
      <c r="D10" s="23" t="str">
        <f t="array" ref="D10">IF($H10="","",IFERROR(INDEX('Game Records'!$U:$U,$H10),""))</f>
        <v/>
      </c>
      <c r="E10" s="23" t="str">
        <f t="array" ref="E10">IF($H10="","",LET(r,$H10,mode,LOWER(INDEX('Game Records'!$D:$D,r)&amp;""),endDate,INDEX('Game Records'!$C:$C,r),IF(mode="estimate",IF(endDate="","Estimate — End Date missing",IF(NOT(ISNUMBER(endDate)),"Estimate — Check End Date",IF(INT(endDate)&gt;=TODAY(),"In Progress — ends "&amp;TEXT(endDate,"mmm d, yyyy"),"Ready to Finalize"))),IF($F10="","No Highlighted Fields","Highlighted Fields Present"))))</f>
        <v/>
      </c>
      <c r="F10" s="23" t="str">
        <f t="array" ref="F10">IF($H10="","",IF(OR(NOT(_xlfn.ISFORMULA(INDEX('Game Records'!$N:$N,$H10))),NOT(_xlfn.ISFORMULA(INDEX('Game Records'!$O:$O,$H10))),NOT(_xlfn.ISFORMULA(INDEX('Game Records'!$P:$P,$H10))),NOT(_xlfn.ISFORMULA(INDEX('Game Records'!$Q:$Q,$H10))),NOT(_xlfn.ISFORMULA(INDEX('Game Records'!$R:$R,$H10))),NOT(_xlfn.ISFORMULA(INDEX('Game Records'!$S:$S,$H10))),NOT(_xlfn.ISFORMULA(INDEX('Game Records'!$T:$T,$H10))),NOT(_xlfn.ISFORMULA(INDEX('Game Records'!$U:$U,$H10))),NOT(_xlfn.ISFORMULA(INDEX('Game Records'!$V:$V,$H10))),NOT(_xlfn.ISFORMULA(INDEX('Game Records'!$W:$W,$H10))),NOT(_xlfn.ISFORMULA(INDEX('Game Records'!$X:$X,$H10))),NOT(_xlfn.ISFORMULA(INDEX('Game Records'!$Y:$Y,$H10))),NOT(_xlfn.ISFORMULA(INDEX('Game Records'!$Z:$Z,$H10)))),"","")&amp;IF(INDEX('Game Records'!$B:$B,$H10)="","Start Date; ","")&amp;IF(INDEX('Game Records'!$C:$C,$H10)="","End Date; ","")&amp;IF(AND(INDEX('Game Records'!$U:$U,$H10)&lt;&gt;"Subscription",INDEX('Game Records'!$U:$U,$H10)&lt;&gt;"Free Game",INDEX('Game Records'!$U:$U,$H10)&lt;&gt;"Disqualified — Free Game",OR(INDEX('Game Records'!$D:$D,$H10)="",LOWER(INDEX('Game Records'!$D:$D,$H10)&amp;"")="n/a")),"Entry Mode; ","")&amp;IF(AND(INDEX('Game Records'!$U:$U,$H10)&lt;&gt;"Subscription",INDEX('Game Records'!$U:$U,$H10)&lt;&gt;"Free Game",INDEX('Game Records'!$U:$U,$H10)&lt;&gt;"Disqualified — Free Game",OR(INDEX('Game Records'!$E:$E,$H10)="",LOWER(INDEX('Game Records'!$E:$E,$H10)&amp;"")="n/a")),"Game Type; ","")&amp;IF(INDEX('Game Records'!$F:$F,$H10)="","Payment Type; ","")&amp;IF(AND(INDEX('Game Records'!$U:$U,$H10)&lt;&gt;"Subscription",INDEX('Game Records'!$U:$U,$H10)&lt;&gt;"Free Game",INDEX('Game Records'!$U:$U,$H10)&lt;&gt;"Disqualified — Free Game",INDEX('Game Records'!$G:$G,$H10)=""),"Gross Pot; ","")&amp;IF(AND(INDEX('Game Records'!$U:$U,$H10)&lt;&gt;"Free Game",INDEX('Game Records'!$U:$U,$H10)&lt;&gt;"Disqualified — Free Game",INDEX('Game Records'!$H:$H,$H10)=""),"Entry Fee; ","")&amp;IF(AND(INDEX('Game Records'!$U:$U,$H10)&lt;&gt;"Subscription",INDEX('Game Records'!$U:$U,$H10)&lt;&gt;"Free Game",INDEX('Game Records'!$U:$U,$H10)&lt;&gt;"Disqualified — Free Game",INDEX('Game Records'!$I:$I,$H10)=""),"Eligible Players; ","")&amp;IF(AND(INDEX('Game Records'!$U:$U,$H10)&lt;&gt;"Subscription",INDEX('Game Records'!$U:$U,$H10)&lt;&gt;"Free Game",INDEX('Game Records'!$U:$U,$H10)&lt;&gt;"Disqualified — Free Game",INDEX('Game Records'!$J:$J,$H10)=""),"Total Players; ","")&amp;IF(AND(LOWER(INDEX('Game Records'!$D:$D,$H10)&amp;"")="finalized",LOWER(INDEX('Game Records'!$L:$L,$H10)&amp;"")&lt;&gt;"yes",INDEX('Game Records'!$U:$U,$H10)&lt;&gt;"Subscription",INDEX('Game Records'!$U:$U,$H10)&lt;&gt;"Free Game",INDEX('Game Records'!$U:$U,$H10)&lt;&gt;"Disqualified — Free Game",INDEX('Game Records'!$K:$K,$H10)=""),"Final Payout; ","")&amp;IF(AND(LOWER(INDEX('Game Records'!$D:$D,$H10)&amp;"")="finalized",INDEX('Game Records'!$U:$U,$H10)&lt;&gt;"Subscription",INDEX('Game Records'!$U:$U,$H10)&lt;&gt;"Free Game",INDEX('Game Records'!$U:$U,$H10)&lt;&gt;"Disqualified — Free Game",OR(INDEX('Game Records'!$L:$L,$H10)="",LOWER(INDEX('Game Records'!$L:$L,$H10)&amp;"")="n/a")),"Disqualified Status; ",""))</f>
        <v/>
      </c>
      <c r="G10" s="23" t="str">
        <f t="array" ref="G10">IF($H10="","",IFERROR(INDEX('Game Records'!$M:$M,$H10),""))</f>
        <v/>
      </c>
      <c r="H10" s="3"/>
      <c r="I10" s="61" t="s">
        <v>230</v>
      </c>
      <c r="J10" s="62">
        <f>COUNTIF('Game Records'!$U:$U,"Free Game")+COUNTIF('Game Records'!$U:$U,"Disqualified — Free Game")</f>
        <v>0</v>
      </c>
    </row>
    <row r="11" ht="24.0" customHeight="1">
      <c r="A11" s="18" t="str">
        <f t="shared" si="1"/>
        <v/>
      </c>
      <c r="B11" s="18" t="str">
        <f t="shared" si="2"/>
        <v/>
      </c>
      <c r="C11" s="23" t="str">
        <f t="array" ref="C11">IF($H11="","",IFERROR(INDEX('Game Records'!$A:$A,$H11),""))</f>
        <v/>
      </c>
      <c r="D11" s="23" t="str">
        <f t="array" ref="D11">IF($H11="","",IFERROR(INDEX('Game Records'!$U:$U,$H11),""))</f>
        <v/>
      </c>
      <c r="E11" s="23" t="str">
        <f t="array" ref="E11">IF($H11="","",LET(r,$H11,mode,LOWER(INDEX('Game Records'!$D:$D,r)&amp;""),endDate,INDEX('Game Records'!$C:$C,r),IF(mode="estimate",IF(endDate="","Estimate — End Date missing",IF(NOT(ISNUMBER(endDate)),"Estimate — Check End Date",IF(INT(endDate)&gt;=TODAY(),"In Progress — ends "&amp;TEXT(endDate,"mmm d, yyyy"),"Ready to Finalize"))),IF($F11="","No Highlighted Fields","Highlighted Fields Present"))))</f>
        <v/>
      </c>
      <c r="F11" s="23" t="str">
        <f t="array" ref="F11">IF($H11="","",IF(OR(NOT(_xlfn.ISFORMULA(INDEX('Game Records'!$N:$N,$H11))),NOT(_xlfn.ISFORMULA(INDEX('Game Records'!$O:$O,$H11))),NOT(_xlfn.ISFORMULA(INDEX('Game Records'!$P:$P,$H11))),NOT(_xlfn.ISFORMULA(INDEX('Game Records'!$Q:$Q,$H11))),NOT(_xlfn.ISFORMULA(INDEX('Game Records'!$R:$R,$H11))),NOT(_xlfn.ISFORMULA(INDEX('Game Records'!$S:$S,$H11))),NOT(_xlfn.ISFORMULA(INDEX('Game Records'!$T:$T,$H11))),NOT(_xlfn.ISFORMULA(INDEX('Game Records'!$U:$U,$H11))),NOT(_xlfn.ISFORMULA(INDEX('Game Records'!$V:$V,$H11))),NOT(_xlfn.ISFORMULA(INDEX('Game Records'!$W:$W,$H11))),NOT(_xlfn.ISFORMULA(INDEX('Game Records'!$X:$X,$H11))),NOT(_xlfn.ISFORMULA(INDEX('Game Records'!$Y:$Y,$H11))),NOT(_xlfn.ISFORMULA(INDEX('Game Records'!$Z:$Z,$H11)))),"","")&amp;IF(INDEX('Game Records'!$B:$B,$H11)="","Start Date; ","")&amp;IF(INDEX('Game Records'!$C:$C,$H11)="","End Date; ","")&amp;IF(AND(INDEX('Game Records'!$U:$U,$H11)&lt;&gt;"Subscription",INDEX('Game Records'!$U:$U,$H11)&lt;&gt;"Free Game",INDEX('Game Records'!$U:$U,$H11)&lt;&gt;"Disqualified — Free Game",OR(INDEX('Game Records'!$D:$D,$H11)="",LOWER(INDEX('Game Records'!$D:$D,$H11)&amp;"")="n/a")),"Entry Mode; ","")&amp;IF(AND(INDEX('Game Records'!$U:$U,$H11)&lt;&gt;"Subscription",INDEX('Game Records'!$U:$U,$H11)&lt;&gt;"Free Game",INDEX('Game Records'!$U:$U,$H11)&lt;&gt;"Disqualified — Free Game",OR(INDEX('Game Records'!$E:$E,$H11)="",LOWER(INDEX('Game Records'!$E:$E,$H11)&amp;"")="n/a")),"Game Type; ","")&amp;IF(INDEX('Game Records'!$F:$F,$H11)="","Payment Type; ","")&amp;IF(AND(INDEX('Game Records'!$U:$U,$H11)&lt;&gt;"Subscription",INDEX('Game Records'!$U:$U,$H11)&lt;&gt;"Free Game",INDEX('Game Records'!$U:$U,$H11)&lt;&gt;"Disqualified — Free Game",INDEX('Game Records'!$G:$G,$H11)=""),"Gross Pot; ","")&amp;IF(AND(INDEX('Game Records'!$U:$U,$H11)&lt;&gt;"Free Game",INDEX('Game Records'!$U:$U,$H11)&lt;&gt;"Disqualified — Free Game",INDEX('Game Records'!$H:$H,$H11)=""),"Entry Fee; ","")&amp;IF(AND(INDEX('Game Records'!$U:$U,$H11)&lt;&gt;"Subscription",INDEX('Game Records'!$U:$U,$H11)&lt;&gt;"Free Game",INDEX('Game Records'!$U:$U,$H11)&lt;&gt;"Disqualified — Free Game",INDEX('Game Records'!$I:$I,$H11)=""),"Eligible Players; ","")&amp;IF(AND(INDEX('Game Records'!$U:$U,$H11)&lt;&gt;"Subscription",INDEX('Game Records'!$U:$U,$H11)&lt;&gt;"Free Game",INDEX('Game Records'!$U:$U,$H11)&lt;&gt;"Disqualified — Free Game",INDEX('Game Records'!$J:$J,$H11)=""),"Total Players; ","")&amp;IF(AND(LOWER(INDEX('Game Records'!$D:$D,$H11)&amp;"")="finalized",LOWER(INDEX('Game Records'!$L:$L,$H11)&amp;"")&lt;&gt;"yes",INDEX('Game Records'!$U:$U,$H11)&lt;&gt;"Subscription",INDEX('Game Records'!$U:$U,$H11)&lt;&gt;"Free Game",INDEX('Game Records'!$U:$U,$H11)&lt;&gt;"Disqualified — Free Game",INDEX('Game Records'!$K:$K,$H11)=""),"Final Payout; ","")&amp;IF(AND(LOWER(INDEX('Game Records'!$D:$D,$H11)&amp;"")="finalized",INDEX('Game Records'!$U:$U,$H11)&lt;&gt;"Subscription",INDEX('Game Records'!$U:$U,$H11)&lt;&gt;"Free Game",INDEX('Game Records'!$U:$U,$H11)&lt;&gt;"Disqualified — Free Game",OR(INDEX('Game Records'!$L:$L,$H11)="",LOWER(INDEX('Game Records'!$L:$L,$H11)&amp;"")="n/a")),"Disqualified Status; ",""))</f>
        <v/>
      </c>
      <c r="G11" s="23" t="str">
        <f t="array" ref="G11">IF($H11="","",IFERROR(INDEX('Game Records'!$M:$M,$H11),""))</f>
        <v/>
      </c>
      <c r="H11" s="3"/>
      <c r="I11" s="61" t="s">
        <v>231</v>
      </c>
      <c r="J11" s="62">
        <f>COUNTIF('Game Records'!$F:$F,"Points")</f>
        <v>0</v>
      </c>
    </row>
    <row r="12" ht="24.0" customHeight="1">
      <c r="A12" s="18" t="str">
        <f t="shared" si="1"/>
        <v/>
      </c>
      <c r="B12" s="18" t="str">
        <f t="shared" si="2"/>
        <v/>
      </c>
      <c r="C12" s="23" t="str">
        <f t="array" ref="C12">IF($H12="","",IFERROR(INDEX('Game Records'!$A:$A,$H12),""))</f>
        <v/>
      </c>
      <c r="D12" s="23" t="str">
        <f t="array" ref="D12">IF($H12="","",IFERROR(INDEX('Game Records'!$U:$U,$H12),""))</f>
        <v/>
      </c>
      <c r="E12" s="23" t="str">
        <f t="array" ref="E12">IF($H12="","",LET(r,$H12,mode,LOWER(INDEX('Game Records'!$D:$D,r)&amp;""),endDate,INDEX('Game Records'!$C:$C,r),IF(mode="estimate",IF(endDate="","Estimate — End Date missing",IF(NOT(ISNUMBER(endDate)),"Estimate — Check End Date",IF(INT(endDate)&gt;=TODAY(),"In Progress — ends "&amp;TEXT(endDate,"mmm d, yyyy"),"Ready to Finalize"))),IF($F12="","No Highlighted Fields","Highlighted Fields Present"))))</f>
        <v/>
      </c>
      <c r="F12" s="23" t="str">
        <f t="array" ref="F12">IF($H12="","",IF(OR(NOT(_xlfn.ISFORMULA(INDEX('Game Records'!$N:$N,$H12))),NOT(_xlfn.ISFORMULA(INDEX('Game Records'!$O:$O,$H12))),NOT(_xlfn.ISFORMULA(INDEX('Game Records'!$P:$P,$H12))),NOT(_xlfn.ISFORMULA(INDEX('Game Records'!$Q:$Q,$H12))),NOT(_xlfn.ISFORMULA(INDEX('Game Records'!$R:$R,$H12))),NOT(_xlfn.ISFORMULA(INDEX('Game Records'!$S:$S,$H12))),NOT(_xlfn.ISFORMULA(INDEX('Game Records'!$T:$T,$H12))),NOT(_xlfn.ISFORMULA(INDEX('Game Records'!$U:$U,$H12))),NOT(_xlfn.ISFORMULA(INDEX('Game Records'!$V:$V,$H12))),NOT(_xlfn.ISFORMULA(INDEX('Game Records'!$W:$W,$H12))),NOT(_xlfn.ISFORMULA(INDEX('Game Records'!$X:$X,$H12))),NOT(_xlfn.ISFORMULA(INDEX('Game Records'!$Y:$Y,$H12))),NOT(_xlfn.ISFORMULA(INDEX('Game Records'!$Z:$Z,$H12)))),"","")&amp;IF(INDEX('Game Records'!$B:$B,$H12)="","Start Date; ","")&amp;IF(INDEX('Game Records'!$C:$C,$H12)="","End Date; ","")&amp;IF(AND(INDEX('Game Records'!$U:$U,$H12)&lt;&gt;"Subscription",INDEX('Game Records'!$U:$U,$H12)&lt;&gt;"Free Game",INDEX('Game Records'!$U:$U,$H12)&lt;&gt;"Disqualified — Free Game",OR(INDEX('Game Records'!$D:$D,$H12)="",LOWER(INDEX('Game Records'!$D:$D,$H12)&amp;"")="n/a")),"Entry Mode; ","")&amp;IF(AND(INDEX('Game Records'!$U:$U,$H12)&lt;&gt;"Subscription",INDEX('Game Records'!$U:$U,$H12)&lt;&gt;"Free Game",INDEX('Game Records'!$U:$U,$H12)&lt;&gt;"Disqualified — Free Game",OR(INDEX('Game Records'!$E:$E,$H12)="",LOWER(INDEX('Game Records'!$E:$E,$H12)&amp;"")="n/a")),"Game Type; ","")&amp;IF(INDEX('Game Records'!$F:$F,$H12)="","Payment Type; ","")&amp;IF(AND(INDEX('Game Records'!$U:$U,$H12)&lt;&gt;"Subscription",INDEX('Game Records'!$U:$U,$H12)&lt;&gt;"Free Game",INDEX('Game Records'!$U:$U,$H12)&lt;&gt;"Disqualified — Free Game",INDEX('Game Records'!$G:$G,$H12)=""),"Gross Pot; ","")&amp;IF(AND(INDEX('Game Records'!$U:$U,$H12)&lt;&gt;"Free Game",INDEX('Game Records'!$U:$U,$H12)&lt;&gt;"Disqualified — Free Game",INDEX('Game Records'!$H:$H,$H12)=""),"Entry Fee; ","")&amp;IF(AND(INDEX('Game Records'!$U:$U,$H12)&lt;&gt;"Subscription",INDEX('Game Records'!$U:$U,$H12)&lt;&gt;"Free Game",INDEX('Game Records'!$U:$U,$H12)&lt;&gt;"Disqualified — Free Game",INDEX('Game Records'!$I:$I,$H12)=""),"Eligible Players; ","")&amp;IF(AND(INDEX('Game Records'!$U:$U,$H12)&lt;&gt;"Subscription",INDEX('Game Records'!$U:$U,$H12)&lt;&gt;"Free Game",INDEX('Game Records'!$U:$U,$H12)&lt;&gt;"Disqualified — Free Game",INDEX('Game Records'!$J:$J,$H12)=""),"Total Players; ","")&amp;IF(AND(LOWER(INDEX('Game Records'!$D:$D,$H12)&amp;"")="finalized",LOWER(INDEX('Game Records'!$L:$L,$H12)&amp;"")&lt;&gt;"yes",INDEX('Game Records'!$U:$U,$H12)&lt;&gt;"Subscription",INDEX('Game Records'!$U:$U,$H12)&lt;&gt;"Free Game",INDEX('Game Records'!$U:$U,$H12)&lt;&gt;"Disqualified — Free Game",INDEX('Game Records'!$K:$K,$H12)=""),"Final Payout; ","")&amp;IF(AND(LOWER(INDEX('Game Records'!$D:$D,$H12)&amp;"")="finalized",INDEX('Game Records'!$U:$U,$H12)&lt;&gt;"Subscription",INDEX('Game Records'!$U:$U,$H12)&lt;&gt;"Free Game",INDEX('Game Records'!$U:$U,$H12)&lt;&gt;"Disqualified — Free Game",OR(INDEX('Game Records'!$L:$L,$H12)="",LOWER(INDEX('Game Records'!$L:$L,$H12)&amp;"")="n/a")),"Disqualified Status; ",""))</f>
        <v/>
      </c>
      <c r="G12" s="23" t="str">
        <f t="array" ref="G12">IF($H12="","",IFERROR(INDEX('Game Records'!$M:$M,$H12),""))</f>
        <v/>
      </c>
      <c r="H12" s="3"/>
      <c r="I12" s="61" t="s">
        <v>232</v>
      </c>
      <c r="J12" s="62">
        <f>COUNTIF('Game Records'!$F:$F,"Cash")+COUNTIF('Game Records'!$F:$F,"Hybrid")</f>
        <v>1</v>
      </c>
    </row>
    <row r="13" ht="24.0" customHeight="1">
      <c r="A13" s="18" t="str">
        <f t="shared" si="1"/>
        <v/>
      </c>
      <c r="B13" s="18" t="str">
        <f t="shared" si="2"/>
        <v/>
      </c>
      <c r="C13" s="23" t="str">
        <f t="array" ref="C13">IF($H13="","",IFERROR(INDEX('Game Records'!$A:$A,$H13),""))</f>
        <v/>
      </c>
      <c r="D13" s="23" t="str">
        <f t="array" ref="D13">IF($H13="","",IFERROR(INDEX('Game Records'!$U:$U,$H13),""))</f>
        <v/>
      </c>
      <c r="E13" s="23" t="str">
        <f t="array" ref="E13">IF($H13="","",LET(r,$H13,mode,LOWER(INDEX('Game Records'!$D:$D,r)&amp;""),endDate,INDEX('Game Records'!$C:$C,r),IF(mode="estimate",IF(endDate="","Estimate — End Date missing",IF(NOT(ISNUMBER(endDate)),"Estimate — Check End Date",IF(INT(endDate)&gt;=TODAY(),"In Progress — ends "&amp;TEXT(endDate,"mmm d, yyyy"),"Ready to Finalize"))),IF($F13="","No Highlighted Fields","Highlighted Fields Present"))))</f>
        <v/>
      </c>
      <c r="F13" s="23" t="str">
        <f t="array" ref="F13">IF($H13="","",IF(OR(NOT(_xlfn.ISFORMULA(INDEX('Game Records'!$N:$N,$H13))),NOT(_xlfn.ISFORMULA(INDEX('Game Records'!$O:$O,$H13))),NOT(_xlfn.ISFORMULA(INDEX('Game Records'!$P:$P,$H13))),NOT(_xlfn.ISFORMULA(INDEX('Game Records'!$Q:$Q,$H13))),NOT(_xlfn.ISFORMULA(INDEX('Game Records'!$R:$R,$H13))),NOT(_xlfn.ISFORMULA(INDEX('Game Records'!$S:$S,$H13))),NOT(_xlfn.ISFORMULA(INDEX('Game Records'!$T:$T,$H13))),NOT(_xlfn.ISFORMULA(INDEX('Game Records'!$U:$U,$H13))),NOT(_xlfn.ISFORMULA(INDEX('Game Records'!$V:$V,$H13))),NOT(_xlfn.ISFORMULA(INDEX('Game Records'!$W:$W,$H13))),NOT(_xlfn.ISFORMULA(INDEX('Game Records'!$X:$X,$H13))),NOT(_xlfn.ISFORMULA(INDEX('Game Records'!$Y:$Y,$H13))),NOT(_xlfn.ISFORMULA(INDEX('Game Records'!$Z:$Z,$H13)))),"","")&amp;IF(INDEX('Game Records'!$B:$B,$H13)="","Start Date; ","")&amp;IF(INDEX('Game Records'!$C:$C,$H13)="","End Date; ","")&amp;IF(AND(INDEX('Game Records'!$U:$U,$H13)&lt;&gt;"Subscription",INDEX('Game Records'!$U:$U,$H13)&lt;&gt;"Free Game",INDEX('Game Records'!$U:$U,$H13)&lt;&gt;"Disqualified — Free Game",OR(INDEX('Game Records'!$D:$D,$H13)="",LOWER(INDEX('Game Records'!$D:$D,$H13)&amp;"")="n/a")),"Entry Mode; ","")&amp;IF(AND(INDEX('Game Records'!$U:$U,$H13)&lt;&gt;"Subscription",INDEX('Game Records'!$U:$U,$H13)&lt;&gt;"Free Game",INDEX('Game Records'!$U:$U,$H13)&lt;&gt;"Disqualified — Free Game",OR(INDEX('Game Records'!$E:$E,$H13)="",LOWER(INDEX('Game Records'!$E:$E,$H13)&amp;"")="n/a")),"Game Type; ","")&amp;IF(INDEX('Game Records'!$F:$F,$H13)="","Payment Type; ","")&amp;IF(AND(INDEX('Game Records'!$U:$U,$H13)&lt;&gt;"Subscription",INDEX('Game Records'!$U:$U,$H13)&lt;&gt;"Free Game",INDEX('Game Records'!$U:$U,$H13)&lt;&gt;"Disqualified — Free Game",INDEX('Game Records'!$G:$G,$H13)=""),"Gross Pot; ","")&amp;IF(AND(INDEX('Game Records'!$U:$U,$H13)&lt;&gt;"Free Game",INDEX('Game Records'!$U:$U,$H13)&lt;&gt;"Disqualified — Free Game",INDEX('Game Records'!$H:$H,$H13)=""),"Entry Fee; ","")&amp;IF(AND(INDEX('Game Records'!$U:$U,$H13)&lt;&gt;"Subscription",INDEX('Game Records'!$U:$U,$H13)&lt;&gt;"Free Game",INDEX('Game Records'!$U:$U,$H13)&lt;&gt;"Disqualified — Free Game",INDEX('Game Records'!$I:$I,$H13)=""),"Eligible Players; ","")&amp;IF(AND(INDEX('Game Records'!$U:$U,$H13)&lt;&gt;"Subscription",INDEX('Game Records'!$U:$U,$H13)&lt;&gt;"Free Game",INDEX('Game Records'!$U:$U,$H13)&lt;&gt;"Disqualified — Free Game",INDEX('Game Records'!$J:$J,$H13)=""),"Total Players; ","")&amp;IF(AND(LOWER(INDEX('Game Records'!$D:$D,$H13)&amp;"")="finalized",LOWER(INDEX('Game Records'!$L:$L,$H13)&amp;"")&lt;&gt;"yes",INDEX('Game Records'!$U:$U,$H13)&lt;&gt;"Subscription",INDEX('Game Records'!$U:$U,$H13)&lt;&gt;"Free Game",INDEX('Game Records'!$U:$U,$H13)&lt;&gt;"Disqualified — Free Game",INDEX('Game Records'!$K:$K,$H13)=""),"Final Payout; ","")&amp;IF(AND(LOWER(INDEX('Game Records'!$D:$D,$H13)&amp;"")="finalized",INDEX('Game Records'!$U:$U,$H13)&lt;&gt;"Subscription",INDEX('Game Records'!$U:$U,$H13)&lt;&gt;"Free Game",INDEX('Game Records'!$U:$U,$H13)&lt;&gt;"Disqualified — Free Game",OR(INDEX('Game Records'!$L:$L,$H13)="",LOWER(INDEX('Game Records'!$L:$L,$H13)&amp;"")="n/a")),"Disqualified Status; ",""))</f>
        <v/>
      </c>
      <c r="G13" s="23" t="str">
        <f t="array" ref="G13">IF($H13="","",IFERROR(INDEX('Game Records'!$M:$M,$H13),""))</f>
        <v/>
      </c>
      <c r="H13" s="3"/>
      <c r="I13" s="3" t="s">
        <v>233</v>
      </c>
      <c r="J13" s="3">
        <f>COUNTIF($E$5:$E$504,"In Progress*")</f>
        <v>0</v>
      </c>
    </row>
    <row r="14" ht="24.0" customHeight="1">
      <c r="A14" s="18" t="str">
        <f t="shared" si="1"/>
        <v/>
      </c>
      <c r="B14" s="18" t="str">
        <f t="shared" si="2"/>
        <v/>
      </c>
      <c r="C14" s="23" t="str">
        <f t="array" ref="C14">IF($H14="","",IFERROR(INDEX('Game Records'!$A:$A,$H14),""))</f>
        <v/>
      </c>
      <c r="D14" s="23" t="str">
        <f t="array" ref="D14">IF($H14="","",IFERROR(INDEX('Game Records'!$U:$U,$H14),""))</f>
        <v/>
      </c>
      <c r="E14" s="23" t="str">
        <f t="array" ref="E14">IF($H14="","",LET(r,$H14,mode,LOWER(INDEX('Game Records'!$D:$D,r)&amp;""),endDate,INDEX('Game Records'!$C:$C,r),IF(mode="estimate",IF(endDate="","Estimate — End Date missing",IF(NOT(ISNUMBER(endDate)),"Estimate — Check End Date",IF(INT(endDate)&gt;=TODAY(),"In Progress — ends "&amp;TEXT(endDate,"mmm d, yyyy"),"Ready to Finalize"))),IF($F14="","No Highlighted Fields","Highlighted Fields Present"))))</f>
        <v/>
      </c>
      <c r="F14" s="23" t="str">
        <f t="array" ref="F14">IF($H14="","",IF(OR(NOT(_xlfn.ISFORMULA(INDEX('Game Records'!$N:$N,$H14))),NOT(_xlfn.ISFORMULA(INDEX('Game Records'!$O:$O,$H14))),NOT(_xlfn.ISFORMULA(INDEX('Game Records'!$P:$P,$H14))),NOT(_xlfn.ISFORMULA(INDEX('Game Records'!$Q:$Q,$H14))),NOT(_xlfn.ISFORMULA(INDEX('Game Records'!$R:$R,$H14))),NOT(_xlfn.ISFORMULA(INDEX('Game Records'!$S:$S,$H14))),NOT(_xlfn.ISFORMULA(INDEX('Game Records'!$T:$T,$H14))),NOT(_xlfn.ISFORMULA(INDEX('Game Records'!$U:$U,$H14))),NOT(_xlfn.ISFORMULA(INDEX('Game Records'!$V:$V,$H14))),NOT(_xlfn.ISFORMULA(INDEX('Game Records'!$W:$W,$H14))),NOT(_xlfn.ISFORMULA(INDEX('Game Records'!$X:$X,$H14))),NOT(_xlfn.ISFORMULA(INDEX('Game Records'!$Y:$Y,$H14))),NOT(_xlfn.ISFORMULA(INDEX('Game Records'!$Z:$Z,$H14)))),"","")&amp;IF(INDEX('Game Records'!$B:$B,$H14)="","Start Date; ","")&amp;IF(INDEX('Game Records'!$C:$C,$H14)="","End Date; ","")&amp;IF(AND(INDEX('Game Records'!$U:$U,$H14)&lt;&gt;"Subscription",INDEX('Game Records'!$U:$U,$H14)&lt;&gt;"Free Game",INDEX('Game Records'!$U:$U,$H14)&lt;&gt;"Disqualified — Free Game",OR(INDEX('Game Records'!$D:$D,$H14)="",LOWER(INDEX('Game Records'!$D:$D,$H14)&amp;"")="n/a")),"Entry Mode; ","")&amp;IF(AND(INDEX('Game Records'!$U:$U,$H14)&lt;&gt;"Subscription",INDEX('Game Records'!$U:$U,$H14)&lt;&gt;"Free Game",INDEX('Game Records'!$U:$U,$H14)&lt;&gt;"Disqualified — Free Game",OR(INDEX('Game Records'!$E:$E,$H14)="",LOWER(INDEX('Game Records'!$E:$E,$H14)&amp;"")="n/a")),"Game Type; ","")&amp;IF(INDEX('Game Records'!$F:$F,$H14)="","Payment Type; ","")&amp;IF(AND(INDEX('Game Records'!$U:$U,$H14)&lt;&gt;"Subscription",INDEX('Game Records'!$U:$U,$H14)&lt;&gt;"Free Game",INDEX('Game Records'!$U:$U,$H14)&lt;&gt;"Disqualified — Free Game",INDEX('Game Records'!$G:$G,$H14)=""),"Gross Pot; ","")&amp;IF(AND(INDEX('Game Records'!$U:$U,$H14)&lt;&gt;"Free Game",INDEX('Game Records'!$U:$U,$H14)&lt;&gt;"Disqualified — Free Game",INDEX('Game Records'!$H:$H,$H14)=""),"Entry Fee; ","")&amp;IF(AND(INDEX('Game Records'!$U:$U,$H14)&lt;&gt;"Subscription",INDEX('Game Records'!$U:$U,$H14)&lt;&gt;"Free Game",INDEX('Game Records'!$U:$U,$H14)&lt;&gt;"Disqualified — Free Game",INDEX('Game Records'!$I:$I,$H14)=""),"Eligible Players; ","")&amp;IF(AND(INDEX('Game Records'!$U:$U,$H14)&lt;&gt;"Subscription",INDEX('Game Records'!$U:$U,$H14)&lt;&gt;"Free Game",INDEX('Game Records'!$U:$U,$H14)&lt;&gt;"Disqualified — Free Game",INDEX('Game Records'!$J:$J,$H14)=""),"Total Players; ","")&amp;IF(AND(LOWER(INDEX('Game Records'!$D:$D,$H14)&amp;"")="finalized",LOWER(INDEX('Game Records'!$L:$L,$H14)&amp;"")&lt;&gt;"yes",INDEX('Game Records'!$U:$U,$H14)&lt;&gt;"Subscription",INDEX('Game Records'!$U:$U,$H14)&lt;&gt;"Free Game",INDEX('Game Records'!$U:$U,$H14)&lt;&gt;"Disqualified — Free Game",INDEX('Game Records'!$K:$K,$H14)=""),"Final Payout; ","")&amp;IF(AND(LOWER(INDEX('Game Records'!$D:$D,$H14)&amp;"")="finalized",INDEX('Game Records'!$U:$U,$H14)&lt;&gt;"Subscription",INDEX('Game Records'!$U:$U,$H14)&lt;&gt;"Free Game",INDEX('Game Records'!$U:$U,$H14)&lt;&gt;"Disqualified — Free Game",OR(INDEX('Game Records'!$L:$L,$H14)="",LOWER(INDEX('Game Records'!$L:$L,$H14)&amp;"")="n/a")),"Disqualified Status; ",""))</f>
        <v/>
      </c>
      <c r="G14" s="23" t="str">
        <f t="array" ref="G14">IF($H14="","",IFERROR(INDEX('Game Records'!$M:$M,$H14),""))</f>
        <v/>
      </c>
      <c r="H14" s="3"/>
      <c r="I14" s="3" t="s">
        <v>234</v>
      </c>
      <c r="J14" s="3">
        <f>COUNTIF($E$5:$E$504,"Ready to Finalize")</f>
        <v>1</v>
      </c>
    </row>
    <row r="15" ht="24.0" customHeight="1">
      <c r="A15" s="18" t="str">
        <f t="shared" si="1"/>
        <v/>
      </c>
      <c r="B15" s="18" t="str">
        <f t="shared" si="2"/>
        <v/>
      </c>
      <c r="C15" s="23" t="str">
        <f t="array" ref="C15">IF($H15="","",IFERROR(INDEX('Game Records'!$A:$A,$H15),""))</f>
        <v/>
      </c>
      <c r="D15" s="23" t="str">
        <f t="array" ref="D15">IF($H15="","",IFERROR(INDEX('Game Records'!$U:$U,$H15),""))</f>
        <v/>
      </c>
      <c r="E15" s="23" t="str">
        <f t="array" ref="E15">IF($H15="","",LET(r,$H15,mode,LOWER(INDEX('Game Records'!$D:$D,r)&amp;""),endDate,INDEX('Game Records'!$C:$C,r),IF(mode="estimate",IF(endDate="","Estimate — End Date missing",IF(NOT(ISNUMBER(endDate)),"Estimate — Check End Date",IF(INT(endDate)&gt;=TODAY(),"In Progress — ends "&amp;TEXT(endDate,"mmm d, yyyy"),"Ready to Finalize"))),IF($F15="","No Highlighted Fields","Highlighted Fields Present"))))</f>
        <v/>
      </c>
      <c r="F15" s="23" t="str">
        <f t="array" ref="F15">IF($H15="","",IF(OR(NOT(_xlfn.ISFORMULA(INDEX('Game Records'!$N:$N,$H15))),NOT(_xlfn.ISFORMULA(INDEX('Game Records'!$O:$O,$H15))),NOT(_xlfn.ISFORMULA(INDEX('Game Records'!$P:$P,$H15))),NOT(_xlfn.ISFORMULA(INDEX('Game Records'!$Q:$Q,$H15))),NOT(_xlfn.ISFORMULA(INDEX('Game Records'!$R:$R,$H15))),NOT(_xlfn.ISFORMULA(INDEX('Game Records'!$S:$S,$H15))),NOT(_xlfn.ISFORMULA(INDEX('Game Records'!$T:$T,$H15))),NOT(_xlfn.ISFORMULA(INDEX('Game Records'!$U:$U,$H15))),NOT(_xlfn.ISFORMULA(INDEX('Game Records'!$V:$V,$H15))),NOT(_xlfn.ISFORMULA(INDEX('Game Records'!$W:$W,$H15))),NOT(_xlfn.ISFORMULA(INDEX('Game Records'!$X:$X,$H15))),NOT(_xlfn.ISFORMULA(INDEX('Game Records'!$Y:$Y,$H15))),NOT(_xlfn.ISFORMULA(INDEX('Game Records'!$Z:$Z,$H15)))),"","")&amp;IF(INDEX('Game Records'!$B:$B,$H15)="","Start Date; ","")&amp;IF(INDEX('Game Records'!$C:$C,$H15)="","End Date; ","")&amp;IF(AND(INDEX('Game Records'!$U:$U,$H15)&lt;&gt;"Subscription",INDEX('Game Records'!$U:$U,$H15)&lt;&gt;"Free Game",INDEX('Game Records'!$U:$U,$H15)&lt;&gt;"Disqualified — Free Game",OR(INDEX('Game Records'!$D:$D,$H15)="",LOWER(INDEX('Game Records'!$D:$D,$H15)&amp;"")="n/a")),"Entry Mode; ","")&amp;IF(AND(INDEX('Game Records'!$U:$U,$H15)&lt;&gt;"Subscription",INDEX('Game Records'!$U:$U,$H15)&lt;&gt;"Free Game",INDEX('Game Records'!$U:$U,$H15)&lt;&gt;"Disqualified — Free Game",OR(INDEX('Game Records'!$E:$E,$H15)="",LOWER(INDEX('Game Records'!$E:$E,$H15)&amp;"")="n/a")),"Game Type; ","")&amp;IF(INDEX('Game Records'!$F:$F,$H15)="","Payment Type; ","")&amp;IF(AND(INDEX('Game Records'!$U:$U,$H15)&lt;&gt;"Subscription",INDEX('Game Records'!$U:$U,$H15)&lt;&gt;"Free Game",INDEX('Game Records'!$U:$U,$H15)&lt;&gt;"Disqualified — Free Game",INDEX('Game Records'!$G:$G,$H15)=""),"Gross Pot; ","")&amp;IF(AND(INDEX('Game Records'!$U:$U,$H15)&lt;&gt;"Free Game",INDEX('Game Records'!$U:$U,$H15)&lt;&gt;"Disqualified — Free Game",INDEX('Game Records'!$H:$H,$H15)=""),"Entry Fee; ","")&amp;IF(AND(INDEX('Game Records'!$U:$U,$H15)&lt;&gt;"Subscription",INDEX('Game Records'!$U:$U,$H15)&lt;&gt;"Free Game",INDEX('Game Records'!$U:$U,$H15)&lt;&gt;"Disqualified — Free Game",INDEX('Game Records'!$I:$I,$H15)=""),"Eligible Players; ","")&amp;IF(AND(INDEX('Game Records'!$U:$U,$H15)&lt;&gt;"Subscription",INDEX('Game Records'!$U:$U,$H15)&lt;&gt;"Free Game",INDEX('Game Records'!$U:$U,$H15)&lt;&gt;"Disqualified — Free Game",INDEX('Game Records'!$J:$J,$H15)=""),"Total Players; ","")&amp;IF(AND(LOWER(INDEX('Game Records'!$D:$D,$H15)&amp;"")="finalized",LOWER(INDEX('Game Records'!$L:$L,$H15)&amp;"")&lt;&gt;"yes",INDEX('Game Records'!$U:$U,$H15)&lt;&gt;"Subscription",INDEX('Game Records'!$U:$U,$H15)&lt;&gt;"Free Game",INDEX('Game Records'!$U:$U,$H15)&lt;&gt;"Disqualified — Free Game",INDEX('Game Records'!$K:$K,$H15)=""),"Final Payout; ","")&amp;IF(AND(LOWER(INDEX('Game Records'!$D:$D,$H15)&amp;"")="finalized",INDEX('Game Records'!$U:$U,$H15)&lt;&gt;"Subscription",INDEX('Game Records'!$U:$U,$H15)&lt;&gt;"Free Game",INDEX('Game Records'!$U:$U,$H15)&lt;&gt;"Disqualified — Free Game",OR(INDEX('Game Records'!$L:$L,$H15)="",LOWER(INDEX('Game Records'!$L:$L,$H15)&amp;"")="n/a")),"Disqualified Status; ",""))</f>
        <v/>
      </c>
      <c r="G15" s="23" t="str">
        <f t="array" ref="G15">IF($H15="","",IFERROR(INDEX('Game Records'!$M:$M,$H15),""))</f>
        <v/>
      </c>
      <c r="H15" s="3"/>
      <c r="I15" s="3" t="s">
        <v>235</v>
      </c>
      <c r="J15" s="3">
        <f>COUNTIF($E$5:$E$504,"Estimate — *End Date*")</f>
        <v>0</v>
      </c>
    </row>
    <row r="16" ht="24.0" customHeight="1">
      <c r="A16" s="18" t="str">
        <f t="shared" si="1"/>
        <v/>
      </c>
      <c r="B16" s="18" t="str">
        <f t="shared" si="2"/>
        <v/>
      </c>
      <c r="C16" s="23" t="str">
        <f t="array" ref="C16">IF($H16="","",IFERROR(INDEX('Game Records'!$A:$A,$H16),""))</f>
        <v/>
      </c>
      <c r="D16" s="23" t="str">
        <f t="array" ref="D16">IF($H16="","",IFERROR(INDEX('Game Records'!$U:$U,$H16),""))</f>
        <v/>
      </c>
      <c r="E16" s="23" t="str">
        <f t="array" ref="E16">IF($H16="","",LET(r,$H16,mode,LOWER(INDEX('Game Records'!$D:$D,r)&amp;""),endDate,INDEX('Game Records'!$C:$C,r),IF(mode="estimate",IF(endDate="","Estimate — End Date missing",IF(NOT(ISNUMBER(endDate)),"Estimate — Check End Date",IF(INT(endDate)&gt;=TODAY(),"In Progress — ends "&amp;TEXT(endDate,"mmm d, yyyy"),"Ready to Finalize"))),IF($F16="","No Highlighted Fields","Highlighted Fields Present"))))</f>
        <v/>
      </c>
      <c r="F16" s="23" t="str">
        <f t="array" ref="F16">IF($H16="","",IF(OR(NOT(_xlfn.ISFORMULA(INDEX('Game Records'!$N:$N,$H16))),NOT(_xlfn.ISFORMULA(INDEX('Game Records'!$O:$O,$H16))),NOT(_xlfn.ISFORMULA(INDEX('Game Records'!$P:$P,$H16))),NOT(_xlfn.ISFORMULA(INDEX('Game Records'!$Q:$Q,$H16))),NOT(_xlfn.ISFORMULA(INDEX('Game Records'!$R:$R,$H16))),NOT(_xlfn.ISFORMULA(INDEX('Game Records'!$S:$S,$H16))),NOT(_xlfn.ISFORMULA(INDEX('Game Records'!$T:$T,$H16))),NOT(_xlfn.ISFORMULA(INDEX('Game Records'!$U:$U,$H16))),NOT(_xlfn.ISFORMULA(INDEX('Game Records'!$V:$V,$H16))),NOT(_xlfn.ISFORMULA(INDEX('Game Records'!$W:$W,$H16))),NOT(_xlfn.ISFORMULA(INDEX('Game Records'!$X:$X,$H16))),NOT(_xlfn.ISFORMULA(INDEX('Game Records'!$Y:$Y,$H16))),NOT(_xlfn.ISFORMULA(INDEX('Game Records'!$Z:$Z,$H16)))),"","")&amp;IF(INDEX('Game Records'!$B:$B,$H16)="","Start Date; ","")&amp;IF(INDEX('Game Records'!$C:$C,$H16)="","End Date; ","")&amp;IF(AND(INDEX('Game Records'!$U:$U,$H16)&lt;&gt;"Subscription",INDEX('Game Records'!$U:$U,$H16)&lt;&gt;"Free Game",INDEX('Game Records'!$U:$U,$H16)&lt;&gt;"Disqualified — Free Game",OR(INDEX('Game Records'!$D:$D,$H16)="",LOWER(INDEX('Game Records'!$D:$D,$H16)&amp;"")="n/a")),"Entry Mode; ","")&amp;IF(AND(INDEX('Game Records'!$U:$U,$H16)&lt;&gt;"Subscription",INDEX('Game Records'!$U:$U,$H16)&lt;&gt;"Free Game",INDEX('Game Records'!$U:$U,$H16)&lt;&gt;"Disqualified — Free Game",OR(INDEX('Game Records'!$E:$E,$H16)="",LOWER(INDEX('Game Records'!$E:$E,$H16)&amp;"")="n/a")),"Game Type; ","")&amp;IF(INDEX('Game Records'!$F:$F,$H16)="","Payment Type; ","")&amp;IF(AND(INDEX('Game Records'!$U:$U,$H16)&lt;&gt;"Subscription",INDEX('Game Records'!$U:$U,$H16)&lt;&gt;"Free Game",INDEX('Game Records'!$U:$U,$H16)&lt;&gt;"Disqualified — Free Game",INDEX('Game Records'!$G:$G,$H16)=""),"Gross Pot; ","")&amp;IF(AND(INDEX('Game Records'!$U:$U,$H16)&lt;&gt;"Free Game",INDEX('Game Records'!$U:$U,$H16)&lt;&gt;"Disqualified — Free Game",INDEX('Game Records'!$H:$H,$H16)=""),"Entry Fee; ","")&amp;IF(AND(INDEX('Game Records'!$U:$U,$H16)&lt;&gt;"Subscription",INDEX('Game Records'!$U:$U,$H16)&lt;&gt;"Free Game",INDEX('Game Records'!$U:$U,$H16)&lt;&gt;"Disqualified — Free Game",INDEX('Game Records'!$I:$I,$H16)=""),"Eligible Players; ","")&amp;IF(AND(INDEX('Game Records'!$U:$U,$H16)&lt;&gt;"Subscription",INDEX('Game Records'!$U:$U,$H16)&lt;&gt;"Free Game",INDEX('Game Records'!$U:$U,$H16)&lt;&gt;"Disqualified — Free Game",INDEX('Game Records'!$J:$J,$H16)=""),"Total Players; ","")&amp;IF(AND(LOWER(INDEX('Game Records'!$D:$D,$H16)&amp;"")="finalized",LOWER(INDEX('Game Records'!$L:$L,$H16)&amp;"")&lt;&gt;"yes",INDEX('Game Records'!$U:$U,$H16)&lt;&gt;"Subscription",INDEX('Game Records'!$U:$U,$H16)&lt;&gt;"Free Game",INDEX('Game Records'!$U:$U,$H16)&lt;&gt;"Disqualified — Free Game",INDEX('Game Records'!$K:$K,$H16)=""),"Final Payout; ","")&amp;IF(AND(LOWER(INDEX('Game Records'!$D:$D,$H16)&amp;"")="finalized",INDEX('Game Records'!$U:$U,$H16)&lt;&gt;"Subscription",INDEX('Game Records'!$U:$U,$H16)&lt;&gt;"Free Game",INDEX('Game Records'!$U:$U,$H16)&lt;&gt;"Disqualified — Free Game",OR(INDEX('Game Records'!$L:$L,$H16)="",LOWER(INDEX('Game Records'!$L:$L,$H16)&amp;"")="n/a")),"Disqualified Status; ",""))</f>
        <v/>
      </c>
      <c r="G16" s="23" t="str">
        <f t="array" ref="G16">IF($H16="","",IFERROR(INDEX('Game Records'!$M:$M,$H16),""))</f>
        <v/>
      </c>
      <c r="H16" s="3"/>
      <c r="I16" s="3"/>
      <c r="J16" s="3"/>
    </row>
    <row r="17" ht="24.0" customHeight="1">
      <c r="A17" s="18" t="str">
        <f t="shared" si="1"/>
        <v/>
      </c>
      <c r="B17" s="18" t="str">
        <f t="shared" si="2"/>
        <v/>
      </c>
      <c r="C17" s="23" t="str">
        <f t="array" ref="C17">IF($H17="","",IFERROR(INDEX('Game Records'!$A:$A,$H17),""))</f>
        <v/>
      </c>
      <c r="D17" s="23" t="str">
        <f t="array" ref="D17">IF($H17="","",IFERROR(INDEX('Game Records'!$U:$U,$H17),""))</f>
        <v/>
      </c>
      <c r="E17" s="23" t="str">
        <f t="array" ref="E17">IF($H17="","",LET(r,$H17,mode,LOWER(INDEX('Game Records'!$D:$D,r)&amp;""),endDate,INDEX('Game Records'!$C:$C,r),IF(mode="estimate",IF(endDate="","Estimate — End Date missing",IF(NOT(ISNUMBER(endDate)),"Estimate — Check End Date",IF(INT(endDate)&gt;=TODAY(),"In Progress — ends "&amp;TEXT(endDate,"mmm d, yyyy"),"Ready to Finalize"))),IF($F17="","No Highlighted Fields","Highlighted Fields Present"))))</f>
        <v/>
      </c>
      <c r="F17" s="23" t="str">
        <f t="array" ref="F17">IF($H17="","",IF(OR(NOT(_xlfn.ISFORMULA(INDEX('Game Records'!$N:$N,$H17))),NOT(_xlfn.ISFORMULA(INDEX('Game Records'!$O:$O,$H17))),NOT(_xlfn.ISFORMULA(INDEX('Game Records'!$P:$P,$H17))),NOT(_xlfn.ISFORMULA(INDEX('Game Records'!$Q:$Q,$H17))),NOT(_xlfn.ISFORMULA(INDEX('Game Records'!$R:$R,$H17))),NOT(_xlfn.ISFORMULA(INDEX('Game Records'!$S:$S,$H17))),NOT(_xlfn.ISFORMULA(INDEX('Game Records'!$T:$T,$H17))),NOT(_xlfn.ISFORMULA(INDEX('Game Records'!$U:$U,$H17))),NOT(_xlfn.ISFORMULA(INDEX('Game Records'!$V:$V,$H17))),NOT(_xlfn.ISFORMULA(INDEX('Game Records'!$W:$W,$H17))),NOT(_xlfn.ISFORMULA(INDEX('Game Records'!$X:$X,$H17))),NOT(_xlfn.ISFORMULA(INDEX('Game Records'!$Y:$Y,$H17))),NOT(_xlfn.ISFORMULA(INDEX('Game Records'!$Z:$Z,$H17)))),"","")&amp;IF(INDEX('Game Records'!$B:$B,$H17)="","Start Date; ","")&amp;IF(INDEX('Game Records'!$C:$C,$H17)="","End Date; ","")&amp;IF(AND(INDEX('Game Records'!$U:$U,$H17)&lt;&gt;"Subscription",INDEX('Game Records'!$U:$U,$H17)&lt;&gt;"Free Game",INDEX('Game Records'!$U:$U,$H17)&lt;&gt;"Disqualified — Free Game",OR(INDEX('Game Records'!$D:$D,$H17)="",LOWER(INDEX('Game Records'!$D:$D,$H17)&amp;"")="n/a")),"Entry Mode; ","")&amp;IF(AND(INDEX('Game Records'!$U:$U,$H17)&lt;&gt;"Subscription",INDEX('Game Records'!$U:$U,$H17)&lt;&gt;"Free Game",INDEX('Game Records'!$U:$U,$H17)&lt;&gt;"Disqualified — Free Game",OR(INDEX('Game Records'!$E:$E,$H17)="",LOWER(INDEX('Game Records'!$E:$E,$H17)&amp;"")="n/a")),"Game Type; ","")&amp;IF(INDEX('Game Records'!$F:$F,$H17)="","Payment Type; ","")&amp;IF(AND(INDEX('Game Records'!$U:$U,$H17)&lt;&gt;"Subscription",INDEX('Game Records'!$U:$U,$H17)&lt;&gt;"Free Game",INDEX('Game Records'!$U:$U,$H17)&lt;&gt;"Disqualified — Free Game",INDEX('Game Records'!$G:$G,$H17)=""),"Gross Pot; ","")&amp;IF(AND(INDEX('Game Records'!$U:$U,$H17)&lt;&gt;"Free Game",INDEX('Game Records'!$U:$U,$H17)&lt;&gt;"Disqualified — Free Game",INDEX('Game Records'!$H:$H,$H17)=""),"Entry Fee; ","")&amp;IF(AND(INDEX('Game Records'!$U:$U,$H17)&lt;&gt;"Subscription",INDEX('Game Records'!$U:$U,$H17)&lt;&gt;"Free Game",INDEX('Game Records'!$U:$U,$H17)&lt;&gt;"Disqualified — Free Game",INDEX('Game Records'!$I:$I,$H17)=""),"Eligible Players; ","")&amp;IF(AND(INDEX('Game Records'!$U:$U,$H17)&lt;&gt;"Subscription",INDEX('Game Records'!$U:$U,$H17)&lt;&gt;"Free Game",INDEX('Game Records'!$U:$U,$H17)&lt;&gt;"Disqualified — Free Game",INDEX('Game Records'!$J:$J,$H17)=""),"Total Players; ","")&amp;IF(AND(LOWER(INDEX('Game Records'!$D:$D,$H17)&amp;"")="finalized",LOWER(INDEX('Game Records'!$L:$L,$H17)&amp;"")&lt;&gt;"yes",INDEX('Game Records'!$U:$U,$H17)&lt;&gt;"Subscription",INDEX('Game Records'!$U:$U,$H17)&lt;&gt;"Free Game",INDEX('Game Records'!$U:$U,$H17)&lt;&gt;"Disqualified — Free Game",INDEX('Game Records'!$K:$K,$H17)=""),"Final Payout; ","")&amp;IF(AND(LOWER(INDEX('Game Records'!$D:$D,$H17)&amp;"")="finalized",INDEX('Game Records'!$U:$U,$H17)&lt;&gt;"Subscription",INDEX('Game Records'!$U:$U,$H17)&lt;&gt;"Free Game",INDEX('Game Records'!$U:$U,$H17)&lt;&gt;"Disqualified — Free Game",OR(INDEX('Game Records'!$L:$L,$H17)="",LOWER(INDEX('Game Records'!$L:$L,$H17)&amp;"")="n/a")),"Disqualified Status; ",""))</f>
        <v/>
      </c>
      <c r="G17" s="23" t="str">
        <f t="array" ref="G17">IF($H17="","",IFERROR(INDEX('Game Records'!$M:$M,$H17),""))</f>
        <v/>
      </c>
      <c r="H17" s="3"/>
      <c r="I17" s="3"/>
      <c r="J17" s="3"/>
    </row>
    <row r="18" ht="24.0" customHeight="1">
      <c r="A18" s="18" t="str">
        <f t="shared" si="1"/>
        <v/>
      </c>
      <c r="B18" s="18" t="str">
        <f t="shared" si="2"/>
        <v/>
      </c>
      <c r="C18" s="23" t="str">
        <f t="array" ref="C18">IF($H18="","",IFERROR(INDEX('Game Records'!$A:$A,$H18),""))</f>
        <v/>
      </c>
      <c r="D18" s="23" t="str">
        <f t="array" ref="D18">IF($H18="","",IFERROR(INDEX('Game Records'!$U:$U,$H18),""))</f>
        <v/>
      </c>
      <c r="E18" s="23" t="str">
        <f t="array" ref="E18">IF($H18="","",LET(r,$H18,mode,LOWER(INDEX('Game Records'!$D:$D,r)&amp;""),endDate,INDEX('Game Records'!$C:$C,r),IF(mode="estimate",IF(endDate="","Estimate — End Date missing",IF(NOT(ISNUMBER(endDate)),"Estimate — Check End Date",IF(INT(endDate)&gt;=TODAY(),"In Progress — ends "&amp;TEXT(endDate,"mmm d, yyyy"),"Ready to Finalize"))),IF($F18="","No Highlighted Fields","Highlighted Fields Present"))))</f>
        <v/>
      </c>
      <c r="F18" s="23" t="str">
        <f t="array" ref="F18">IF($H18="","",IF(OR(NOT(_xlfn.ISFORMULA(INDEX('Game Records'!$N:$N,$H18))),NOT(_xlfn.ISFORMULA(INDEX('Game Records'!$O:$O,$H18))),NOT(_xlfn.ISFORMULA(INDEX('Game Records'!$P:$P,$H18))),NOT(_xlfn.ISFORMULA(INDEX('Game Records'!$Q:$Q,$H18))),NOT(_xlfn.ISFORMULA(INDEX('Game Records'!$R:$R,$H18))),NOT(_xlfn.ISFORMULA(INDEX('Game Records'!$S:$S,$H18))),NOT(_xlfn.ISFORMULA(INDEX('Game Records'!$T:$T,$H18))),NOT(_xlfn.ISFORMULA(INDEX('Game Records'!$U:$U,$H18))),NOT(_xlfn.ISFORMULA(INDEX('Game Records'!$V:$V,$H18))),NOT(_xlfn.ISFORMULA(INDEX('Game Records'!$W:$W,$H18))),NOT(_xlfn.ISFORMULA(INDEX('Game Records'!$X:$X,$H18))),NOT(_xlfn.ISFORMULA(INDEX('Game Records'!$Y:$Y,$H18))),NOT(_xlfn.ISFORMULA(INDEX('Game Records'!$Z:$Z,$H18)))),"","")&amp;IF(INDEX('Game Records'!$B:$B,$H18)="","Start Date; ","")&amp;IF(INDEX('Game Records'!$C:$C,$H18)="","End Date; ","")&amp;IF(AND(INDEX('Game Records'!$U:$U,$H18)&lt;&gt;"Subscription",INDEX('Game Records'!$U:$U,$H18)&lt;&gt;"Free Game",INDEX('Game Records'!$U:$U,$H18)&lt;&gt;"Disqualified — Free Game",OR(INDEX('Game Records'!$D:$D,$H18)="",LOWER(INDEX('Game Records'!$D:$D,$H18)&amp;"")="n/a")),"Entry Mode; ","")&amp;IF(AND(INDEX('Game Records'!$U:$U,$H18)&lt;&gt;"Subscription",INDEX('Game Records'!$U:$U,$H18)&lt;&gt;"Free Game",INDEX('Game Records'!$U:$U,$H18)&lt;&gt;"Disqualified — Free Game",OR(INDEX('Game Records'!$E:$E,$H18)="",LOWER(INDEX('Game Records'!$E:$E,$H18)&amp;"")="n/a")),"Game Type; ","")&amp;IF(INDEX('Game Records'!$F:$F,$H18)="","Payment Type; ","")&amp;IF(AND(INDEX('Game Records'!$U:$U,$H18)&lt;&gt;"Subscription",INDEX('Game Records'!$U:$U,$H18)&lt;&gt;"Free Game",INDEX('Game Records'!$U:$U,$H18)&lt;&gt;"Disqualified — Free Game",INDEX('Game Records'!$G:$G,$H18)=""),"Gross Pot; ","")&amp;IF(AND(INDEX('Game Records'!$U:$U,$H18)&lt;&gt;"Free Game",INDEX('Game Records'!$U:$U,$H18)&lt;&gt;"Disqualified — Free Game",INDEX('Game Records'!$H:$H,$H18)=""),"Entry Fee; ","")&amp;IF(AND(INDEX('Game Records'!$U:$U,$H18)&lt;&gt;"Subscription",INDEX('Game Records'!$U:$U,$H18)&lt;&gt;"Free Game",INDEX('Game Records'!$U:$U,$H18)&lt;&gt;"Disqualified — Free Game",INDEX('Game Records'!$I:$I,$H18)=""),"Eligible Players; ","")&amp;IF(AND(INDEX('Game Records'!$U:$U,$H18)&lt;&gt;"Subscription",INDEX('Game Records'!$U:$U,$H18)&lt;&gt;"Free Game",INDEX('Game Records'!$U:$U,$H18)&lt;&gt;"Disqualified — Free Game",INDEX('Game Records'!$J:$J,$H18)=""),"Total Players; ","")&amp;IF(AND(LOWER(INDEX('Game Records'!$D:$D,$H18)&amp;"")="finalized",LOWER(INDEX('Game Records'!$L:$L,$H18)&amp;"")&lt;&gt;"yes",INDEX('Game Records'!$U:$U,$H18)&lt;&gt;"Subscription",INDEX('Game Records'!$U:$U,$H18)&lt;&gt;"Free Game",INDEX('Game Records'!$U:$U,$H18)&lt;&gt;"Disqualified — Free Game",INDEX('Game Records'!$K:$K,$H18)=""),"Final Payout; ","")&amp;IF(AND(LOWER(INDEX('Game Records'!$D:$D,$H18)&amp;"")="finalized",INDEX('Game Records'!$U:$U,$H18)&lt;&gt;"Subscription",INDEX('Game Records'!$U:$U,$H18)&lt;&gt;"Free Game",INDEX('Game Records'!$U:$U,$H18)&lt;&gt;"Disqualified — Free Game",OR(INDEX('Game Records'!$L:$L,$H18)="",LOWER(INDEX('Game Records'!$L:$L,$H18)&amp;"")="n/a")),"Disqualified Status; ",""))</f>
        <v/>
      </c>
      <c r="G18" s="23" t="str">
        <f t="array" ref="G18">IF($H18="","",IFERROR(INDEX('Game Records'!$M:$M,$H18),""))</f>
        <v/>
      </c>
      <c r="H18" s="3"/>
      <c r="I18" s="3"/>
      <c r="J18" s="3"/>
    </row>
    <row r="19" ht="24.0" customHeight="1">
      <c r="A19" s="18" t="str">
        <f t="shared" si="1"/>
        <v/>
      </c>
      <c r="B19" s="18" t="str">
        <f t="shared" si="2"/>
        <v/>
      </c>
      <c r="C19" s="23" t="str">
        <f t="array" ref="C19">IF($H19="","",IFERROR(INDEX('Game Records'!$A:$A,$H19),""))</f>
        <v/>
      </c>
      <c r="D19" s="23" t="str">
        <f t="array" ref="D19">IF($H19="","",IFERROR(INDEX('Game Records'!$U:$U,$H19),""))</f>
        <v/>
      </c>
      <c r="E19" s="23" t="str">
        <f t="array" ref="E19">IF($H19="","",LET(r,$H19,mode,LOWER(INDEX('Game Records'!$D:$D,r)&amp;""),endDate,INDEX('Game Records'!$C:$C,r),IF(mode="estimate",IF(endDate="","Estimate — End Date missing",IF(NOT(ISNUMBER(endDate)),"Estimate — Check End Date",IF(INT(endDate)&gt;=TODAY(),"In Progress — ends "&amp;TEXT(endDate,"mmm d, yyyy"),"Ready to Finalize"))),IF($F19="","No Highlighted Fields","Highlighted Fields Present"))))</f>
        <v/>
      </c>
      <c r="F19" s="23" t="str">
        <f t="array" ref="F19">IF($H19="","",IF(OR(NOT(_xlfn.ISFORMULA(INDEX('Game Records'!$N:$N,$H19))),NOT(_xlfn.ISFORMULA(INDEX('Game Records'!$O:$O,$H19))),NOT(_xlfn.ISFORMULA(INDEX('Game Records'!$P:$P,$H19))),NOT(_xlfn.ISFORMULA(INDEX('Game Records'!$Q:$Q,$H19))),NOT(_xlfn.ISFORMULA(INDEX('Game Records'!$R:$R,$H19))),NOT(_xlfn.ISFORMULA(INDEX('Game Records'!$S:$S,$H19))),NOT(_xlfn.ISFORMULA(INDEX('Game Records'!$T:$T,$H19))),NOT(_xlfn.ISFORMULA(INDEX('Game Records'!$U:$U,$H19))),NOT(_xlfn.ISFORMULA(INDEX('Game Records'!$V:$V,$H19))),NOT(_xlfn.ISFORMULA(INDEX('Game Records'!$W:$W,$H19))),NOT(_xlfn.ISFORMULA(INDEX('Game Records'!$X:$X,$H19))),NOT(_xlfn.ISFORMULA(INDEX('Game Records'!$Y:$Y,$H19))),NOT(_xlfn.ISFORMULA(INDEX('Game Records'!$Z:$Z,$H19)))),"","")&amp;IF(INDEX('Game Records'!$B:$B,$H19)="","Start Date; ","")&amp;IF(INDEX('Game Records'!$C:$C,$H19)="","End Date; ","")&amp;IF(AND(INDEX('Game Records'!$U:$U,$H19)&lt;&gt;"Subscription",INDEX('Game Records'!$U:$U,$H19)&lt;&gt;"Free Game",INDEX('Game Records'!$U:$U,$H19)&lt;&gt;"Disqualified — Free Game",OR(INDEX('Game Records'!$D:$D,$H19)="",LOWER(INDEX('Game Records'!$D:$D,$H19)&amp;"")="n/a")),"Entry Mode; ","")&amp;IF(AND(INDEX('Game Records'!$U:$U,$H19)&lt;&gt;"Subscription",INDEX('Game Records'!$U:$U,$H19)&lt;&gt;"Free Game",INDEX('Game Records'!$U:$U,$H19)&lt;&gt;"Disqualified — Free Game",OR(INDEX('Game Records'!$E:$E,$H19)="",LOWER(INDEX('Game Records'!$E:$E,$H19)&amp;"")="n/a")),"Game Type; ","")&amp;IF(INDEX('Game Records'!$F:$F,$H19)="","Payment Type; ","")&amp;IF(AND(INDEX('Game Records'!$U:$U,$H19)&lt;&gt;"Subscription",INDEX('Game Records'!$U:$U,$H19)&lt;&gt;"Free Game",INDEX('Game Records'!$U:$U,$H19)&lt;&gt;"Disqualified — Free Game",INDEX('Game Records'!$G:$G,$H19)=""),"Gross Pot; ","")&amp;IF(AND(INDEX('Game Records'!$U:$U,$H19)&lt;&gt;"Free Game",INDEX('Game Records'!$U:$U,$H19)&lt;&gt;"Disqualified — Free Game",INDEX('Game Records'!$H:$H,$H19)=""),"Entry Fee; ","")&amp;IF(AND(INDEX('Game Records'!$U:$U,$H19)&lt;&gt;"Subscription",INDEX('Game Records'!$U:$U,$H19)&lt;&gt;"Free Game",INDEX('Game Records'!$U:$U,$H19)&lt;&gt;"Disqualified — Free Game",INDEX('Game Records'!$I:$I,$H19)=""),"Eligible Players; ","")&amp;IF(AND(INDEX('Game Records'!$U:$U,$H19)&lt;&gt;"Subscription",INDEX('Game Records'!$U:$U,$H19)&lt;&gt;"Free Game",INDEX('Game Records'!$U:$U,$H19)&lt;&gt;"Disqualified — Free Game",INDEX('Game Records'!$J:$J,$H19)=""),"Total Players; ","")&amp;IF(AND(LOWER(INDEX('Game Records'!$D:$D,$H19)&amp;"")="finalized",LOWER(INDEX('Game Records'!$L:$L,$H19)&amp;"")&lt;&gt;"yes",INDEX('Game Records'!$U:$U,$H19)&lt;&gt;"Subscription",INDEX('Game Records'!$U:$U,$H19)&lt;&gt;"Free Game",INDEX('Game Records'!$U:$U,$H19)&lt;&gt;"Disqualified — Free Game",INDEX('Game Records'!$K:$K,$H19)=""),"Final Payout; ","")&amp;IF(AND(LOWER(INDEX('Game Records'!$D:$D,$H19)&amp;"")="finalized",INDEX('Game Records'!$U:$U,$H19)&lt;&gt;"Subscription",INDEX('Game Records'!$U:$U,$H19)&lt;&gt;"Free Game",INDEX('Game Records'!$U:$U,$H19)&lt;&gt;"Disqualified — Free Game",OR(INDEX('Game Records'!$L:$L,$H19)="",LOWER(INDEX('Game Records'!$L:$L,$H19)&amp;"")="n/a")),"Disqualified Status; ",""))</f>
        <v/>
      </c>
      <c r="G19" s="23" t="str">
        <f t="array" ref="G19">IF($H19="","",IFERROR(INDEX('Game Records'!$M:$M,$H19),""))</f>
        <v/>
      </c>
      <c r="H19" s="3"/>
      <c r="I19" s="3"/>
      <c r="J19" s="3"/>
    </row>
    <row r="20" ht="24.0" customHeight="1">
      <c r="A20" s="18" t="str">
        <f t="shared" si="1"/>
        <v/>
      </c>
      <c r="B20" s="18" t="str">
        <f t="shared" si="2"/>
        <v/>
      </c>
      <c r="C20" s="23" t="str">
        <f t="array" ref="C20">IF($H20="","",IFERROR(INDEX('Game Records'!$A:$A,$H20),""))</f>
        <v/>
      </c>
      <c r="D20" s="23" t="str">
        <f t="array" ref="D20">IF($H20="","",IFERROR(INDEX('Game Records'!$U:$U,$H20),""))</f>
        <v/>
      </c>
      <c r="E20" s="23" t="str">
        <f t="array" ref="E20">IF($H20="","",LET(r,$H20,mode,LOWER(INDEX('Game Records'!$D:$D,r)&amp;""),endDate,INDEX('Game Records'!$C:$C,r),IF(mode="estimate",IF(endDate="","Estimate — End Date missing",IF(NOT(ISNUMBER(endDate)),"Estimate — Check End Date",IF(INT(endDate)&gt;=TODAY(),"In Progress — ends "&amp;TEXT(endDate,"mmm d, yyyy"),"Ready to Finalize"))),IF($F20="","No Highlighted Fields","Highlighted Fields Present"))))</f>
        <v/>
      </c>
      <c r="F20" s="23" t="str">
        <f t="array" ref="F20">IF($H20="","",IF(OR(NOT(_xlfn.ISFORMULA(INDEX('Game Records'!$N:$N,$H20))),NOT(_xlfn.ISFORMULA(INDEX('Game Records'!$O:$O,$H20))),NOT(_xlfn.ISFORMULA(INDEX('Game Records'!$P:$P,$H20))),NOT(_xlfn.ISFORMULA(INDEX('Game Records'!$Q:$Q,$H20))),NOT(_xlfn.ISFORMULA(INDEX('Game Records'!$R:$R,$H20))),NOT(_xlfn.ISFORMULA(INDEX('Game Records'!$S:$S,$H20))),NOT(_xlfn.ISFORMULA(INDEX('Game Records'!$T:$T,$H20))),NOT(_xlfn.ISFORMULA(INDEX('Game Records'!$U:$U,$H20))),NOT(_xlfn.ISFORMULA(INDEX('Game Records'!$V:$V,$H20))),NOT(_xlfn.ISFORMULA(INDEX('Game Records'!$W:$W,$H20))),NOT(_xlfn.ISFORMULA(INDEX('Game Records'!$X:$X,$H20))),NOT(_xlfn.ISFORMULA(INDEX('Game Records'!$Y:$Y,$H20))),NOT(_xlfn.ISFORMULA(INDEX('Game Records'!$Z:$Z,$H20)))),"","")&amp;IF(INDEX('Game Records'!$B:$B,$H20)="","Start Date; ","")&amp;IF(INDEX('Game Records'!$C:$C,$H20)="","End Date; ","")&amp;IF(AND(INDEX('Game Records'!$U:$U,$H20)&lt;&gt;"Subscription",INDEX('Game Records'!$U:$U,$H20)&lt;&gt;"Free Game",INDEX('Game Records'!$U:$U,$H20)&lt;&gt;"Disqualified — Free Game",OR(INDEX('Game Records'!$D:$D,$H20)="",LOWER(INDEX('Game Records'!$D:$D,$H20)&amp;"")="n/a")),"Entry Mode; ","")&amp;IF(AND(INDEX('Game Records'!$U:$U,$H20)&lt;&gt;"Subscription",INDEX('Game Records'!$U:$U,$H20)&lt;&gt;"Free Game",INDEX('Game Records'!$U:$U,$H20)&lt;&gt;"Disqualified — Free Game",OR(INDEX('Game Records'!$E:$E,$H20)="",LOWER(INDEX('Game Records'!$E:$E,$H20)&amp;"")="n/a")),"Game Type; ","")&amp;IF(INDEX('Game Records'!$F:$F,$H20)="","Payment Type; ","")&amp;IF(AND(INDEX('Game Records'!$U:$U,$H20)&lt;&gt;"Subscription",INDEX('Game Records'!$U:$U,$H20)&lt;&gt;"Free Game",INDEX('Game Records'!$U:$U,$H20)&lt;&gt;"Disqualified — Free Game",INDEX('Game Records'!$G:$G,$H20)=""),"Gross Pot; ","")&amp;IF(AND(INDEX('Game Records'!$U:$U,$H20)&lt;&gt;"Free Game",INDEX('Game Records'!$U:$U,$H20)&lt;&gt;"Disqualified — Free Game",INDEX('Game Records'!$H:$H,$H20)=""),"Entry Fee; ","")&amp;IF(AND(INDEX('Game Records'!$U:$U,$H20)&lt;&gt;"Subscription",INDEX('Game Records'!$U:$U,$H20)&lt;&gt;"Free Game",INDEX('Game Records'!$U:$U,$H20)&lt;&gt;"Disqualified — Free Game",INDEX('Game Records'!$I:$I,$H20)=""),"Eligible Players; ","")&amp;IF(AND(INDEX('Game Records'!$U:$U,$H20)&lt;&gt;"Subscription",INDEX('Game Records'!$U:$U,$H20)&lt;&gt;"Free Game",INDEX('Game Records'!$U:$U,$H20)&lt;&gt;"Disqualified — Free Game",INDEX('Game Records'!$J:$J,$H20)=""),"Total Players; ","")&amp;IF(AND(LOWER(INDEX('Game Records'!$D:$D,$H20)&amp;"")="finalized",LOWER(INDEX('Game Records'!$L:$L,$H20)&amp;"")&lt;&gt;"yes",INDEX('Game Records'!$U:$U,$H20)&lt;&gt;"Subscription",INDEX('Game Records'!$U:$U,$H20)&lt;&gt;"Free Game",INDEX('Game Records'!$U:$U,$H20)&lt;&gt;"Disqualified — Free Game",INDEX('Game Records'!$K:$K,$H20)=""),"Final Payout; ","")&amp;IF(AND(LOWER(INDEX('Game Records'!$D:$D,$H20)&amp;"")="finalized",INDEX('Game Records'!$U:$U,$H20)&lt;&gt;"Subscription",INDEX('Game Records'!$U:$U,$H20)&lt;&gt;"Free Game",INDEX('Game Records'!$U:$U,$H20)&lt;&gt;"Disqualified — Free Game",OR(INDEX('Game Records'!$L:$L,$H20)="",LOWER(INDEX('Game Records'!$L:$L,$H20)&amp;"")="n/a")),"Disqualified Status; ",""))</f>
        <v/>
      </c>
      <c r="G20" s="23" t="str">
        <f t="array" ref="G20">IF($H20="","",IFERROR(INDEX('Game Records'!$M:$M,$H20),""))</f>
        <v/>
      </c>
      <c r="H20" s="3"/>
      <c r="I20" s="3"/>
      <c r="J20" s="3"/>
    </row>
    <row r="21" ht="24.0" customHeight="1">
      <c r="A21" s="18" t="str">
        <f t="shared" si="1"/>
        <v/>
      </c>
      <c r="B21" s="18" t="str">
        <f t="shared" si="2"/>
        <v/>
      </c>
      <c r="C21" s="23" t="str">
        <f t="array" ref="C21">IF($H21="","",IFERROR(INDEX('Game Records'!$A:$A,$H21),""))</f>
        <v/>
      </c>
      <c r="D21" s="23" t="str">
        <f t="array" ref="D21">IF($H21="","",IFERROR(INDEX('Game Records'!$U:$U,$H21),""))</f>
        <v/>
      </c>
      <c r="E21" s="23" t="str">
        <f t="array" ref="E21">IF($H21="","",LET(r,$H21,mode,LOWER(INDEX('Game Records'!$D:$D,r)&amp;""),endDate,INDEX('Game Records'!$C:$C,r),IF(mode="estimate",IF(endDate="","Estimate — End Date missing",IF(NOT(ISNUMBER(endDate)),"Estimate — Check End Date",IF(INT(endDate)&gt;=TODAY(),"In Progress — ends "&amp;TEXT(endDate,"mmm d, yyyy"),"Ready to Finalize"))),IF($F21="","No Highlighted Fields","Highlighted Fields Present"))))</f>
        <v/>
      </c>
      <c r="F21" s="23" t="str">
        <f t="array" ref="F21">IF($H21="","",IF(OR(NOT(_xlfn.ISFORMULA(INDEX('Game Records'!$N:$N,$H21))),NOT(_xlfn.ISFORMULA(INDEX('Game Records'!$O:$O,$H21))),NOT(_xlfn.ISFORMULA(INDEX('Game Records'!$P:$P,$H21))),NOT(_xlfn.ISFORMULA(INDEX('Game Records'!$Q:$Q,$H21))),NOT(_xlfn.ISFORMULA(INDEX('Game Records'!$R:$R,$H21))),NOT(_xlfn.ISFORMULA(INDEX('Game Records'!$S:$S,$H21))),NOT(_xlfn.ISFORMULA(INDEX('Game Records'!$T:$T,$H21))),NOT(_xlfn.ISFORMULA(INDEX('Game Records'!$U:$U,$H21))),NOT(_xlfn.ISFORMULA(INDEX('Game Records'!$V:$V,$H21))),NOT(_xlfn.ISFORMULA(INDEX('Game Records'!$W:$W,$H21))),NOT(_xlfn.ISFORMULA(INDEX('Game Records'!$X:$X,$H21))),NOT(_xlfn.ISFORMULA(INDEX('Game Records'!$Y:$Y,$H21))),NOT(_xlfn.ISFORMULA(INDEX('Game Records'!$Z:$Z,$H21)))),"","")&amp;IF(INDEX('Game Records'!$B:$B,$H21)="","Start Date; ","")&amp;IF(INDEX('Game Records'!$C:$C,$H21)="","End Date; ","")&amp;IF(AND(INDEX('Game Records'!$U:$U,$H21)&lt;&gt;"Subscription",INDEX('Game Records'!$U:$U,$H21)&lt;&gt;"Free Game",INDEX('Game Records'!$U:$U,$H21)&lt;&gt;"Disqualified — Free Game",OR(INDEX('Game Records'!$D:$D,$H21)="",LOWER(INDEX('Game Records'!$D:$D,$H21)&amp;"")="n/a")),"Entry Mode; ","")&amp;IF(AND(INDEX('Game Records'!$U:$U,$H21)&lt;&gt;"Subscription",INDEX('Game Records'!$U:$U,$H21)&lt;&gt;"Free Game",INDEX('Game Records'!$U:$U,$H21)&lt;&gt;"Disqualified — Free Game",OR(INDEX('Game Records'!$E:$E,$H21)="",LOWER(INDEX('Game Records'!$E:$E,$H21)&amp;"")="n/a")),"Game Type; ","")&amp;IF(INDEX('Game Records'!$F:$F,$H21)="","Payment Type; ","")&amp;IF(AND(INDEX('Game Records'!$U:$U,$H21)&lt;&gt;"Subscription",INDEX('Game Records'!$U:$U,$H21)&lt;&gt;"Free Game",INDEX('Game Records'!$U:$U,$H21)&lt;&gt;"Disqualified — Free Game",INDEX('Game Records'!$G:$G,$H21)=""),"Gross Pot; ","")&amp;IF(AND(INDEX('Game Records'!$U:$U,$H21)&lt;&gt;"Free Game",INDEX('Game Records'!$U:$U,$H21)&lt;&gt;"Disqualified — Free Game",INDEX('Game Records'!$H:$H,$H21)=""),"Entry Fee; ","")&amp;IF(AND(INDEX('Game Records'!$U:$U,$H21)&lt;&gt;"Subscription",INDEX('Game Records'!$U:$U,$H21)&lt;&gt;"Free Game",INDEX('Game Records'!$U:$U,$H21)&lt;&gt;"Disqualified — Free Game",INDEX('Game Records'!$I:$I,$H21)=""),"Eligible Players; ","")&amp;IF(AND(INDEX('Game Records'!$U:$U,$H21)&lt;&gt;"Subscription",INDEX('Game Records'!$U:$U,$H21)&lt;&gt;"Free Game",INDEX('Game Records'!$U:$U,$H21)&lt;&gt;"Disqualified — Free Game",INDEX('Game Records'!$J:$J,$H21)=""),"Total Players; ","")&amp;IF(AND(LOWER(INDEX('Game Records'!$D:$D,$H21)&amp;"")="finalized",LOWER(INDEX('Game Records'!$L:$L,$H21)&amp;"")&lt;&gt;"yes",INDEX('Game Records'!$U:$U,$H21)&lt;&gt;"Subscription",INDEX('Game Records'!$U:$U,$H21)&lt;&gt;"Free Game",INDEX('Game Records'!$U:$U,$H21)&lt;&gt;"Disqualified — Free Game",INDEX('Game Records'!$K:$K,$H21)=""),"Final Payout; ","")&amp;IF(AND(LOWER(INDEX('Game Records'!$D:$D,$H21)&amp;"")="finalized",INDEX('Game Records'!$U:$U,$H21)&lt;&gt;"Subscription",INDEX('Game Records'!$U:$U,$H21)&lt;&gt;"Free Game",INDEX('Game Records'!$U:$U,$H21)&lt;&gt;"Disqualified — Free Game",OR(INDEX('Game Records'!$L:$L,$H21)="",LOWER(INDEX('Game Records'!$L:$L,$H21)&amp;"")="n/a")),"Disqualified Status; ",""))</f>
        <v/>
      </c>
      <c r="G21" s="23" t="str">
        <f t="array" ref="G21">IF($H21="","",IFERROR(INDEX('Game Records'!$M:$M,$H21),""))</f>
        <v/>
      </c>
      <c r="H21" s="3"/>
      <c r="I21" s="3"/>
      <c r="J21" s="3"/>
    </row>
    <row r="22" ht="24.0" customHeight="1">
      <c r="A22" s="18" t="str">
        <f t="shared" si="1"/>
        <v/>
      </c>
      <c r="B22" s="18" t="str">
        <f t="shared" si="2"/>
        <v/>
      </c>
      <c r="C22" s="23" t="str">
        <f t="array" ref="C22">IF($H22="","",IFERROR(INDEX('Game Records'!$A:$A,$H22),""))</f>
        <v/>
      </c>
      <c r="D22" s="23" t="str">
        <f t="array" ref="D22">IF($H22="","",IFERROR(INDEX('Game Records'!$U:$U,$H22),""))</f>
        <v/>
      </c>
      <c r="E22" s="23" t="str">
        <f t="array" ref="E22">IF($H22="","",LET(r,$H22,mode,LOWER(INDEX('Game Records'!$D:$D,r)&amp;""),endDate,INDEX('Game Records'!$C:$C,r),IF(mode="estimate",IF(endDate="","Estimate — End Date missing",IF(NOT(ISNUMBER(endDate)),"Estimate — Check End Date",IF(INT(endDate)&gt;=TODAY(),"In Progress — ends "&amp;TEXT(endDate,"mmm d, yyyy"),"Ready to Finalize"))),IF($F22="","No Highlighted Fields","Highlighted Fields Present"))))</f>
        <v/>
      </c>
      <c r="F22" s="23" t="str">
        <f t="array" ref="F22">IF($H22="","",IF(OR(NOT(_xlfn.ISFORMULA(INDEX('Game Records'!$N:$N,$H22))),NOT(_xlfn.ISFORMULA(INDEX('Game Records'!$O:$O,$H22))),NOT(_xlfn.ISFORMULA(INDEX('Game Records'!$P:$P,$H22))),NOT(_xlfn.ISFORMULA(INDEX('Game Records'!$Q:$Q,$H22))),NOT(_xlfn.ISFORMULA(INDEX('Game Records'!$R:$R,$H22))),NOT(_xlfn.ISFORMULA(INDEX('Game Records'!$S:$S,$H22))),NOT(_xlfn.ISFORMULA(INDEX('Game Records'!$T:$T,$H22))),NOT(_xlfn.ISFORMULA(INDEX('Game Records'!$U:$U,$H22))),NOT(_xlfn.ISFORMULA(INDEX('Game Records'!$V:$V,$H22))),NOT(_xlfn.ISFORMULA(INDEX('Game Records'!$W:$W,$H22))),NOT(_xlfn.ISFORMULA(INDEX('Game Records'!$X:$X,$H22))),NOT(_xlfn.ISFORMULA(INDEX('Game Records'!$Y:$Y,$H22))),NOT(_xlfn.ISFORMULA(INDEX('Game Records'!$Z:$Z,$H22)))),"","")&amp;IF(INDEX('Game Records'!$B:$B,$H22)="","Start Date; ","")&amp;IF(INDEX('Game Records'!$C:$C,$H22)="","End Date; ","")&amp;IF(AND(INDEX('Game Records'!$U:$U,$H22)&lt;&gt;"Subscription",INDEX('Game Records'!$U:$U,$H22)&lt;&gt;"Free Game",INDEX('Game Records'!$U:$U,$H22)&lt;&gt;"Disqualified — Free Game",OR(INDEX('Game Records'!$D:$D,$H22)="",LOWER(INDEX('Game Records'!$D:$D,$H22)&amp;"")="n/a")),"Entry Mode; ","")&amp;IF(AND(INDEX('Game Records'!$U:$U,$H22)&lt;&gt;"Subscription",INDEX('Game Records'!$U:$U,$H22)&lt;&gt;"Free Game",INDEX('Game Records'!$U:$U,$H22)&lt;&gt;"Disqualified — Free Game",OR(INDEX('Game Records'!$E:$E,$H22)="",LOWER(INDEX('Game Records'!$E:$E,$H22)&amp;"")="n/a")),"Game Type; ","")&amp;IF(INDEX('Game Records'!$F:$F,$H22)="","Payment Type; ","")&amp;IF(AND(INDEX('Game Records'!$U:$U,$H22)&lt;&gt;"Subscription",INDEX('Game Records'!$U:$U,$H22)&lt;&gt;"Free Game",INDEX('Game Records'!$U:$U,$H22)&lt;&gt;"Disqualified — Free Game",INDEX('Game Records'!$G:$G,$H22)=""),"Gross Pot; ","")&amp;IF(AND(INDEX('Game Records'!$U:$U,$H22)&lt;&gt;"Free Game",INDEX('Game Records'!$U:$U,$H22)&lt;&gt;"Disqualified — Free Game",INDEX('Game Records'!$H:$H,$H22)=""),"Entry Fee; ","")&amp;IF(AND(INDEX('Game Records'!$U:$U,$H22)&lt;&gt;"Subscription",INDEX('Game Records'!$U:$U,$H22)&lt;&gt;"Free Game",INDEX('Game Records'!$U:$U,$H22)&lt;&gt;"Disqualified — Free Game",INDEX('Game Records'!$I:$I,$H22)=""),"Eligible Players; ","")&amp;IF(AND(INDEX('Game Records'!$U:$U,$H22)&lt;&gt;"Subscription",INDEX('Game Records'!$U:$U,$H22)&lt;&gt;"Free Game",INDEX('Game Records'!$U:$U,$H22)&lt;&gt;"Disqualified — Free Game",INDEX('Game Records'!$J:$J,$H22)=""),"Total Players; ","")&amp;IF(AND(LOWER(INDEX('Game Records'!$D:$D,$H22)&amp;"")="finalized",LOWER(INDEX('Game Records'!$L:$L,$H22)&amp;"")&lt;&gt;"yes",INDEX('Game Records'!$U:$U,$H22)&lt;&gt;"Subscription",INDEX('Game Records'!$U:$U,$H22)&lt;&gt;"Free Game",INDEX('Game Records'!$U:$U,$H22)&lt;&gt;"Disqualified — Free Game",INDEX('Game Records'!$K:$K,$H22)=""),"Final Payout; ","")&amp;IF(AND(LOWER(INDEX('Game Records'!$D:$D,$H22)&amp;"")="finalized",INDEX('Game Records'!$U:$U,$H22)&lt;&gt;"Subscription",INDEX('Game Records'!$U:$U,$H22)&lt;&gt;"Free Game",INDEX('Game Records'!$U:$U,$H22)&lt;&gt;"Disqualified — Free Game",OR(INDEX('Game Records'!$L:$L,$H22)="",LOWER(INDEX('Game Records'!$L:$L,$H22)&amp;"")="n/a")),"Disqualified Status; ",""))</f>
        <v/>
      </c>
      <c r="G22" s="23" t="str">
        <f t="array" ref="G22">IF($H22="","",IFERROR(INDEX('Game Records'!$M:$M,$H22),""))</f>
        <v/>
      </c>
      <c r="H22" s="3"/>
      <c r="I22" s="3"/>
      <c r="J22" s="3"/>
    </row>
    <row r="23" ht="24.0" customHeight="1">
      <c r="A23" s="18" t="str">
        <f t="shared" si="1"/>
        <v/>
      </c>
      <c r="B23" s="18" t="str">
        <f t="shared" si="2"/>
        <v/>
      </c>
      <c r="C23" s="23" t="str">
        <f t="array" ref="C23">IF($H23="","",IFERROR(INDEX('Game Records'!$A:$A,$H23),""))</f>
        <v/>
      </c>
      <c r="D23" s="23" t="str">
        <f t="array" ref="D23">IF($H23="","",IFERROR(INDEX('Game Records'!$U:$U,$H23),""))</f>
        <v/>
      </c>
      <c r="E23" s="23" t="str">
        <f t="array" ref="E23">IF($H23="","",LET(r,$H23,mode,LOWER(INDEX('Game Records'!$D:$D,r)&amp;""),endDate,INDEX('Game Records'!$C:$C,r),IF(mode="estimate",IF(endDate="","Estimate — End Date missing",IF(NOT(ISNUMBER(endDate)),"Estimate — Check End Date",IF(INT(endDate)&gt;=TODAY(),"In Progress — ends "&amp;TEXT(endDate,"mmm d, yyyy"),"Ready to Finalize"))),IF($F23="","No Highlighted Fields","Highlighted Fields Present"))))</f>
        <v/>
      </c>
      <c r="F23" s="23" t="str">
        <f t="array" ref="F23">IF($H23="","",IF(OR(NOT(_xlfn.ISFORMULA(INDEX('Game Records'!$N:$N,$H23))),NOT(_xlfn.ISFORMULA(INDEX('Game Records'!$O:$O,$H23))),NOT(_xlfn.ISFORMULA(INDEX('Game Records'!$P:$P,$H23))),NOT(_xlfn.ISFORMULA(INDEX('Game Records'!$Q:$Q,$H23))),NOT(_xlfn.ISFORMULA(INDEX('Game Records'!$R:$R,$H23))),NOT(_xlfn.ISFORMULA(INDEX('Game Records'!$S:$S,$H23))),NOT(_xlfn.ISFORMULA(INDEX('Game Records'!$T:$T,$H23))),NOT(_xlfn.ISFORMULA(INDEX('Game Records'!$U:$U,$H23))),NOT(_xlfn.ISFORMULA(INDEX('Game Records'!$V:$V,$H23))),NOT(_xlfn.ISFORMULA(INDEX('Game Records'!$W:$W,$H23))),NOT(_xlfn.ISFORMULA(INDEX('Game Records'!$X:$X,$H23))),NOT(_xlfn.ISFORMULA(INDEX('Game Records'!$Y:$Y,$H23))),NOT(_xlfn.ISFORMULA(INDEX('Game Records'!$Z:$Z,$H23)))),"","")&amp;IF(INDEX('Game Records'!$B:$B,$H23)="","Start Date; ","")&amp;IF(INDEX('Game Records'!$C:$C,$H23)="","End Date; ","")&amp;IF(AND(INDEX('Game Records'!$U:$U,$H23)&lt;&gt;"Subscription",INDEX('Game Records'!$U:$U,$H23)&lt;&gt;"Free Game",INDEX('Game Records'!$U:$U,$H23)&lt;&gt;"Disqualified — Free Game",OR(INDEX('Game Records'!$D:$D,$H23)="",LOWER(INDEX('Game Records'!$D:$D,$H23)&amp;"")="n/a")),"Entry Mode; ","")&amp;IF(AND(INDEX('Game Records'!$U:$U,$H23)&lt;&gt;"Subscription",INDEX('Game Records'!$U:$U,$H23)&lt;&gt;"Free Game",INDEX('Game Records'!$U:$U,$H23)&lt;&gt;"Disqualified — Free Game",OR(INDEX('Game Records'!$E:$E,$H23)="",LOWER(INDEX('Game Records'!$E:$E,$H23)&amp;"")="n/a")),"Game Type; ","")&amp;IF(INDEX('Game Records'!$F:$F,$H23)="","Payment Type; ","")&amp;IF(AND(INDEX('Game Records'!$U:$U,$H23)&lt;&gt;"Subscription",INDEX('Game Records'!$U:$U,$H23)&lt;&gt;"Free Game",INDEX('Game Records'!$U:$U,$H23)&lt;&gt;"Disqualified — Free Game",INDEX('Game Records'!$G:$G,$H23)=""),"Gross Pot; ","")&amp;IF(AND(INDEX('Game Records'!$U:$U,$H23)&lt;&gt;"Free Game",INDEX('Game Records'!$U:$U,$H23)&lt;&gt;"Disqualified — Free Game",INDEX('Game Records'!$H:$H,$H23)=""),"Entry Fee; ","")&amp;IF(AND(INDEX('Game Records'!$U:$U,$H23)&lt;&gt;"Subscription",INDEX('Game Records'!$U:$U,$H23)&lt;&gt;"Free Game",INDEX('Game Records'!$U:$U,$H23)&lt;&gt;"Disqualified — Free Game",INDEX('Game Records'!$I:$I,$H23)=""),"Eligible Players; ","")&amp;IF(AND(INDEX('Game Records'!$U:$U,$H23)&lt;&gt;"Subscription",INDEX('Game Records'!$U:$U,$H23)&lt;&gt;"Free Game",INDEX('Game Records'!$U:$U,$H23)&lt;&gt;"Disqualified — Free Game",INDEX('Game Records'!$J:$J,$H23)=""),"Total Players; ","")&amp;IF(AND(LOWER(INDEX('Game Records'!$D:$D,$H23)&amp;"")="finalized",LOWER(INDEX('Game Records'!$L:$L,$H23)&amp;"")&lt;&gt;"yes",INDEX('Game Records'!$U:$U,$H23)&lt;&gt;"Subscription",INDEX('Game Records'!$U:$U,$H23)&lt;&gt;"Free Game",INDEX('Game Records'!$U:$U,$H23)&lt;&gt;"Disqualified — Free Game",INDEX('Game Records'!$K:$K,$H23)=""),"Final Payout; ","")&amp;IF(AND(LOWER(INDEX('Game Records'!$D:$D,$H23)&amp;"")="finalized",INDEX('Game Records'!$U:$U,$H23)&lt;&gt;"Subscription",INDEX('Game Records'!$U:$U,$H23)&lt;&gt;"Free Game",INDEX('Game Records'!$U:$U,$H23)&lt;&gt;"Disqualified — Free Game",OR(INDEX('Game Records'!$L:$L,$H23)="",LOWER(INDEX('Game Records'!$L:$L,$H23)&amp;"")="n/a")),"Disqualified Status; ",""))</f>
        <v/>
      </c>
      <c r="G23" s="23" t="str">
        <f t="array" ref="G23">IF($H23="","",IFERROR(INDEX('Game Records'!$M:$M,$H23),""))</f>
        <v/>
      </c>
      <c r="H23" s="3"/>
      <c r="I23" s="3"/>
      <c r="J23" s="3"/>
    </row>
    <row r="24" ht="24.0" customHeight="1">
      <c r="A24" s="18" t="str">
        <f t="shared" si="1"/>
        <v/>
      </c>
      <c r="B24" s="18" t="str">
        <f t="shared" si="2"/>
        <v/>
      </c>
      <c r="C24" s="23" t="str">
        <f t="array" ref="C24">IF($H24="","",IFERROR(INDEX('Game Records'!$A:$A,$H24),""))</f>
        <v/>
      </c>
      <c r="D24" s="23" t="str">
        <f t="array" ref="D24">IF($H24="","",IFERROR(INDEX('Game Records'!$U:$U,$H24),""))</f>
        <v/>
      </c>
      <c r="E24" s="23" t="str">
        <f t="array" ref="E24">IF($H24="","",LET(r,$H24,mode,LOWER(INDEX('Game Records'!$D:$D,r)&amp;""),endDate,INDEX('Game Records'!$C:$C,r),IF(mode="estimate",IF(endDate="","Estimate — End Date missing",IF(NOT(ISNUMBER(endDate)),"Estimate — Check End Date",IF(INT(endDate)&gt;=TODAY(),"In Progress — ends "&amp;TEXT(endDate,"mmm d, yyyy"),"Ready to Finalize"))),IF($F24="","No Highlighted Fields","Highlighted Fields Present"))))</f>
        <v/>
      </c>
      <c r="F24" s="23" t="str">
        <f t="array" ref="F24">IF($H24="","",IF(OR(NOT(_xlfn.ISFORMULA(INDEX('Game Records'!$N:$N,$H24))),NOT(_xlfn.ISFORMULA(INDEX('Game Records'!$O:$O,$H24))),NOT(_xlfn.ISFORMULA(INDEX('Game Records'!$P:$P,$H24))),NOT(_xlfn.ISFORMULA(INDEX('Game Records'!$Q:$Q,$H24))),NOT(_xlfn.ISFORMULA(INDEX('Game Records'!$R:$R,$H24))),NOT(_xlfn.ISFORMULA(INDEX('Game Records'!$S:$S,$H24))),NOT(_xlfn.ISFORMULA(INDEX('Game Records'!$T:$T,$H24))),NOT(_xlfn.ISFORMULA(INDEX('Game Records'!$U:$U,$H24))),NOT(_xlfn.ISFORMULA(INDEX('Game Records'!$V:$V,$H24))),NOT(_xlfn.ISFORMULA(INDEX('Game Records'!$W:$W,$H24))),NOT(_xlfn.ISFORMULA(INDEX('Game Records'!$X:$X,$H24))),NOT(_xlfn.ISFORMULA(INDEX('Game Records'!$Y:$Y,$H24))),NOT(_xlfn.ISFORMULA(INDEX('Game Records'!$Z:$Z,$H24)))),"","")&amp;IF(INDEX('Game Records'!$B:$B,$H24)="","Start Date; ","")&amp;IF(INDEX('Game Records'!$C:$C,$H24)="","End Date; ","")&amp;IF(AND(INDEX('Game Records'!$U:$U,$H24)&lt;&gt;"Subscription",INDEX('Game Records'!$U:$U,$H24)&lt;&gt;"Free Game",INDEX('Game Records'!$U:$U,$H24)&lt;&gt;"Disqualified — Free Game",OR(INDEX('Game Records'!$D:$D,$H24)="",LOWER(INDEX('Game Records'!$D:$D,$H24)&amp;"")="n/a")),"Entry Mode; ","")&amp;IF(AND(INDEX('Game Records'!$U:$U,$H24)&lt;&gt;"Subscription",INDEX('Game Records'!$U:$U,$H24)&lt;&gt;"Free Game",INDEX('Game Records'!$U:$U,$H24)&lt;&gt;"Disqualified — Free Game",OR(INDEX('Game Records'!$E:$E,$H24)="",LOWER(INDEX('Game Records'!$E:$E,$H24)&amp;"")="n/a")),"Game Type; ","")&amp;IF(INDEX('Game Records'!$F:$F,$H24)="","Payment Type; ","")&amp;IF(AND(INDEX('Game Records'!$U:$U,$H24)&lt;&gt;"Subscription",INDEX('Game Records'!$U:$U,$H24)&lt;&gt;"Free Game",INDEX('Game Records'!$U:$U,$H24)&lt;&gt;"Disqualified — Free Game",INDEX('Game Records'!$G:$G,$H24)=""),"Gross Pot; ","")&amp;IF(AND(INDEX('Game Records'!$U:$U,$H24)&lt;&gt;"Free Game",INDEX('Game Records'!$U:$U,$H24)&lt;&gt;"Disqualified — Free Game",INDEX('Game Records'!$H:$H,$H24)=""),"Entry Fee; ","")&amp;IF(AND(INDEX('Game Records'!$U:$U,$H24)&lt;&gt;"Subscription",INDEX('Game Records'!$U:$U,$H24)&lt;&gt;"Free Game",INDEX('Game Records'!$U:$U,$H24)&lt;&gt;"Disqualified — Free Game",INDEX('Game Records'!$I:$I,$H24)=""),"Eligible Players; ","")&amp;IF(AND(INDEX('Game Records'!$U:$U,$H24)&lt;&gt;"Subscription",INDEX('Game Records'!$U:$U,$H24)&lt;&gt;"Free Game",INDEX('Game Records'!$U:$U,$H24)&lt;&gt;"Disqualified — Free Game",INDEX('Game Records'!$J:$J,$H24)=""),"Total Players; ","")&amp;IF(AND(LOWER(INDEX('Game Records'!$D:$D,$H24)&amp;"")="finalized",LOWER(INDEX('Game Records'!$L:$L,$H24)&amp;"")&lt;&gt;"yes",INDEX('Game Records'!$U:$U,$H24)&lt;&gt;"Subscription",INDEX('Game Records'!$U:$U,$H24)&lt;&gt;"Free Game",INDEX('Game Records'!$U:$U,$H24)&lt;&gt;"Disqualified — Free Game",INDEX('Game Records'!$K:$K,$H24)=""),"Final Payout; ","")&amp;IF(AND(LOWER(INDEX('Game Records'!$D:$D,$H24)&amp;"")="finalized",INDEX('Game Records'!$U:$U,$H24)&lt;&gt;"Subscription",INDEX('Game Records'!$U:$U,$H24)&lt;&gt;"Free Game",INDEX('Game Records'!$U:$U,$H24)&lt;&gt;"Disqualified — Free Game",OR(INDEX('Game Records'!$L:$L,$H24)="",LOWER(INDEX('Game Records'!$L:$L,$H24)&amp;"")="n/a")),"Disqualified Status; ",""))</f>
        <v/>
      </c>
      <c r="G24" s="23" t="str">
        <f t="array" ref="G24">IF($H24="","",IFERROR(INDEX('Game Records'!$M:$M,$H24),""))</f>
        <v/>
      </c>
      <c r="H24" s="3"/>
      <c r="I24" s="3"/>
      <c r="J24" s="3"/>
    </row>
    <row r="25" ht="24.0" customHeight="1">
      <c r="A25" s="18" t="str">
        <f t="shared" si="1"/>
        <v/>
      </c>
      <c r="B25" s="18" t="str">
        <f t="shared" si="2"/>
        <v/>
      </c>
      <c r="C25" s="23" t="str">
        <f t="array" ref="C25">IF($H25="","",IFERROR(INDEX('Game Records'!$A:$A,$H25),""))</f>
        <v/>
      </c>
      <c r="D25" s="23" t="str">
        <f t="array" ref="D25">IF($H25="","",IFERROR(INDEX('Game Records'!$U:$U,$H25),""))</f>
        <v/>
      </c>
      <c r="E25" s="23" t="str">
        <f t="array" ref="E25">IF($H25="","",LET(r,$H25,mode,LOWER(INDEX('Game Records'!$D:$D,r)&amp;""),endDate,INDEX('Game Records'!$C:$C,r),IF(mode="estimate",IF(endDate="","Estimate — End Date missing",IF(NOT(ISNUMBER(endDate)),"Estimate — Check End Date",IF(INT(endDate)&gt;=TODAY(),"In Progress — ends "&amp;TEXT(endDate,"mmm d, yyyy"),"Ready to Finalize"))),IF($F25="","No Highlighted Fields","Highlighted Fields Present"))))</f>
        <v/>
      </c>
      <c r="F25" s="23" t="str">
        <f t="array" ref="F25">IF($H25="","",IF(OR(NOT(_xlfn.ISFORMULA(INDEX('Game Records'!$N:$N,$H25))),NOT(_xlfn.ISFORMULA(INDEX('Game Records'!$O:$O,$H25))),NOT(_xlfn.ISFORMULA(INDEX('Game Records'!$P:$P,$H25))),NOT(_xlfn.ISFORMULA(INDEX('Game Records'!$Q:$Q,$H25))),NOT(_xlfn.ISFORMULA(INDEX('Game Records'!$R:$R,$H25))),NOT(_xlfn.ISFORMULA(INDEX('Game Records'!$S:$S,$H25))),NOT(_xlfn.ISFORMULA(INDEX('Game Records'!$T:$T,$H25))),NOT(_xlfn.ISFORMULA(INDEX('Game Records'!$U:$U,$H25))),NOT(_xlfn.ISFORMULA(INDEX('Game Records'!$V:$V,$H25))),NOT(_xlfn.ISFORMULA(INDEX('Game Records'!$W:$W,$H25))),NOT(_xlfn.ISFORMULA(INDEX('Game Records'!$X:$X,$H25))),NOT(_xlfn.ISFORMULA(INDEX('Game Records'!$Y:$Y,$H25))),NOT(_xlfn.ISFORMULA(INDEX('Game Records'!$Z:$Z,$H25)))),"","")&amp;IF(INDEX('Game Records'!$B:$B,$H25)="","Start Date; ","")&amp;IF(INDEX('Game Records'!$C:$C,$H25)="","End Date; ","")&amp;IF(AND(INDEX('Game Records'!$U:$U,$H25)&lt;&gt;"Subscription",INDEX('Game Records'!$U:$U,$H25)&lt;&gt;"Free Game",INDEX('Game Records'!$U:$U,$H25)&lt;&gt;"Disqualified — Free Game",OR(INDEX('Game Records'!$D:$D,$H25)="",LOWER(INDEX('Game Records'!$D:$D,$H25)&amp;"")="n/a")),"Entry Mode; ","")&amp;IF(AND(INDEX('Game Records'!$U:$U,$H25)&lt;&gt;"Subscription",INDEX('Game Records'!$U:$U,$H25)&lt;&gt;"Free Game",INDEX('Game Records'!$U:$U,$H25)&lt;&gt;"Disqualified — Free Game",OR(INDEX('Game Records'!$E:$E,$H25)="",LOWER(INDEX('Game Records'!$E:$E,$H25)&amp;"")="n/a")),"Game Type; ","")&amp;IF(INDEX('Game Records'!$F:$F,$H25)="","Payment Type; ","")&amp;IF(AND(INDEX('Game Records'!$U:$U,$H25)&lt;&gt;"Subscription",INDEX('Game Records'!$U:$U,$H25)&lt;&gt;"Free Game",INDEX('Game Records'!$U:$U,$H25)&lt;&gt;"Disqualified — Free Game",INDEX('Game Records'!$G:$G,$H25)=""),"Gross Pot; ","")&amp;IF(AND(INDEX('Game Records'!$U:$U,$H25)&lt;&gt;"Free Game",INDEX('Game Records'!$U:$U,$H25)&lt;&gt;"Disqualified — Free Game",INDEX('Game Records'!$H:$H,$H25)=""),"Entry Fee; ","")&amp;IF(AND(INDEX('Game Records'!$U:$U,$H25)&lt;&gt;"Subscription",INDEX('Game Records'!$U:$U,$H25)&lt;&gt;"Free Game",INDEX('Game Records'!$U:$U,$H25)&lt;&gt;"Disqualified — Free Game",INDEX('Game Records'!$I:$I,$H25)=""),"Eligible Players; ","")&amp;IF(AND(INDEX('Game Records'!$U:$U,$H25)&lt;&gt;"Subscription",INDEX('Game Records'!$U:$U,$H25)&lt;&gt;"Free Game",INDEX('Game Records'!$U:$U,$H25)&lt;&gt;"Disqualified — Free Game",INDEX('Game Records'!$J:$J,$H25)=""),"Total Players; ","")&amp;IF(AND(LOWER(INDEX('Game Records'!$D:$D,$H25)&amp;"")="finalized",LOWER(INDEX('Game Records'!$L:$L,$H25)&amp;"")&lt;&gt;"yes",INDEX('Game Records'!$U:$U,$H25)&lt;&gt;"Subscription",INDEX('Game Records'!$U:$U,$H25)&lt;&gt;"Free Game",INDEX('Game Records'!$U:$U,$H25)&lt;&gt;"Disqualified — Free Game",INDEX('Game Records'!$K:$K,$H25)=""),"Final Payout; ","")&amp;IF(AND(LOWER(INDEX('Game Records'!$D:$D,$H25)&amp;"")="finalized",INDEX('Game Records'!$U:$U,$H25)&lt;&gt;"Subscription",INDEX('Game Records'!$U:$U,$H25)&lt;&gt;"Free Game",INDEX('Game Records'!$U:$U,$H25)&lt;&gt;"Disqualified — Free Game",OR(INDEX('Game Records'!$L:$L,$H25)="",LOWER(INDEX('Game Records'!$L:$L,$H25)&amp;"")="n/a")),"Disqualified Status; ",""))</f>
        <v/>
      </c>
      <c r="G25" s="23" t="str">
        <f t="array" ref="G25">IF($H25="","",IFERROR(INDEX('Game Records'!$M:$M,$H25),""))</f>
        <v/>
      </c>
      <c r="H25" s="3"/>
      <c r="I25" s="3"/>
      <c r="J25" s="3"/>
    </row>
    <row r="26" ht="24.0" customHeight="1">
      <c r="A26" s="18" t="str">
        <f t="shared" si="1"/>
        <v/>
      </c>
      <c r="B26" s="18" t="str">
        <f t="shared" si="2"/>
        <v/>
      </c>
      <c r="C26" s="23" t="str">
        <f t="array" ref="C26">IF($H26="","",IFERROR(INDEX('Game Records'!$A:$A,$H26),""))</f>
        <v/>
      </c>
      <c r="D26" s="23" t="str">
        <f t="array" ref="D26">IF($H26="","",IFERROR(INDEX('Game Records'!$U:$U,$H26),""))</f>
        <v/>
      </c>
      <c r="E26" s="23" t="str">
        <f t="array" ref="E26">IF($H26="","",LET(r,$H26,mode,LOWER(INDEX('Game Records'!$D:$D,r)&amp;""),endDate,INDEX('Game Records'!$C:$C,r),IF(mode="estimate",IF(endDate="","Estimate — End Date missing",IF(NOT(ISNUMBER(endDate)),"Estimate — Check End Date",IF(INT(endDate)&gt;=TODAY(),"In Progress — ends "&amp;TEXT(endDate,"mmm d, yyyy"),"Ready to Finalize"))),IF($F26="","No Highlighted Fields","Highlighted Fields Present"))))</f>
        <v/>
      </c>
      <c r="F26" s="23" t="str">
        <f t="array" ref="F26">IF($H26="","",IF(OR(NOT(_xlfn.ISFORMULA(INDEX('Game Records'!$N:$N,$H26))),NOT(_xlfn.ISFORMULA(INDEX('Game Records'!$O:$O,$H26))),NOT(_xlfn.ISFORMULA(INDEX('Game Records'!$P:$P,$H26))),NOT(_xlfn.ISFORMULA(INDEX('Game Records'!$Q:$Q,$H26))),NOT(_xlfn.ISFORMULA(INDEX('Game Records'!$R:$R,$H26))),NOT(_xlfn.ISFORMULA(INDEX('Game Records'!$S:$S,$H26))),NOT(_xlfn.ISFORMULA(INDEX('Game Records'!$T:$T,$H26))),NOT(_xlfn.ISFORMULA(INDEX('Game Records'!$U:$U,$H26))),NOT(_xlfn.ISFORMULA(INDEX('Game Records'!$V:$V,$H26))),NOT(_xlfn.ISFORMULA(INDEX('Game Records'!$W:$W,$H26))),NOT(_xlfn.ISFORMULA(INDEX('Game Records'!$X:$X,$H26))),NOT(_xlfn.ISFORMULA(INDEX('Game Records'!$Y:$Y,$H26))),NOT(_xlfn.ISFORMULA(INDEX('Game Records'!$Z:$Z,$H26)))),"","")&amp;IF(INDEX('Game Records'!$B:$B,$H26)="","Start Date; ","")&amp;IF(INDEX('Game Records'!$C:$C,$H26)="","End Date; ","")&amp;IF(AND(INDEX('Game Records'!$U:$U,$H26)&lt;&gt;"Subscription",INDEX('Game Records'!$U:$U,$H26)&lt;&gt;"Free Game",INDEX('Game Records'!$U:$U,$H26)&lt;&gt;"Disqualified — Free Game",OR(INDEX('Game Records'!$D:$D,$H26)="",LOWER(INDEX('Game Records'!$D:$D,$H26)&amp;"")="n/a")),"Entry Mode; ","")&amp;IF(AND(INDEX('Game Records'!$U:$U,$H26)&lt;&gt;"Subscription",INDEX('Game Records'!$U:$U,$H26)&lt;&gt;"Free Game",INDEX('Game Records'!$U:$U,$H26)&lt;&gt;"Disqualified — Free Game",OR(INDEX('Game Records'!$E:$E,$H26)="",LOWER(INDEX('Game Records'!$E:$E,$H26)&amp;"")="n/a")),"Game Type; ","")&amp;IF(INDEX('Game Records'!$F:$F,$H26)="","Payment Type; ","")&amp;IF(AND(INDEX('Game Records'!$U:$U,$H26)&lt;&gt;"Subscription",INDEX('Game Records'!$U:$U,$H26)&lt;&gt;"Free Game",INDEX('Game Records'!$U:$U,$H26)&lt;&gt;"Disqualified — Free Game",INDEX('Game Records'!$G:$G,$H26)=""),"Gross Pot; ","")&amp;IF(AND(INDEX('Game Records'!$U:$U,$H26)&lt;&gt;"Free Game",INDEX('Game Records'!$U:$U,$H26)&lt;&gt;"Disqualified — Free Game",INDEX('Game Records'!$H:$H,$H26)=""),"Entry Fee; ","")&amp;IF(AND(INDEX('Game Records'!$U:$U,$H26)&lt;&gt;"Subscription",INDEX('Game Records'!$U:$U,$H26)&lt;&gt;"Free Game",INDEX('Game Records'!$U:$U,$H26)&lt;&gt;"Disqualified — Free Game",INDEX('Game Records'!$I:$I,$H26)=""),"Eligible Players; ","")&amp;IF(AND(INDEX('Game Records'!$U:$U,$H26)&lt;&gt;"Subscription",INDEX('Game Records'!$U:$U,$H26)&lt;&gt;"Free Game",INDEX('Game Records'!$U:$U,$H26)&lt;&gt;"Disqualified — Free Game",INDEX('Game Records'!$J:$J,$H26)=""),"Total Players; ","")&amp;IF(AND(LOWER(INDEX('Game Records'!$D:$D,$H26)&amp;"")="finalized",LOWER(INDEX('Game Records'!$L:$L,$H26)&amp;"")&lt;&gt;"yes",INDEX('Game Records'!$U:$U,$H26)&lt;&gt;"Subscription",INDEX('Game Records'!$U:$U,$H26)&lt;&gt;"Free Game",INDEX('Game Records'!$U:$U,$H26)&lt;&gt;"Disqualified — Free Game",INDEX('Game Records'!$K:$K,$H26)=""),"Final Payout; ","")&amp;IF(AND(LOWER(INDEX('Game Records'!$D:$D,$H26)&amp;"")="finalized",INDEX('Game Records'!$U:$U,$H26)&lt;&gt;"Subscription",INDEX('Game Records'!$U:$U,$H26)&lt;&gt;"Free Game",INDEX('Game Records'!$U:$U,$H26)&lt;&gt;"Disqualified — Free Game",OR(INDEX('Game Records'!$L:$L,$H26)="",LOWER(INDEX('Game Records'!$L:$L,$H26)&amp;"")="n/a")),"Disqualified Status; ",""))</f>
        <v/>
      </c>
      <c r="G26" s="23" t="str">
        <f t="array" ref="G26">IF($H26="","",IFERROR(INDEX('Game Records'!$M:$M,$H26),""))</f>
        <v/>
      </c>
      <c r="H26" s="3"/>
      <c r="I26" s="3"/>
      <c r="J26" s="3"/>
    </row>
    <row r="27" ht="24.0" customHeight="1">
      <c r="A27" s="18" t="str">
        <f t="shared" si="1"/>
        <v/>
      </c>
      <c r="B27" s="18" t="str">
        <f t="shared" si="2"/>
        <v/>
      </c>
      <c r="C27" s="23" t="str">
        <f t="array" ref="C27">IF($H27="","",IFERROR(INDEX('Game Records'!$A:$A,$H27),""))</f>
        <v/>
      </c>
      <c r="D27" s="23" t="str">
        <f t="array" ref="D27">IF($H27="","",IFERROR(INDEX('Game Records'!$U:$U,$H27),""))</f>
        <v/>
      </c>
      <c r="E27" s="23" t="str">
        <f t="array" ref="E27">IF($H27="","",LET(r,$H27,mode,LOWER(INDEX('Game Records'!$D:$D,r)&amp;""),endDate,INDEX('Game Records'!$C:$C,r),IF(mode="estimate",IF(endDate="","Estimate — End Date missing",IF(NOT(ISNUMBER(endDate)),"Estimate — Check End Date",IF(INT(endDate)&gt;=TODAY(),"In Progress — ends "&amp;TEXT(endDate,"mmm d, yyyy"),"Ready to Finalize"))),IF($F27="","No Highlighted Fields","Highlighted Fields Present"))))</f>
        <v/>
      </c>
      <c r="F27" s="23" t="str">
        <f t="array" ref="F27">IF($H27="","",IF(OR(NOT(_xlfn.ISFORMULA(INDEX('Game Records'!$N:$N,$H27))),NOT(_xlfn.ISFORMULA(INDEX('Game Records'!$O:$O,$H27))),NOT(_xlfn.ISFORMULA(INDEX('Game Records'!$P:$P,$H27))),NOT(_xlfn.ISFORMULA(INDEX('Game Records'!$Q:$Q,$H27))),NOT(_xlfn.ISFORMULA(INDEX('Game Records'!$R:$R,$H27))),NOT(_xlfn.ISFORMULA(INDEX('Game Records'!$S:$S,$H27))),NOT(_xlfn.ISFORMULA(INDEX('Game Records'!$T:$T,$H27))),NOT(_xlfn.ISFORMULA(INDEX('Game Records'!$U:$U,$H27))),NOT(_xlfn.ISFORMULA(INDEX('Game Records'!$V:$V,$H27))),NOT(_xlfn.ISFORMULA(INDEX('Game Records'!$W:$W,$H27))),NOT(_xlfn.ISFORMULA(INDEX('Game Records'!$X:$X,$H27))),NOT(_xlfn.ISFORMULA(INDEX('Game Records'!$Y:$Y,$H27))),NOT(_xlfn.ISFORMULA(INDEX('Game Records'!$Z:$Z,$H27)))),"","")&amp;IF(INDEX('Game Records'!$B:$B,$H27)="","Start Date; ","")&amp;IF(INDEX('Game Records'!$C:$C,$H27)="","End Date; ","")&amp;IF(AND(INDEX('Game Records'!$U:$U,$H27)&lt;&gt;"Subscription",INDEX('Game Records'!$U:$U,$H27)&lt;&gt;"Free Game",INDEX('Game Records'!$U:$U,$H27)&lt;&gt;"Disqualified — Free Game",OR(INDEX('Game Records'!$D:$D,$H27)="",LOWER(INDEX('Game Records'!$D:$D,$H27)&amp;"")="n/a")),"Entry Mode; ","")&amp;IF(AND(INDEX('Game Records'!$U:$U,$H27)&lt;&gt;"Subscription",INDEX('Game Records'!$U:$U,$H27)&lt;&gt;"Free Game",INDEX('Game Records'!$U:$U,$H27)&lt;&gt;"Disqualified — Free Game",OR(INDEX('Game Records'!$E:$E,$H27)="",LOWER(INDEX('Game Records'!$E:$E,$H27)&amp;"")="n/a")),"Game Type; ","")&amp;IF(INDEX('Game Records'!$F:$F,$H27)="","Payment Type; ","")&amp;IF(AND(INDEX('Game Records'!$U:$U,$H27)&lt;&gt;"Subscription",INDEX('Game Records'!$U:$U,$H27)&lt;&gt;"Free Game",INDEX('Game Records'!$U:$U,$H27)&lt;&gt;"Disqualified — Free Game",INDEX('Game Records'!$G:$G,$H27)=""),"Gross Pot; ","")&amp;IF(AND(INDEX('Game Records'!$U:$U,$H27)&lt;&gt;"Free Game",INDEX('Game Records'!$U:$U,$H27)&lt;&gt;"Disqualified — Free Game",INDEX('Game Records'!$H:$H,$H27)=""),"Entry Fee; ","")&amp;IF(AND(INDEX('Game Records'!$U:$U,$H27)&lt;&gt;"Subscription",INDEX('Game Records'!$U:$U,$H27)&lt;&gt;"Free Game",INDEX('Game Records'!$U:$U,$H27)&lt;&gt;"Disqualified — Free Game",INDEX('Game Records'!$I:$I,$H27)=""),"Eligible Players; ","")&amp;IF(AND(INDEX('Game Records'!$U:$U,$H27)&lt;&gt;"Subscription",INDEX('Game Records'!$U:$U,$H27)&lt;&gt;"Free Game",INDEX('Game Records'!$U:$U,$H27)&lt;&gt;"Disqualified — Free Game",INDEX('Game Records'!$J:$J,$H27)=""),"Total Players; ","")&amp;IF(AND(LOWER(INDEX('Game Records'!$D:$D,$H27)&amp;"")="finalized",LOWER(INDEX('Game Records'!$L:$L,$H27)&amp;"")&lt;&gt;"yes",INDEX('Game Records'!$U:$U,$H27)&lt;&gt;"Subscription",INDEX('Game Records'!$U:$U,$H27)&lt;&gt;"Free Game",INDEX('Game Records'!$U:$U,$H27)&lt;&gt;"Disqualified — Free Game",INDEX('Game Records'!$K:$K,$H27)=""),"Final Payout; ","")&amp;IF(AND(LOWER(INDEX('Game Records'!$D:$D,$H27)&amp;"")="finalized",INDEX('Game Records'!$U:$U,$H27)&lt;&gt;"Subscription",INDEX('Game Records'!$U:$U,$H27)&lt;&gt;"Free Game",INDEX('Game Records'!$U:$U,$H27)&lt;&gt;"Disqualified — Free Game",OR(INDEX('Game Records'!$L:$L,$H27)="",LOWER(INDEX('Game Records'!$L:$L,$H27)&amp;"")="n/a")),"Disqualified Status; ",""))</f>
        <v/>
      </c>
      <c r="G27" s="23" t="str">
        <f t="array" ref="G27">IF($H27="","",IFERROR(INDEX('Game Records'!$M:$M,$H27),""))</f>
        <v/>
      </c>
      <c r="H27" s="3"/>
      <c r="I27" s="3"/>
      <c r="J27" s="3"/>
    </row>
    <row r="28" ht="24.0" customHeight="1">
      <c r="A28" s="18" t="str">
        <f t="shared" si="1"/>
        <v/>
      </c>
      <c r="B28" s="18" t="str">
        <f t="shared" si="2"/>
        <v/>
      </c>
      <c r="C28" s="23" t="str">
        <f t="array" ref="C28">IF($H28="","",IFERROR(INDEX('Game Records'!$A:$A,$H28),""))</f>
        <v/>
      </c>
      <c r="D28" s="23" t="str">
        <f t="array" ref="D28">IF($H28="","",IFERROR(INDEX('Game Records'!$U:$U,$H28),""))</f>
        <v/>
      </c>
      <c r="E28" s="23" t="str">
        <f t="array" ref="E28">IF($H28="","",LET(r,$H28,mode,LOWER(INDEX('Game Records'!$D:$D,r)&amp;""),endDate,INDEX('Game Records'!$C:$C,r),IF(mode="estimate",IF(endDate="","Estimate — End Date missing",IF(NOT(ISNUMBER(endDate)),"Estimate — Check End Date",IF(INT(endDate)&gt;=TODAY(),"In Progress — ends "&amp;TEXT(endDate,"mmm d, yyyy"),"Ready to Finalize"))),IF($F28="","No Highlighted Fields","Highlighted Fields Present"))))</f>
        <v/>
      </c>
      <c r="F28" s="23" t="str">
        <f t="array" ref="F28">IF($H28="","",IF(OR(NOT(_xlfn.ISFORMULA(INDEX('Game Records'!$N:$N,$H28))),NOT(_xlfn.ISFORMULA(INDEX('Game Records'!$O:$O,$H28))),NOT(_xlfn.ISFORMULA(INDEX('Game Records'!$P:$P,$H28))),NOT(_xlfn.ISFORMULA(INDEX('Game Records'!$Q:$Q,$H28))),NOT(_xlfn.ISFORMULA(INDEX('Game Records'!$R:$R,$H28))),NOT(_xlfn.ISFORMULA(INDEX('Game Records'!$S:$S,$H28))),NOT(_xlfn.ISFORMULA(INDEX('Game Records'!$T:$T,$H28))),NOT(_xlfn.ISFORMULA(INDEX('Game Records'!$U:$U,$H28))),NOT(_xlfn.ISFORMULA(INDEX('Game Records'!$V:$V,$H28))),NOT(_xlfn.ISFORMULA(INDEX('Game Records'!$W:$W,$H28))),NOT(_xlfn.ISFORMULA(INDEX('Game Records'!$X:$X,$H28))),NOT(_xlfn.ISFORMULA(INDEX('Game Records'!$Y:$Y,$H28))),NOT(_xlfn.ISFORMULA(INDEX('Game Records'!$Z:$Z,$H28)))),"","")&amp;IF(INDEX('Game Records'!$B:$B,$H28)="","Start Date; ","")&amp;IF(INDEX('Game Records'!$C:$C,$H28)="","End Date; ","")&amp;IF(AND(INDEX('Game Records'!$U:$U,$H28)&lt;&gt;"Subscription",INDEX('Game Records'!$U:$U,$H28)&lt;&gt;"Free Game",INDEX('Game Records'!$U:$U,$H28)&lt;&gt;"Disqualified — Free Game",OR(INDEX('Game Records'!$D:$D,$H28)="",LOWER(INDEX('Game Records'!$D:$D,$H28)&amp;"")="n/a")),"Entry Mode; ","")&amp;IF(AND(INDEX('Game Records'!$U:$U,$H28)&lt;&gt;"Subscription",INDEX('Game Records'!$U:$U,$H28)&lt;&gt;"Free Game",INDEX('Game Records'!$U:$U,$H28)&lt;&gt;"Disqualified — Free Game",OR(INDEX('Game Records'!$E:$E,$H28)="",LOWER(INDEX('Game Records'!$E:$E,$H28)&amp;"")="n/a")),"Game Type; ","")&amp;IF(INDEX('Game Records'!$F:$F,$H28)="","Payment Type; ","")&amp;IF(AND(INDEX('Game Records'!$U:$U,$H28)&lt;&gt;"Subscription",INDEX('Game Records'!$U:$U,$H28)&lt;&gt;"Free Game",INDEX('Game Records'!$U:$U,$H28)&lt;&gt;"Disqualified — Free Game",INDEX('Game Records'!$G:$G,$H28)=""),"Gross Pot; ","")&amp;IF(AND(INDEX('Game Records'!$U:$U,$H28)&lt;&gt;"Free Game",INDEX('Game Records'!$U:$U,$H28)&lt;&gt;"Disqualified — Free Game",INDEX('Game Records'!$H:$H,$H28)=""),"Entry Fee; ","")&amp;IF(AND(INDEX('Game Records'!$U:$U,$H28)&lt;&gt;"Subscription",INDEX('Game Records'!$U:$U,$H28)&lt;&gt;"Free Game",INDEX('Game Records'!$U:$U,$H28)&lt;&gt;"Disqualified — Free Game",INDEX('Game Records'!$I:$I,$H28)=""),"Eligible Players; ","")&amp;IF(AND(INDEX('Game Records'!$U:$U,$H28)&lt;&gt;"Subscription",INDEX('Game Records'!$U:$U,$H28)&lt;&gt;"Free Game",INDEX('Game Records'!$U:$U,$H28)&lt;&gt;"Disqualified — Free Game",INDEX('Game Records'!$J:$J,$H28)=""),"Total Players; ","")&amp;IF(AND(LOWER(INDEX('Game Records'!$D:$D,$H28)&amp;"")="finalized",LOWER(INDEX('Game Records'!$L:$L,$H28)&amp;"")&lt;&gt;"yes",INDEX('Game Records'!$U:$U,$H28)&lt;&gt;"Subscription",INDEX('Game Records'!$U:$U,$H28)&lt;&gt;"Free Game",INDEX('Game Records'!$U:$U,$H28)&lt;&gt;"Disqualified — Free Game",INDEX('Game Records'!$K:$K,$H28)=""),"Final Payout; ","")&amp;IF(AND(LOWER(INDEX('Game Records'!$D:$D,$H28)&amp;"")="finalized",INDEX('Game Records'!$U:$U,$H28)&lt;&gt;"Subscription",INDEX('Game Records'!$U:$U,$H28)&lt;&gt;"Free Game",INDEX('Game Records'!$U:$U,$H28)&lt;&gt;"Disqualified — Free Game",OR(INDEX('Game Records'!$L:$L,$H28)="",LOWER(INDEX('Game Records'!$L:$L,$H28)&amp;"")="n/a")),"Disqualified Status; ",""))</f>
        <v/>
      </c>
      <c r="G28" s="23" t="str">
        <f t="array" ref="G28">IF($H28="","",IFERROR(INDEX('Game Records'!$M:$M,$H28),""))</f>
        <v/>
      </c>
      <c r="H28" s="3"/>
      <c r="I28" s="3"/>
      <c r="J28" s="3"/>
    </row>
    <row r="29" ht="24.0" customHeight="1">
      <c r="A29" s="18" t="str">
        <f t="shared" si="1"/>
        <v/>
      </c>
      <c r="B29" s="18" t="str">
        <f t="shared" si="2"/>
        <v/>
      </c>
      <c r="C29" s="23" t="str">
        <f t="array" ref="C29">IF($H29="","",IFERROR(INDEX('Game Records'!$A:$A,$H29),""))</f>
        <v/>
      </c>
      <c r="D29" s="23" t="str">
        <f t="array" ref="D29">IF($H29="","",IFERROR(INDEX('Game Records'!$U:$U,$H29),""))</f>
        <v/>
      </c>
      <c r="E29" s="23" t="str">
        <f t="array" ref="E29">IF($H29="","",LET(r,$H29,mode,LOWER(INDEX('Game Records'!$D:$D,r)&amp;""),endDate,INDEX('Game Records'!$C:$C,r),IF(mode="estimate",IF(endDate="","Estimate — End Date missing",IF(NOT(ISNUMBER(endDate)),"Estimate — Check End Date",IF(INT(endDate)&gt;=TODAY(),"In Progress — ends "&amp;TEXT(endDate,"mmm d, yyyy"),"Ready to Finalize"))),IF($F29="","No Highlighted Fields","Highlighted Fields Present"))))</f>
        <v/>
      </c>
      <c r="F29" s="23" t="str">
        <f t="array" ref="F29">IF($H29="","",IF(OR(NOT(_xlfn.ISFORMULA(INDEX('Game Records'!$N:$N,$H29))),NOT(_xlfn.ISFORMULA(INDEX('Game Records'!$O:$O,$H29))),NOT(_xlfn.ISFORMULA(INDEX('Game Records'!$P:$P,$H29))),NOT(_xlfn.ISFORMULA(INDEX('Game Records'!$Q:$Q,$H29))),NOT(_xlfn.ISFORMULA(INDEX('Game Records'!$R:$R,$H29))),NOT(_xlfn.ISFORMULA(INDEX('Game Records'!$S:$S,$H29))),NOT(_xlfn.ISFORMULA(INDEX('Game Records'!$T:$T,$H29))),NOT(_xlfn.ISFORMULA(INDEX('Game Records'!$U:$U,$H29))),NOT(_xlfn.ISFORMULA(INDEX('Game Records'!$V:$V,$H29))),NOT(_xlfn.ISFORMULA(INDEX('Game Records'!$W:$W,$H29))),NOT(_xlfn.ISFORMULA(INDEX('Game Records'!$X:$X,$H29))),NOT(_xlfn.ISFORMULA(INDEX('Game Records'!$Y:$Y,$H29))),NOT(_xlfn.ISFORMULA(INDEX('Game Records'!$Z:$Z,$H29)))),"","")&amp;IF(INDEX('Game Records'!$B:$B,$H29)="","Start Date; ","")&amp;IF(INDEX('Game Records'!$C:$C,$H29)="","End Date; ","")&amp;IF(AND(INDEX('Game Records'!$U:$U,$H29)&lt;&gt;"Subscription",INDEX('Game Records'!$U:$U,$H29)&lt;&gt;"Free Game",INDEX('Game Records'!$U:$U,$H29)&lt;&gt;"Disqualified — Free Game",OR(INDEX('Game Records'!$D:$D,$H29)="",LOWER(INDEX('Game Records'!$D:$D,$H29)&amp;"")="n/a")),"Entry Mode; ","")&amp;IF(AND(INDEX('Game Records'!$U:$U,$H29)&lt;&gt;"Subscription",INDEX('Game Records'!$U:$U,$H29)&lt;&gt;"Free Game",INDEX('Game Records'!$U:$U,$H29)&lt;&gt;"Disqualified — Free Game",OR(INDEX('Game Records'!$E:$E,$H29)="",LOWER(INDEX('Game Records'!$E:$E,$H29)&amp;"")="n/a")),"Game Type; ","")&amp;IF(INDEX('Game Records'!$F:$F,$H29)="","Payment Type; ","")&amp;IF(AND(INDEX('Game Records'!$U:$U,$H29)&lt;&gt;"Subscription",INDEX('Game Records'!$U:$U,$H29)&lt;&gt;"Free Game",INDEX('Game Records'!$U:$U,$H29)&lt;&gt;"Disqualified — Free Game",INDEX('Game Records'!$G:$G,$H29)=""),"Gross Pot; ","")&amp;IF(AND(INDEX('Game Records'!$U:$U,$H29)&lt;&gt;"Free Game",INDEX('Game Records'!$U:$U,$H29)&lt;&gt;"Disqualified — Free Game",INDEX('Game Records'!$H:$H,$H29)=""),"Entry Fee; ","")&amp;IF(AND(INDEX('Game Records'!$U:$U,$H29)&lt;&gt;"Subscription",INDEX('Game Records'!$U:$U,$H29)&lt;&gt;"Free Game",INDEX('Game Records'!$U:$U,$H29)&lt;&gt;"Disqualified — Free Game",INDEX('Game Records'!$I:$I,$H29)=""),"Eligible Players; ","")&amp;IF(AND(INDEX('Game Records'!$U:$U,$H29)&lt;&gt;"Subscription",INDEX('Game Records'!$U:$U,$H29)&lt;&gt;"Free Game",INDEX('Game Records'!$U:$U,$H29)&lt;&gt;"Disqualified — Free Game",INDEX('Game Records'!$J:$J,$H29)=""),"Total Players; ","")&amp;IF(AND(LOWER(INDEX('Game Records'!$D:$D,$H29)&amp;"")="finalized",LOWER(INDEX('Game Records'!$L:$L,$H29)&amp;"")&lt;&gt;"yes",INDEX('Game Records'!$U:$U,$H29)&lt;&gt;"Subscription",INDEX('Game Records'!$U:$U,$H29)&lt;&gt;"Free Game",INDEX('Game Records'!$U:$U,$H29)&lt;&gt;"Disqualified — Free Game",INDEX('Game Records'!$K:$K,$H29)=""),"Final Payout; ","")&amp;IF(AND(LOWER(INDEX('Game Records'!$D:$D,$H29)&amp;"")="finalized",INDEX('Game Records'!$U:$U,$H29)&lt;&gt;"Subscription",INDEX('Game Records'!$U:$U,$H29)&lt;&gt;"Free Game",INDEX('Game Records'!$U:$U,$H29)&lt;&gt;"Disqualified — Free Game",OR(INDEX('Game Records'!$L:$L,$H29)="",LOWER(INDEX('Game Records'!$L:$L,$H29)&amp;"")="n/a")),"Disqualified Status; ",""))</f>
        <v/>
      </c>
      <c r="G29" s="23" t="str">
        <f t="array" ref="G29">IF($H29="","",IFERROR(INDEX('Game Records'!$M:$M,$H29),""))</f>
        <v/>
      </c>
      <c r="H29" s="3"/>
      <c r="I29" s="3"/>
      <c r="J29" s="3"/>
    </row>
    <row r="30" ht="24.0" customHeight="1">
      <c r="A30" s="18" t="str">
        <f t="shared" si="1"/>
        <v/>
      </c>
      <c r="B30" s="18" t="str">
        <f t="shared" si="2"/>
        <v/>
      </c>
      <c r="C30" s="23" t="str">
        <f t="array" ref="C30">IF($H30="","",IFERROR(INDEX('Game Records'!$A:$A,$H30),""))</f>
        <v/>
      </c>
      <c r="D30" s="23" t="str">
        <f t="array" ref="D30">IF($H30="","",IFERROR(INDEX('Game Records'!$U:$U,$H30),""))</f>
        <v/>
      </c>
      <c r="E30" s="23" t="str">
        <f t="array" ref="E30">IF($H30="","",LET(r,$H30,mode,LOWER(INDEX('Game Records'!$D:$D,r)&amp;""),endDate,INDEX('Game Records'!$C:$C,r),IF(mode="estimate",IF(endDate="","Estimate — End Date missing",IF(NOT(ISNUMBER(endDate)),"Estimate — Check End Date",IF(INT(endDate)&gt;=TODAY(),"In Progress — ends "&amp;TEXT(endDate,"mmm d, yyyy"),"Ready to Finalize"))),IF($F30="","No Highlighted Fields","Highlighted Fields Present"))))</f>
        <v/>
      </c>
      <c r="F30" s="23" t="str">
        <f t="array" ref="F30">IF($H30="","",IF(OR(NOT(_xlfn.ISFORMULA(INDEX('Game Records'!$N:$N,$H30))),NOT(_xlfn.ISFORMULA(INDEX('Game Records'!$O:$O,$H30))),NOT(_xlfn.ISFORMULA(INDEX('Game Records'!$P:$P,$H30))),NOT(_xlfn.ISFORMULA(INDEX('Game Records'!$Q:$Q,$H30))),NOT(_xlfn.ISFORMULA(INDEX('Game Records'!$R:$R,$H30))),NOT(_xlfn.ISFORMULA(INDEX('Game Records'!$S:$S,$H30))),NOT(_xlfn.ISFORMULA(INDEX('Game Records'!$T:$T,$H30))),NOT(_xlfn.ISFORMULA(INDEX('Game Records'!$U:$U,$H30))),NOT(_xlfn.ISFORMULA(INDEX('Game Records'!$V:$V,$H30))),NOT(_xlfn.ISFORMULA(INDEX('Game Records'!$W:$W,$H30))),NOT(_xlfn.ISFORMULA(INDEX('Game Records'!$X:$X,$H30))),NOT(_xlfn.ISFORMULA(INDEX('Game Records'!$Y:$Y,$H30))),NOT(_xlfn.ISFORMULA(INDEX('Game Records'!$Z:$Z,$H30)))),"","")&amp;IF(INDEX('Game Records'!$B:$B,$H30)="","Start Date; ","")&amp;IF(INDEX('Game Records'!$C:$C,$H30)="","End Date; ","")&amp;IF(AND(INDEX('Game Records'!$U:$U,$H30)&lt;&gt;"Subscription",INDEX('Game Records'!$U:$U,$H30)&lt;&gt;"Free Game",INDEX('Game Records'!$U:$U,$H30)&lt;&gt;"Disqualified — Free Game",OR(INDEX('Game Records'!$D:$D,$H30)="",LOWER(INDEX('Game Records'!$D:$D,$H30)&amp;"")="n/a")),"Entry Mode; ","")&amp;IF(AND(INDEX('Game Records'!$U:$U,$H30)&lt;&gt;"Subscription",INDEX('Game Records'!$U:$U,$H30)&lt;&gt;"Free Game",INDEX('Game Records'!$U:$U,$H30)&lt;&gt;"Disqualified — Free Game",OR(INDEX('Game Records'!$E:$E,$H30)="",LOWER(INDEX('Game Records'!$E:$E,$H30)&amp;"")="n/a")),"Game Type; ","")&amp;IF(INDEX('Game Records'!$F:$F,$H30)="","Payment Type; ","")&amp;IF(AND(INDEX('Game Records'!$U:$U,$H30)&lt;&gt;"Subscription",INDEX('Game Records'!$U:$U,$H30)&lt;&gt;"Free Game",INDEX('Game Records'!$U:$U,$H30)&lt;&gt;"Disqualified — Free Game",INDEX('Game Records'!$G:$G,$H30)=""),"Gross Pot; ","")&amp;IF(AND(INDEX('Game Records'!$U:$U,$H30)&lt;&gt;"Free Game",INDEX('Game Records'!$U:$U,$H30)&lt;&gt;"Disqualified — Free Game",INDEX('Game Records'!$H:$H,$H30)=""),"Entry Fee; ","")&amp;IF(AND(INDEX('Game Records'!$U:$U,$H30)&lt;&gt;"Subscription",INDEX('Game Records'!$U:$U,$H30)&lt;&gt;"Free Game",INDEX('Game Records'!$U:$U,$H30)&lt;&gt;"Disqualified — Free Game",INDEX('Game Records'!$I:$I,$H30)=""),"Eligible Players; ","")&amp;IF(AND(INDEX('Game Records'!$U:$U,$H30)&lt;&gt;"Subscription",INDEX('Game Records'!$U:$U,$H30)&lt;&gt;"Free Game",INDEX('Game Records'!$U:$U,$H30)&lt;&gt;"Disqualified — Free Game",INDEX('Game Records'!$J:$J,$H30)=""),"Total Players; ","")&amp;IF(AND(LOWER(INDEX('Game Records'!$D:$D,$H30)&amp;"")="finalized",LOWER(INDEX('Game Records'!$L:$L,$H30)&amp;"")&lt;&gt;"yes",INDEX('Game Records'!$U:$U,$H30)&lt;&gt;"Subscription",INDEX('Game Records'!$U:$U,$H30)&lt;&gt;"Free Game",INDEX('Game Records'!$U:$U,$H30)&lt;&gt;"Disqualified — Free Game",INDEX('Game Records'!$K:$K,$H30)=""),"Final Payout; ","")&amp;IF(AND(LOWER(INDEX('Game Records'!$D:$D,$H30)&amp;"")="finalized",INDEX('Game Records'!$U:$U,$H30)&lt;&gt;"Subscription",INDEX('Game Records'!$U:$U,$H30)&lt;&gt;"Free Game",INDEX('Game Records'!$U:$U,$H30)&lt;&gt;"Disqualified — Free Game",OR(INDEX('Game Records'!$L:$L,$H30)="",LOWER(INDEX('Game Records'!$L:$L,$H30)&amp;"")="n/a")),"Disqualified Status; ",""))</f>
        <v/>
      </c>
      <c r="G30" s="23" t="str">
        <f t="array" ref="G30">IF($H30="","",IFERROR(INDEX('Game Records'!$M:$M,$H30),""))</f>
        <v/>
      </c>
      <c r="H30" s="3"/>
      <c r="I30" s="3"/>
      <c r="J30" s="3"/>
    </row>
    <row r="31" ht="24.0" customHeight="1">
      <c r="A31" s="18" t="str">
        <f t="shared" si="1"/>
        <v/>
      </c>
      <c r="B31" s="18" t="str">
        <f t="shared" si="2"/>
        <v/>
      </c>
      <c r="C31" s="23" t="str">
        <f t="array" ref="C31">IF($H31="","",IFERROR(INDEX('Game Records'!$A:$A,$H31),""))</f>
        <v/>
      </c>
      <c r="D31" s="23" t="str">
        <f t="array" ref="D31">IF($H31="","",IFERROR(INDEX('Game Records'!$U:$U,$H31),""))</f>
        <v/>
      </c>
      <c r="E31" s="23" t="str">
        <f t="array" ref="E31">IF($H31="","",LET(r,$H31,mode,LOWER(INDEX('Game Records'!$D:$D,r)&amp;""),endDate,INDEX('Game Records'!$C:$C,r),IF(mode="estimate",IF(endDate="","Estimate — End Date missing",IF(NOT(ISNUMBER(endDate)),"Estimate — Check End Date",IF(INT(endDate)&gt;=TODAY(),"In Progress — ends "&amp;TEXT(endDate,"mmm d, yyyy"),"Ready to Finalize"))),IF($F31="","No Highlighted Fields","Highlighted Fields Present"))))</f>
        <v/>
      </c>
      <c r="F31" s="23" t="str">
        <f t="array" ref="F31">IF($H31="","",IF(OR(NOT(_xlfn.ISFORMULA(INDEX('Game Records'!$N:$N,$H31))),NOT(_xlfn.ISFORMULA(INDEX('Game Records'!$O:$O,$H31))),NOT(_xlfn.ISFORMULA(INDEX('Game Records'!$P:$P,$H31))),NOT(_xlfn.ISFORMULA(INDEX('Game Records'!$Q:$Q,$H31))),NOT(_xlfn.ISFORMULA(INDEX('Game Records'!$R:$R,$H31))),NOT(_xlfn.ISFORMULA(INDEX('Game Records'!$S:$S,$H31))),NOT(_xlfn.ISFORMULA(INDEX('Game Records'!$T:$T,$H31))),NOT(_xlfn.ISFORMULA(INDEX('Game Records'!$U:$U,$H31))),NOT(_xlfn.ISFORMULA(INDEX('Game Records'!$V:$V,$H31))),NOT(_xlfn.ISFORMULA(INDEX('Game Records'!$W:$W,$H31))),NOT(_xlfn.ISFORMULA(INDEX('Game Records'!$X:$X,$H31))),NOT(_xlfn.ISFORMULA(INDEX('Game Records'!$Y:$Y,$H31))),NOT(_xlfn.ISFORMULA(INDEX('Game Records'!$Z:$Z,$H31)))),"","")&amp;IF(INDEX('Game Records'!$B:$B,$H31)="","Start Date; ","")&amp;IF(INDEX('Game Records'!$C:$C,$H31)="","End Date; ","")&amp;IF(AND(INDEX('Game Records'!$U:$U,$H31)&lt;&gt;"Subscription",INDEX('Game Records'!$U:$U,$H31)&lt;&gt;"Free Game",INDEX('Game Records'!$U:$U,$H31)&lt;&gt;"Disqualified — Free Game",OR(INDEX('Game Records'!$D:$D,$H31)="",LOWER(INDEX('Game Records'!$D:$D,$H31)&amp;"")="n/a")),"Entry Mode; ","")&amp;IF(AND(INDEX('Game Records'!$U:$U,$H31)&lt;&gt;"Subscription",INDEX('Game Records'!$U:$U,$H31)&lt;&gt;"Free Game",INDEX('Game Records'!$U:$U,$H31)&lt;&gt;"Disqualified — Free Game",OR(INDEX('Game Records'!$E:$E,$H31)="",LOWER(INDEX('Game Records'!$E:$E,$H31)&amp;"")="n/a")),"Game Type; ","")&amp;IF(INDEX('Game Records'!$F:$F,$H31)="","Payment Type; ","")&amp;IF(AND(INDEX('Game Records'!$U:$U,$H31)&lt;&gt;"Subscription",INDEX('Game Records'!$U:$U,$H31)&lt;&gt;"Free Game",INDEX('Game Records'!$U:$U,$H31)&lt;&gt;"Disqualified — Free Game",INDEX('Game Records'!$G:$G,$H31)=""),"Gross Pot; ","")&amp;IF(AND(INDEX('Game Records'!$U:$U,$H31)&lt;&gt;"Free Game",INDEX('Game Records'!$U:$U,$H31)&lt;&gt;"Disqualified — Free Game",INDEX('Game Records'!$H:$H,$H31)=""),"Entry Fee; ","")&amp;IF(AND(INDEX('Game Records'!$U:$U,$H31)&lt;&gt;"Subscription",INDEX('Game Records'!$U:$U,$H31)&lt;&gt;"Free Game",INDEX('Game Records'!$U:$U,$H31)&lt;&gt;"Disqualified — Free Game",INDEX('Game Records'!$I:$I,$H31)=""),"Eligible Players; ","")&amp;IF(AND(INDEX('Game Records'!$U:$U,$H31)&lt;&gt;"Subscription",INDEX('Game Records'!$U:$U,$H31)&lt;&gt;"Free Game",INDEX('Game Records'!$U:$U,$H31)&lt;&gt;"Disqualified — Free Game",INDEX('Game Records'!$J:$J,$H31)=""),"Total Players; ","")&amp;IF(AND(LOWER(INDEX('Game Records'!$D:$D,$H31)&amp;"")="finalized",LOWER(INDEX('Game Records'!$L:$L,$H31)&amp;"")&lt;&gt;"yes",INDEX('Game Records'!$U:$U,$H31)&lt;&gt;"Subscription",INDEX('Game Records'!$U:$U,$H31)&lt;&gt;"Free Game",INDEX('Game Records'!$U:$U,$H31)&lt;&gt;"Disqualified — Free Game",INDEX('Game Records'!$K:$K,$H31)=""),"Final Payout; ","")&amp;IF(AND(LOWER(INDEX('Game Records'!$D:$D,$H31)&amp;"")="finalized",INDEX('Game Records'!$U:$U,$H31)&lt;&gt;"Subscription",INDEX('Game Records'!$U:$U,$H31)&lt;&gt;"Free Game",INDEX('Game Records'!$U:$U,$H31)&lt;&gt;"Disqualified — Free Game",OR(INDEX('Game Records'!$L:$L,$H31)="",LOWER(INDEX('Game Records'!$L:$L,$H31)&amp;"")="n/a")),"Disqualified Status; ",""))</f>
        <v/>
      </c>
      <c r="G31" s="23" t="str">
        <f t="array" ref="G31">IF($H31="","",IFERROR(INDEX('Game Records'!$M:$M,$H31),""))</f>
        <v/>
      </c>
      <c r="H31" s="3"/>
      <c r="I31" s="3"/>
      <c r="J31" s="3"/>
    </row>
    <row r="32" ht="24.0" customHeight="1">
      <c r="A32" s="18" t="str">
        <f t="shared" si="1"/>
        <v/>
      </c>
      <c r="B32" s="18" t="str">
        <f t="shared" si="2"/>
        <v/>
      </c>
      <c r="C32" s="23" t="str">
        <f t="array" ref="C32">IF($H32="","",IFERROR(INDEX('Game Records'!$A:$A,$H32),""))</f>
        <v/>
      </c>
      <c r="D32" s="23" t="str">
        <f t="array" ref="D32">IF($H32="","",IFERROR(INDEX('Game Records'!$U:$U,$H32),""))</f>
        <v/>
      </c>
      <c r="E32" s="23" t="str">
        <f t="array" ref="E32">IF($H32="","",LET(r,$H32,mode,LOWER(INDEX('Game Records'!$D:$D,r)&amp;""),endDate,INDEX('Game Records'!$C:$C,r),IF(mode="estimate",IF(endDate="","Estimate — End Date missing",IF(NOT(ISNUMBER(endDate)),"Estimate — Check End Date",IF(INT(endDate)&gt;=TODAY(),"In Progress — ends "&amp;TEXT(endDate,"mmm d, yyyy"),"Ready to Finalize"))),IF($F32="","No Highlighted Fields","Highlighted Fields Present"))))</f>
        <v/>
      </c>
      <c r="F32" s="23" t="str">
        <f t="array" ref="F32">IF($H32="","",IF(OR(NOT(_xlfn.ISFORMULA(INDEX('Game Records'!$N:$N,$H32))),NOT(_xlfn.ISFORMULA(INDEX('Game Records'!$O:$O,$H32))),NOT(_xlfn.ISFORMULA(INDEX('Game Records'!$P:$P,$H32))),NOT(_xlfn.ISFORMULA(INDEX('Game Records'!$Q:$Q,$H32))),NOT(_xlfn.ISFORMULA(INDEX('Game Records'!$R:$R,$H32))),NOT(_xlfn.ISFORMULA(INDEX('Game Records'!$S:$S,$H32))),NOT(_xlfn.ISFORMULA(INDEX('Game Records'!$T:$T,$H32))),NOT(_xlfn.ISFORMULA(INDEX('Game Records'!$U:$U,$H32))),NOT(_xlfn.ISFORMULA(INDEX('Game Records'!$V:$V,$H32))),NOT(_xlfn.ISFORMULA(INDEX('Game Records'!$W:$W,$H32))),NOT(_xlfn.ISFORMULA(INDEX('Game Records'!$X:$X,$H32))),NOT(_xlfn.ISFORMULA(INDEX('Game Records'!$Y:$Y,$H32))),NOT(_xlfn.ISFORMULA(INDEX('Game Records'!$Z:$Z,$H32)))),"","")&amp;IF(INDEX('Game Records'!$B:$B,$H32)="","Start Date; ","")&amp;IF(INDEX('Game Records'!$C:$C,$H32)="","End Date; ","")&amp;IF(AND(INDEX('Game Records'!$U:$U,$H32)&lt;&gt;"Subscription",INDEX('Game Records'!$U:$U,$H32)&lt;&gt;"Free Game",INDEX('Game Records'!$U:$U,$H32)&lt;&gt;"Disqualified — Free Game",OR(INDEX('Game Records'!$D:$D,$H32)="",LOWER(INDEX('Game Records'!$D:$D,$H32)&amp;"")="n/a")),"Entry Mode; ","")&amp;IF(AND(INDEX('Game Records'!$U:$U,$H32)&lt;&gt;"Subscription",INDEX('Game Records'!$U:$U,$H32)&lt;&gt;"Free Game",INDEX('Game Records'!$U:$U,$H32)&lt;&gt;"Disqualified — Free Game",OR(INDEX('Game Records'!$E:$E,$H32)="",LOWER(INDEX('Game Records'!$E:$E,$H32)&amp;"")="n/a")),"Game Type; ","")&amp;IF(INDEX('Game Records'!$F:$F,$H32)="","Payment Type; ","")&amp;IF(AND(INDEX('Game Records'!$U:$U,$H32)&lt;&gt;"Subscription",INDEX('Game Records'!$U:$U,$H32)&lt;&gt;"Free Game",INDEX('Game Records'!$U:$U,$H32)&lt;&gt;"Disqualified — Free Game",INDEX('Game Records'!$G:$G,$H32)=""),"Gross Pot; ","")&amp;IF(AND(INDEX('Game Records'!$U:$U,$H32)&lt;&gt;"Free Game",INDEX('Game Records'!$U:$U,$H32)&lt;&gt;"Disqualified — Free Game",INDEX('Game Records'!$H:$H,$H32)=""),"Entry Fee; ","")&amp;IF(AND(INDEX('Game Records'!$U:$U,$H32)&lt;&gt;"Subscription",INDEX('Game Records'!$U:$U,$H32)&lt;&gt;"Free Game",INDEX('Game Records'!$U:$U,$H32)&lt;&gt;"Disqualified — Free Game",INDEX('Game Records'!$I:$I,$H32)=""),"Eligible Players; ","")&amp;IF(AND(INDEX('Game Records'!$U:$U,$H32)&lt;&gt;"Subscription",INDEX('Game Records'!$U:$U,$H32)&lt;&gt;"Free Game",INDEX('Game Records'!$U:$U,$H32)&lt;&gt;"Disqualified — Free Game",INDEX('Game Records'!$J:$J,$H32)=""),"Total Players; ","")&amp;IF(AND(LOWER(INDEX('Game Records'!$D:$D,$H32)&amp;"")="finalized",LOWER(INDEX('Game Records'!$L:$L,$H32)&amp;"")&lt;&gt;"yes",INDEX('Game Records'!$U:$U,$H32)&lt;&gt;"Subscription",INDEX('Game Records'!$U:$U,$H32)&lt;&gt;"Free Game",INDEX('Game Records'!$U:$U,$H32)&lt;&gt;"Disqualified — Free Game",INDEX('Game Records'!$K:$K,$H32)=""),"Final Payout; ","")&amp;IF(AND(LOWER(INDEX('Game Records'!$D:$D,$H32)&amp;"")="finalized",INDEX('Game Records'!$U:$U,$H32)&lt;&gt;"Subscription",INDEX('Game Records'!$U:$U,$H32)&lt;&gt;"Free Game",INDEX('Game Records'!$U:$U,$H32)&lt;&gt;"Disqualified — Free Game",OR(INDEX('Game Records'!$L:$L,$H32)="",LOWER(INDEX('Game Records'!$L:$L,$H32)&amp;"")="n/a")),"Disqualified Status; ",""))</f>
        <v/>
      </c>
      <c r="G32" s="23" t="str">
        <f t="array" ref="G32">IF($H32="","",IFERROR(INDEX('Game Records'!$M:$M,$H32),""))</f>
        <v/>
      </c>
      <c r="H32" s="3"/>
      <c r="I32" s="3"/>
      <c r="J32" s="3"/>
    </row>
    <row r="33" ht="24.0" customHeight="1">
      <c r="A33" s="18" t="str">
        <f t="shared" si="1"/>
        <v/>
      </c>
      <c r="B33" s="18" t="str">
        <f t="shared" si="2"/>
        <v/>
      </c>
      <c r="C33" s="23" t="str">
        <f t="array" ref="C33">IF($H33="","",IFERROR(INDEX('Game Records'!$A:$A,$H33),""))</f>
        <v/>
      </c>
      <c r="D33" s="23" t="str">
        <f t="array" ref="D33">IF($H33="","",IFERROR(INDEX('Game Records'!$U:$U,$H33),""))</f>
        <v/>
      </c>
      <c r="E33" s="23" t="str">
        <f t="array" ref="E33">IF($H33="","",LET(r,$H33,mode,LOWER(INDEX('Game Records'!$D:$D,r)&amp;""),endDate,INDEX('Game Records'!$C:$C,r),IF(mode="estimate",IF(endDate="","Estimate — End Date missing",IF(NOT(ISNUMBER(endDate)),"Estimate — Check End Date",IF(INT(endDate)&gt;=TODAY(),"In Progress — ends "&amp;TEXT(endDate,"mmm d, yyyy"),"Ready to Finalize"))),IF($F33="","No Highlighted Fields","Highlighted Fields Present"))))</f>
        <v/>
      </c>
      <c r="F33" s="23" t="str">
        <f t="array" ref="F33">IF($H33="","",IF(OR(NOT(_xlfn.ISFORMULA(INDEX('Game Records'!$N:$N,$H33))),NOT(_xlfn.ISFORMULA(INDEX('Game Records'!$O:$O,$H33))),NOT(_xlfn.ISFORMULA(INDEX('Game Records'!$P:$P,$H33))),NOT(_xlfn.ISFORMULA(INDEX('Game Records'!$Q:$Q,$H33))),NOT(_xlfn.ISFORMULA(INDEX('Game Records'!$R:$R,$H33))),NOT(_xlfn.ISFORMULA(INDEX('Game Records'!$S:$S,$H33))),NOT(_xlfn.ISFORMULA(INDEX('Game Records'!$T:$T,$H33))),NOT(_xlfn.ISFORMULA(INDEX('Game Records'!$U:$U,$H33))),NOT(_xlfn.ISFORMULA(INDEX('Game Records'!$V:$V,$H33))),NOT(_xlfn.ISFORMULA(INDEX('Game Records'!$W:$W,$H33))),NOT(_xlfn.ISFORMULA(INDEX('Game Records'!$X:$X,$H33))),NOT(_xlfn.ISFORMULA(INDEX('Game Records'!$Y:$Y,$H33))),NOT(_xlfn.ISFORMULA(INDEX('Game Records'!$Z:$Z,$H33)))),"","")&amp;IF(INDEX('Game Records'!$B:$B,$H33)="","Start Date; ","")&amp;IF(INDEX('Game Records'!$C:$C,$H33)="","End Date; ","")&amp;IF(AND(INDEX('Game Records'!$U:$U,$H33)&lt;&gt;"Subscription",INDEX('Game Records'!$U:$U,$H33)&lt;&gt;"Free Game",INDEX('Game Records'!$U:$U,$H33)&lt;&gt;"Disqualified — Free Game",OR(INDEX('Game Records'!$D:$D,$H33)="",LOWER(INDEX('Game Records'!$D:$D,$H33)&amp;"")="n/a")),"Entry Mode; ","")&amp;IF(AND(INDEX('Game Records'!$U:$U,$H33)&lt;&gt;"Subscription",INDEX('Game Records'!$U:$U,$H33)&lt;&gt;"Free Game",INDEX('Game Records'!$U:$U,$H33)&lt;&gt;"Disqualified — Free Game",OR(INDEX('Game Records'!$E:$E,$H33)="",LOWER(INDEX('Game Records'!$E:$E,$H33)&amp;"")="n/a")),"Game Type; ","")&amp;IF(INDEX('Game Records'!$F:$F,$H33)="","Payment Type; ","")&amp;IF(AND(INDEX('Game Records'!$U:$U,$H33)&lt;&gt;"Subscription",INDEX('Game Records'!$U:$U,$H33)&lt;&gt;"Free Game",INDEX('Game Records'!$U:$U,$H33)&lt;&gt;"Disqualified — Free Game",INDEX('Game Records'!$G:$G,$H33)=""),"Gross Pot; ","")&amp;IF(AND(INDEX('Game Records'!$U:$U,$H33)&lt;&gt;"Free Game",INDEX('Game Records'!$U:$U,$H33)&lt;&gt;"Disqualified — Free Game",INDEX('Game Records'!$H:$H,$H33)=""),"Entry Fee; ","")&amp;IF(AND(INDEX('Game Records'!$U:$U,$H33)&lt;&gt;"Subscription",INDEX('Game Records'!$U:$U,$H33)&lt;&gt;"Free Game",INDEX('Game Records'!$U:$U,$H33)&lt;&gt;"Disqualified — Free Game",INDEX('Game Records'!$I:$I,$H33)=""),"Eligible Players; ","")&amp;IF(AND(INDEX('Game Records'!$U:$U,$H33)&lt;&gt;"Subscription",INDEX('Game Records'!$U:$U,$H33)&lt;&gt;"Free Game",INDEX('Game Records'!$U:$U,$H33)&lt;&gt;"Disqualified — Free Game",INDEX('Game Records'!$J:$J,$H33)=""),"Total Players; ","")&amp;IF(AND(LOWER(INDEX('Game Records'!$D:$D,$H33)&amp;"")="finalized",LOWER(INDEX('Game Records'!$L:$L,$H33)&amp;"")&lt;&gt;"yes",INDEX('Game Records'!$U:$U,$H33)&lt;&gt;"Subscription",INDEX('Game Records'!$U:$U,$H33)&lt;&gt;"Free Game",INDEX('Game Records'!$U:$U,$H33)&lt;&gt;"Disqualified — Free Game",INDEX('Game Records'!$K:$K,$H33)=""),"Final Payout; ","")&amp;IF(AND(LOWER(INDEX('Game Records'!$D:$D,$H33)&amp;"")="finalized",INDEX('Game Records'!$U:$U,$H33)&lt;&gt;"Subscription",INDEX('Game Records'!$U:$U,$H33)&lt;&gt;"Free Game",INDEX('Game Records'!$U:$U,$H33)&lt;&gt;"Disqualified — Free Game",OR(INDEX('Game Records'!$L:$L,$H33)="",LOWER(INDEX('Game Records'!$L:$L,$H33)&amp;"")="n/a")),"Disqualified Status; ",""))</f>
        <v/>
      </c>
      <c r="G33" s="23" t="str">
        <f t="array" ref="G33">IF($H33="","",IFERROR(INDEX('Game Records'!$M:$M,$H33),""))</f>
        <v/>
      </c>
      <c r="H33" s="3"/>
      <c r="I33" s="3"/>
      <c r="J33" s="3"/>
    </row>
    <row r="34" ht="24.0" customHeight="1">
      <c r="A34" s="18" t="str">
        <f t="shared" si="1"/>
        <v/>
      </c>
      <c r="B34" s="18" t="str">
        <f t="shared" si="2"/>
        <v/>
      </c>
      <c r="C34" s="23" t="str">
        <f t="array" ref="C34">IF($H34="","",IFERROR(INDEX('Game Records'!$A:$A,$H34),""))</f>
        <v/>
      </c>
      <c r="D34" s="23" t="str">
        <f t="array" ref="D34">IF($H34="","",IFERROR(INDEX('Game Records'!$U:$U,$H34),""))</f>
        <v/>
      </c>
      <c r="E34" s="23" t="str">
        <f t="array" ref="E34">IF($H34="","",LET(r,$H34,mode,LOWER(INDEX('Game Records'!$D:$D,r)&amp;""),endDate,INDEX('Game Records'!$C:$C,r),IF(mode="estimate",IF(endDate="","Estimate — End Date missing",IF(NOT(ISNUMBER(endDate)),"Estimate — Check End Date",IF(INT(endDate)&gt;=TODAY(),"In Progress — ends "&amp;TEXT(endDate,"mmm d, yyyy"),"Ready to Finalize"))),IF($F34="","No Highlighted Fields","Highlighted Fields Present"))))</f>
        <v/>
      </c>
      <c r="F34" s="23" t="str">
        <f t="array" ref="F34">IF($H34="","",IF(OR(NOT(_xlfn.ISFORMULA(INDEX('Game Records'!$N:$N,$H34))),NOT(_xlfn.ISFORMULA(INDEX('Game Records'!$O:$O,$H34))),NOT(_xlfn.ISFORMULA(INDEX('Game Records'!$P:$P,$H34))),NOT(_xlfn.ISFORMULA(INDEX('Game Records'!$Q:$Q,$H34))),NOT(_xlfn.ISFORMULA(INDEX('Game Records'!$R:$R,$H34))),NOT(_xlfn.ISFORMULA(INDEX('Game Records'!$S:$S,$H34))),NOT(_xlfn.ISFORMULA(INDEX('Game Records'!$T:$T,$H34))),NOT(_xlfn.ISFORMULA(INDEX('Game Records'!$U:$U,$H34))),NOT(_xlfn.ISFORMULA(INDEX('Game Records'!$V:$V,$H34))),NOT(_xlfn.ISFORMULA(INDEX('Game Records'!$W:$W,$H34))),NOT(_xlfn.ISFORMULA(INDEX('Game Records'!$X:$X,$H34))),NOT(_xlfn.ISFORMULA(INDEX('Game Records'!$Y:$Y,$H34))),NOT(_xlfn.ISFORMULA(INDEX('Game Records'!$Z:$Z,$H34)))),"","")&amp;IF(INDEX('Game Records'!$B:$B,$H34)="","Start Date; ","")&amp;IF(INDEX('Game Records'!$C:$C,$H34)="","End Date; ","")&amp;IF(AND(INDEX('Game Records'!$U:$U,$H34)&lt;&gt;"Subscription",INDEX('Game Records'!$U:$U,$H34)&lt;&gt;"Free Game",INDEX('Game Records'!$U:$U,$H34)&lt;&gt;"Disqualified — Free Game",OR(INDEX('Game Records'!$D:$D,$H34)="",LOWER(INDEX('Game Records'!$D:$D,$H34)&amp;"")="n/a")),"Entry Mode; ","")&amp;IF(AND(INDEX('Game Records'!$U:$U,$H34)&lt;&gt;"Subscription",INDEX('Game Records'!$U:$U,$H34)&lt;&gt;"Free Game",INDEX('Game Records'!$U:$U,$H34)&lt;&gt;"Disqualified — Free Game",OR(INDEX('Game Records'!$E:$E,$H34)="",LOWER(INDEX('Game Records'!$E:$E,$H34)&amp;"")="n/a")),"Game Type; ","")&amp;IF(INDEX('Game Records'!$F:$F,$H34)="","Payment Type; ","")&amp;IF(AND(INDEX('Game Records'!$U:$U,$H34)&lt;&gt;"Subscription",INDEX('Game Records'!$U:$U,$H34)&lt;&gt;"Free Game",INDEX('Game Records'!$U:$U,$H34)&lt;&gt;"Disqualified — Free Game",INDEX('Game Records'!$G:$G,$H34)=""),"Gross Pot; ","")&amp;IF(AND(INDEX('Game Records'!$U:$U,$H34)&lt;&gt;"Free Game",INDEX('Game Records'!$U:$U,$H34)&lt;&gt;"Disqualified — Free Game",INDEX('Game Records'!$H:$H,$H34)=""),"Entry Fee; ","")&amp;IF(AND(INDEX('Game Records'!$U:$U,$H34)&lt;&gt;"Subscription",INDEX('Game Records'!$U:$U,$H34)&lt;&gt;"Free Game",INDEX('Game Records'!$U:$U,$H34)&lt;&gt;"Disqualified — Free Game",INDEX('Game Records'!$I:$I,$H34)=""),"Eligible Players; ","")&amp;IF(AND(INDEX('Game Records'!$U:$U,$H34)&lt;&gt;"Subscription",INDEX('Game Records'!$U:$U,$H34)&lt;&gt;"Free Game",INDEX('Game Records'!$U:$U,$H34)&lt;&gt;"Disqualified — Free Game",INDEX('Game Records'!$J:$J,$H34)=""),"Total Players; ","")&amp;IF(AND(LOWER(INDEX('Game Records'!$D:$D,$H34)&amp;"")="finalized",LOWER(INDEX('Game Records'!$L:$L,$H34)&amp;"")&lt;&gt;"yes",INDEX('Game Records'!$U:$U,$H34)&lt;&gt;"Subscription",INDEX('Game Records'!$U:$U,$H34)&lt;&gt;"Free Game",INDEX('Game Records'!$U:$U,$H34)&lt;&gt;"Disqualified — Free Game",INDEX('Game Records'!$K:$K,$H34)=""),"Final Payout; ","")&amp;IF(AND(LOWER(INDEX('Game Records'!$D:$D,$H34)&amp;"")="finalized",INDEX('Game Records'!$U:$U,$H34)&lt;&gt;"Subscription",INDEX('Game Records'!$U:$U,$H34)&lt;&gt;"Free Game",INDEX('Game Records'!$U:$U,$H34)&lt;&gt;"Disqualified — Free Game",OR(INDEX('Game Records'!$L:$L,$H34)="",LOWER(INDEX('Game Records'!$L:$L,$H34)&amp;"")="n/a")),"Disqualified Status; ",""))</f>
        <v/>
      </c>
      <c r="G34" s="23" t="str">
        <f t="array" ref="G34">IF($H34="","",IFERROR(INDEX('Game Records'!$M:$M,$H34),""))</f>
        <v/>
      </c>
      <c r="H34" s="3"/>
      <c r="I34" s="3"/>
      <c r="J34" s="3"/>
    </row>
    <row r="35" ht="24.0" customHeight="1">
      <c r="A35" s="18" t="str">
        <f t="shared" si="1"/>
        <v/>
      </c>
      <c r="B35" s="18" t="str">
        <f t="shared" si="2"/>
        <v/>
      </c>
      <c r="C35" s="23" t="str">
        <f t="array" ref="C35">IF($H35="","",IFERROR(INDEX('Game Records'!$A:$A,$H35),""))</f>
        <v/>
      </c>
      <c r="D35" s="23" t="str">
        <f t="array" ref="D35">IF($H35="","",IFERROR(INDEX('Game Records'!$U:$U,$H35),""))</f>
        <v/>
      </c>
      <c r="E35" s="23" t="str">
        <f t="array" ref="E35">IF($H35="","",LET(r,$H35,mode,LOWER(INDEX('Game Records'!$D:$D,r)&amp;""),endDate,INDEX('Game Records'!$C:$C,r),IF(mode="estimate",IF(endDate="","Estimate — End Date missing",IF(NOT(ISNUMBER(endDate)),"Estimate — Check End Date",IF(INT(endDate)&gt;=TODAY(),"In Progress — ends "&amp;TEXT(endDate,"mmm d, yyyy"),"Ready to Finalize"))),IF($F35="","No Highlighted Fields","Highlighted Fields Present"))))</f>
        <v/>
      </c>
      <c r="F35" s="23" t="str">
        <f t="array" ref="F35">IF($H35="","",IF(OR(NOT(_xlfn.ISFORMULA(INDEX('Game Records'!$N:$N,$H35))),NOT(_xlfn.ISFORMULA(INDEX('Game Records'!$O:$O,$H35))),NOT(_xlfn.ISFORMULA(INDEX('Game Records'!$P:$P,$H35))),NOT(_xlfn.ISFORMULA(INDEX('Game Records'!$Q:$Q,$H35))),NOT(_xlfn.ISFORMULA(INDEX('Game Records'!$R:$R,$H35))),NOT(_xlfn.ISFORMULA(INDEX('Game Records'!$S:$S,$H35))),NOT(_xlfn.ISFORMULA(INDEX('Game Records'!$T:$T,$H35))),NOT(_xlfn.ISFORMULA(INDEX('Game Records'!$U:$U,$H35))),NOT(_xlfn.ISFORMULA(INDEX('Game Records'!$V:$V,$H35))),NOT(_xlfn.ISFORMULA(INDEX('Game Records'!$W:$W,$H35))),NOT(_xlfn.ISFORMULA(INDEX('Game Records'!$X:$X,$H35))),NOT(_xlfn.ISFORMULA(INDEX('Game Records'!$Y:$Y,$H35))),NOT(_xlfn.ISFORMULA(INDEX('Game Records'!$Z:$Z,$H35)))),"","")&amp;IF(INDEX('Game Records'!$B:$B,$H35)="","Start Date; ","")&amp;IF(INDEX('Game Records'!$C:$C,$H35)="","End Date; ","")&amp;IF(AND(INDEX('Game Records'!$U:$U,$H35)&lt;&gt;"Subscription",INDEX('Game Records'!$U:$U,$H35)&lt;&gt;"Free Game",INDEX('Game Records'!$U:$U,$H35)&lt;&gt;"Disqualified — Free Game",OR(INDEX('Game Records'!$D:$D,$H35)="",LOWER(INDEX('Game Records'!$D:$D,$H35)&amp;"")="n/a")),"Entry Mode; ","")&amp;IF(AND(INDEX('Game Records'!$U:$U,$H35)&lt;&gt;"Subscription",INDEX('Game Records'!$U:$U,$H35)&lt;&gt;"Free Game",INDEX('Game Records'!$U:$U,$H35)&lt;&gt;"Disqualified — Free Game",OR(INDEX('Game Records'!$E:$E,$H35)="",LOWER(INDEX('Game Records'!$E:$E,$H35)&amp;"")="n/a")),"Game Type; ","")&amp;IF(INDEX('Game Records'!$F:$F,$H35)="","Payment Type; ","")&amp;IF(AND(INDEX('Game Records'!$U:$U,$H35)&lt;&gt;"Subscription",INDEX('Game Records'!$U:$U,$H35)&lt;&gt;"Free Game",INDEX('Game Records'!$U:$U,$H35)&lt;&gt;"Disqualified — Free Game",INDEX('Game Records'!$G:$G,$H35)=""),"Gross Pot; ","")&amp;IF(AND(INDEX('Game Records'!$U:$U,$H35)&lt;&gt;"Free Game",INDEX('Game Records'!$U:$U,$H35)&lt;&gt;"Disqualified — Free Game",INDEX('Game Records'!$H:$H,$H35)=""),"Entry Fee; ","")&amp;IF(AND(INDEX('Game Records'!$U:$U,$H35)&lt;&gt;"Subscription",INDEX('Game Records'!$U:$U,$H35)&lt;&gt;"Free Game",INDEX('Game Records'!$U:$U,$H35)&lt;&gt;"Disqualified — Free Game",INDEX('Game Records'!$I:$I,$H35)=""),"Eligible Players; ","")&amp;IF(AND(INDEX('Game Records'!$U:$U,$H35)&lt;&gt;"Subscription",INDEX('Game Records'!$U:$U,$H35)&lt;&gt;"Free Game",INDEX('Game Records'!$U:$U,$H35)&lt;&gt;"Disqualified — Free Game",INDEX('Game Records'!$J:$J,$H35)=""),"Total Players; ","")&amp;IF(AND(LOWER(INDEX('Game Records'!$D:$D,$H35)&amp;"")="finalized",LOWER(INDEX('Game Records'!$L:$L,$H35)&amp;"")&lt;&gt;"yes",INDEX('Game Records'!$U:$U,$H35)&lt;&gt;"Subscription",INDEX('Game Records'!$U:$U,$H35)&lt;&gt;"Free Game",INDEX('Game Records'!$U:$U,$H35)&lt;&gt;"Disqualified — Free Game",INDEX('Game Records'!$K:$K,$H35)=""),"Final Payout; ","")&amp;IF(AND(LOWER(INDEX('Game Records'!$D:$D,$H35)&amp;"")="finalized",INDEX('Game Records'!$U:$U,$H35)&lt;&gt;"Subscription",INDEX('Game Records'!$U:$U,$H35)&lt;&gt;"Free Game",INDEX('Game Records'!$U:$U,$H35)&lt;&gt;"Disqualified — Free Game",OR(INDEX('Game Records'!$L:$L,$H35)="",LOWER(INDEX('Game Records'!$L:$L,$H35)&amp;"")="n/a")),"Disqualified Status; ",""))</f>
        <v/>
      </c>
      <c r="G35" s="23" t="str">
        <f t="array" ref="G35">IF($H35="","",IFERROR(INDEX('Game Records'!$M:$M,$H35),""))</f>
        <v/>
      </c>
      <c r="H35" s="3"/>
      <c r="I35" s="3"/>
      <c r="J35" s="3"/>
    </row>
    <row r="36" ht="24.0" customHeight="1">
      <c r="A36" s="18" t="str">
        <f t="shared" si="1"/>
        <v/>
      </c>
      <c r="B36" s="18" t="str">
        <f t="shared" si="2"/>
        <v/>
      </c>
      <c r="C36" s="23" t="str">
        <f t="array" ref="C36">IF($H36="","",IFERROR(INDEX('Game Records'!$A:$A,$H36),""))</f>
        <v/>
      </c>
      <c r="D36" s="23" t="str">
        <f t="array" ref="D36">IF($H36="","",IFERROR(INDEX('Game Records'!$U:$U,$H36),""))</f>
        <v/>
      </c>
      <c r="E36" s="23" t="str">
        <f t="array" ref="E36">IF($H36="","",LET(r,$H36,mode,LOWER(INDEX('Game Records'!$D:$D,r)&amp;""),endDate,INDEX('Game Records'!$C:$C,r),IF(mode="estimate",IF(endDate="","Estimate — End Date missing",IF(NOT(ISNUMBER(endDate)),"Estimate — Check End Date",IF(INT(endDate)&gt;=TODAY(),"In Progress — ends "&amp;TEXT(endDate,"mmm d, yyyy"),"Ready to Finalize"))),IF($F36="","No Highlighted Fields","Highlighted Fields Present"))))</f>
        <v/>
      </c>
      <c r="F36" s="23" t="str">
        <f t="array" ref="F36">IF($H36="","",IF(OR(NOT(_xlfn.ISFORMULA(INDEX('Game Records'!$N:$N,$H36))),NOT(_xlfn.ISFORMULA(INDEX('Game Records'!$O:$O,$H36))),NOT(_xlfn.ISFORMULA(INDEX('Game Records'!$P:$P,$H36))),NOT(_xlfn.ISFORMULA(INDEX('Game Records'!$Q:$Q,$H36))),NOT(_xlfn.ISFORMULA(INDEX('Game Records'!$R:$R,$H36))),NOT(_xlfn.ISFORMULA(INDEX('Game Records'!$S:$S,$H36))),NOT(_xlfn.ISFORMULA(INDEX('Game Records'!$T:$T,$H36))),NOT(_xlfn.ISFORMULA(INDEX('Game Records'!$U:$U,$H36))),NOT(_xlfn.ISFORMULA(INDEX('Game Records'!$V:$V,$H36))),NOT(_xlfn.ISFORMULA(INDEX('Game Records'!$W:$W,$H36))),NOT(_xlfn.ISFORMULA(INDEX('Game Records'!$X:$X,$H36))),NOT(_xlfn.ISFORMULA(INDEX('Game Records'!$Y:$Y,$H36))),NOT(_xlfn.ISFORMULA(INDEX('Game Records'!$Z:$Z,$H36)))),"","")&amp;IF(INDEX('Game Records'!$B:$B,$H36)="","Start Date; ","")&amp;IF(INDEX('Game Records'!$C:$C,$H36)="","End Date; ","")&amp;IF(AND(INDEX('Game Records'!$U:$U,$H36)&lt;&gt;"Subscription",INDEX('Game Records'!$U:$U,$H36)&lt;&gt;"Free Game",INDEX('Game Records'!$U:$U,$H36)&lt;&gt;"Disqualified — Free Game",OR(INDEX('Game Records'!$D:$D,$H36)="",LOWER(INDEX('Game Records'!$D:$D,$H36)&amp;"")="n/a")),"Entry Mode; ","")&amp;IF(AND(INDEX('Game Records'!$U:$U,$H36)&lt;&gt;"Subscription",INDEX('Game Records'!$U:$U,$H36)&lt;&gt;"Free Game",INDEX('Game Records'!$U:$U,$H36)&lt;&gt;"Disqualified — Free Game",OR(INDEX('Game Records'!$E:$E,$H36)="",LOWER(INDEX('Game Records'!$E:$E,$H36)&amp;"")="n/a")),"Game Type; ","")&amp;IF(INDEX('Game Records'!$F:$F,$H36)="","Payment Type; ","")&amp;IF(AND(INDEX('Game Records'!$U:$U,$H36)&lt;&gt;"Subscription",INDEX('Game Records'!$U:$U,$H36)&lt;&gt;"Free Game",INDEX('Game Records'!$U:$U,$H36)&lt;&gt;"Disqualified — Free Game",INDEX('Game Records'!$G:$G,$H36)=""),"Gross Pot; ","")&amp;IF(AND(INDEX('Game Records'!$U:$U,$H36)&lt;&gt;"Free Game",INDEX('Game Records'!$U:$U,$H36)&lt;&gt;"Disqualified — Free Game",INDEX('Game Records'!$H:$H,$H36)=""),"Entry Fee; ","")&amp;IF(AND(INDEX('Game Records'!$U:$U,$H36)&lt;&gt;"Subscription",INDEX('Game Records'!$U:$U,$H36)&lt;&gt;"Free Game",INDEX('Game Records'!$U:$U,$H36)&lt;&gt;"Disqualified — Free Game",INDEX('Game Records'!$I:$I,$H36)=""),"Eligible Players; ","")&amp;IF(AND(INDEX('Game Records'!$U:$U,$H36)&lt;&gt;"Subscription",INDEX('Game Records'!$U:$U,$H36)&lt;&gt;"Free Game",INDEX('Game Records'!$U:$U,$H36)&lt;&gt;"Disqualified — Free Game",INDEX('Game Records'!$J:$J,$H36)=""),"Total Players; ","")&amp;IF(AND(LOWER(INDEX('Game Records'!$D:$D,$H36)&amp;"")="finalized",LOWER(INDEX('Game Records'!$L:$L,$H36)&amp;"")&lt;&gt;"yes",INDEX('Game Records'!$U:$U,$H36)&lt;&gt;"Subscription",INDEX('Game Records'!$U:$U,$H36)&lt;&gt;"Free Game",INDEX('Game Records'!$U:$U,$H36)&lt;&gt;"Disqualified — Free Game",INDEX('Game Records'!$K:$K,$H36)=""),"Final Payout; ","")&amp;IF(AND(LOWER(INDEX('Game Records'!$D:$D,$H36)&amp;"")="finalized",INDEX('Game Records'!$U:$U,$H36)&lt;&gt;"Subscription",INDEX('Game Records'!$U:$U,$H36)&lt;&gt;"Free Game",INDEX('Game Records'!$U:$U,$H36)&lt;&gt;"Disqualified — Free Game",OR(INDEX('Game Records'!$L:$L,$H36)="",LOWER(INDEX('Game Records'!$L:$L,$H36)&amp;"")="n/a")),"Disqualified Status; ",""))</f>
        <v/>
      </c>
      <c r="G36" s="23" t="str">
        <f t="array" ref="G36">IF($H36="","",IFERROR(INDEX('Game Records'!$M:$M,$H36),""))</f>
        <v/>
      </c>
      <c r="H36" s="3"/>
      <c r="I36" s="3"/>
      <c r="J36" s="3"/>
    </row>
    <row r="37" ht="24.0" customHeight="1">
      <c r="A37" s="18" t="str">
        <f t="shared" si="1"/>
        <v/>
      </c>
      <c r="B37" s="18" t="str">
        <f t="shared" si="2"/>
        <v/>
      </c>
      <c r="C37" s="23" t="str">
        <f t="array" ref="C37">IF($H37="","",IFERROR(INDEX('Game Records'!$A:$A,$H37),""))</f>
        <v/>
      </c>
      <c r="D37" s="23" t="str">
        <f t="array" ref="D37">IF($H37="","",IFERROR(INDEX('Game Records'!$U:$U,$H37),""))</f>
        <v/>
      </c>
      <c r="E37" s="23" t="str">
        <f t="array" ref="E37">IF($H37="","",LET(r,$H37,mode,LOWER(INDEX('Game Records'!$D:$D,r)&amp;""),endDate,INDEX('Game Records'!$C:$C,r),IF(mode="estimate",IF(endDate="","Estimate — End Date missing",IF(NOT(ISNUMBER(endDate)),"Estimate — Check End Date",IF(INT(endDate)&gt;=TODAY(),"In Progress — ends "&amp;TEXT(endDate,"mmm d, yyyy"),"Ready to Finalize"))),IF($F37="","No Highlighted Fields","Highlighted Fields Present"))))</f>
        <v/>
      </c>
      <c r="F37" s="23" t="str">
        <f t="array" ref="F37">IF($H37="","",IF(OR(NOT(_xlfn.ISFORMULA(INDEX('Game Records'!$N:$N,$H37))),NOT(_xlfn.ISFORMULA(INDEX('Game Records'!$O:$O,$H37))),NOT(_xlfn.ISFORMULA(INDEX('Game Records'!$P:$P,$H37))),NOT(_xlfn.ISFORMULA(INDEX('Game Records'!$Q:$Q,$H37))),NOT(_xlfn.ISFORMULA(INDEX('Game Records'!$R:$R,$H37))),NOT(_xlfn.ISFORMULA(INDEX('Game Records'!$S:$S,$H37))),NOT(_xlfn.ISFORMULA(INDEX('Game Records'!$T:$T,$H37))),NOT(_xlfn.ISFORMULA(INDEX('Game Records'!$U:$U,$H37))),NOT(_xlfn.ISFORMULA(INDEX('Game Records'!$V:$V,$H37))),NOT(_xlfn.ISFORMULA(INDEX('Game Records'!$W:$W,$H37))),NOT(_xlfn.ISFORMULA(INDEX('Game Records'!$X:$X,$H37))),NOT(_xlfn.ISFORMULA(INDEX('Game Records'!$Y:$Y,$H37))),NOT(_xlfn.ISFORMULA(INDEX('Game Records'!$Z:$Z,$H37)))),"","")&amp;IF(INDEX('Game Records'!$B:$B,$H37)="","Start Date; ","")&amp;IF(INDEX('Game Records'!$C:$C,$H37)="","End Date; ","")&amp;IF(AND(INDEX('Game Records'!$U:$U,$H37)&lt;&gt;"Subscription",INDEX('Game Records'!$U:$U,$H37)&lt;&gt;"Free Game",INDEX('Game Records'!$U:$U,$H37)&lt;&gt;"Disqualified — Free Game",OR(INDEX('Game Records'!$D:$D,$H37)="",LOWER(INDEX('Game Records'!$D:$D,$H37)&amp;"")="n/a")),"Entry Mode; ","")&amp;IF(AND(INDEX('Game Records'!$U:$U,$H37)&lt;&gt;"Subscription",INDEX('Game Records'!$U:$U,$H37)&lt;&gt;"Free Game",INDEX('Game Records'!$U:$U,$H37)&lt;&gt;"Disqualified — Free Game",OR(INDEX('Game Records'!$E:$E,$H37)="",LOWER(INDEX('Game Records'!$E:$E,$H37)&amp;"")="n/a")),"Game Type; ","")&amp;IF(INDEX('Game Records'!$F:$F,$H37)="","Payment Type; ","")&amp;IF(AND(INDEX('Game Records'!$U:$U,$H37)&lt;&gt;"Subscription",INDEX('Game Records'!$U:$U,$H37)&lt;&gt;"Free Game",INDEX('Game Records'!$U:$U,$H37)&lt;&gt;"Disqualified — Free Game",INDEX('Game Records'!$G:$G,$H37)=""),"Gross Pot; ","")&amp;IF(AND(INDEX('Game Records'!$U:$U,$H37)&lt;&gt;"Free Game",INDEX('Game Records'!$U:$U,$H37)&lt;&gt;"Disqualified — Free Game",INDEX('Game Records'!$H:$H,$H37)=""),"Entry Fee; ","")&amp;IF(AND(INDEX('Game Records'!$U:$U,$H37)&lt;&gt;"Subscription",INDEX('Game Records'!$U:$U,$H37)&lt;&gt;"Free Game",INDEX('Game Records'!$U:$U,$H37)&lt;&gt;"Disqualified — Free Game",INDEX('Game Records'!$I:$I,$H37)=""),"Eligible Players; ","")&amp;IF(AND(INDEX('Game Records'!$U:$U,$H37)&lt;&gt;"Subscription",INDEX('Game Records'!$U:$U,$H37)&lt;&gt;"Free Game",INDEX('Game Records'!$U:$U,$H37)&lt;&gt;"Disqualified — Free Game",INDEX('Game Records'!$J:$J,$H37)=""),"Total Players; ","")&amp;IF(AND(LOWER(INDEX('Game Records'!$D:$D,$H37)&amp;"")="finalized",LOWER(INDEX('Game Records'!$L:$L,$H37)&amp;"")&lt;&gt;"yes",INDEX('Game Records'!$U:$U,$H37)&lt;&gt;"Subscription",INDEX('Game Records'!$U:$U,$H37)&lt;&gt;"Free Game",INDEX('Game Records'!$U:$U,$H37)&lt;&gt;"Disqualified — Free Game",INDEX('Game Records'!$K:$K,$H37)=""),"Final Payout; ","")&amp;IF(AND(LOWER(INDEX('Game Records'!$D:$D,$H37)&amp;"")="finalized",INDEX('Game Records'!$U:$U,$H37)&lt;&gt;"Subscription",INDEX('Game Records'!$U:$U,$H37)&lt;&gt;"Free Game",INDEX('Game Records'!$U:$U,$H37)&lt;&gt;"Disqualified — Free Game",OR(INDEX('Game Records'!$L:$L,$H37)="",LOWER(INDEX('Game Records'!$L:$L,$H37)&amp;"")="n/a")),"Disqualified Status; ",""))</f>
        <v/>
      </c>
      <c r="G37" s="23" t="str">
        <f t="array" ref="G37">IF($H37="","",IFERROR(INDEX('Game Records'!$M:$M,$H37),""))</f>
        <v/>
      </c>
      <c r="H37" s="3"/>
      <c r="I37" s="3"/>
      <c r="J37" s="3"/>
    </row>
    <row r="38" ht="24.0" customHeight="1">
      <c r="A38" s="18" t="str">
        <f t="shared" si="1"/>
        <v/>
      </c>
      <c r="B38" s="18" t="str">
        <f t="shared" si="2"/>
        <v/>
      </c>
      <c r="C38" s="23" t="str">
        <f t="array" ref="C38">IF($H38="","",IFERROR(INDEX('Game Records'!$A:$A,$H38),""))</f>
        <v/>
      </c>
      <c r="D38" s="23" t="str">
        <f t="array" ref="D38">IF($H38="","",IFERROR(INDEX('Game Records'!$U:$U,$H38),""))</f>
        <v/>
      </c>
      <c r="E38" s="23" t="str">
        <f t="array" ref="E38">IF($H38="","",LET(r,$H38,mode,LOWER(INDEX('Game Records'!$D:$D,r)&amp;""),endDate,INDEX('Game Records'!$C:$C,r),IF(mode="estimate",IF(endDate="","Estimate — End Date missing",IF(NOT(ISNUMBER(endDate)),"Estimate — Check End Date",IF(INT(endDate)&gt;=TODAY(),"In Progress — ends "&amp;TEXT(endDate,"mmm d, yyyy"),"Ready to Finalize"))),IF($F38="","No Highlighted Fields","Highlighted Fields Present"))))</f>
        <v/>
      </c>
      <c r="F38" s="23" t="str">
        <f t="array" ref="F38">IF($H38="","",IF(OR(NOT(_xlfn.ISFORMULA(INDEX('Game Records'!$N:$N,$H38))),NOT(_xlfn.ISFORMULA(INDEX('Game Records'!$O:$O,$H38))),NOT(_xlfn.ISFORMULA(INDEX('Game Records'!$P:$P,$H38))),NOT(_xlfn.ISFORMULA(INDEX('Game Records'!$Q:$Q,$H38))),NOT(_xlfn.ISFORMULA(INDEX('Game Records'!$R:$R,$H38))),NOT(_xlfn.ISFORMULA(INDEX('Game Records'!$S:$S,$H38))),NOT(_xlfn.ISFORMULA(INDEX('Game Records'!$T:$T,$H38))),NOT(_xlfn.ISFORMULA(INDEX('Game Records'!$U:$U,$H38))),NOT(_xlfn.ISFORMULA(INDEX('Game Records'!$V:$V,$H38))),NOT(_xlfn.ISFORMULA(INDEX('Game Records'!$W:$W,$H38))),NOT(_xlfn.ISFORMULA(INDEX('Game Records'!$X:$X,$H38))),NOT(_xlfn.ISFORMULA(INDEX('Game Records'!$Y:$Y,$H38))),NOT(_xlfn.ISFORMULA(INDEX('Game Records'!$Z:$Z,$H38)))),"","")&amp;IF(INDEX('Game Records'!$B:$B,$H38)="","Start Date; ","")&amp;IF(INDEX('Game Records'!$C:$C,$H38)="","End Date; ","")&amp;IF(AND(INDEX('Game Records'!$U:$U,$H38)&lt;&gt;"Subscription",INDEX('Game Records'!$U:$U,$H38)&lt;&gt;"Free Game",INDEX('Game Records'!$U:$U,$H38)&lt;&gt;"Disqualified — Free Game",OR(INDEX('Game Records'!$D:$D,$H38)="",LOWER(INDEX('Game Records'!$D:$D,$H38)&amp;"")="n/a")),"Entry Mode; ","")&amp;IF(AND(INDEX('Game Records'!$U:$U,$H38)&lt;&gt;"Subscription",INDEX('Game Records'!$U:$U,$H38)&lt;&gt;"Free Game",INDEX('Game Records'!$U:$U,$H38)&lt;&gt;"Disqualified — Free Game",OR(INDEX('Game Records'!$E:$E,$H38)="",LOWER(INDEX('Game Records'!$E:$E,$H38)&amp;"")="n/a")),"Game Type; ","")&amp;IF(INDEX('Game Records'!$F:$F,$H38)="","Payment Type; ","")&amp;IF(AND(INDEX('Game Records'!$U:$U,$H38)&lt;&gt;"Subscription",INDEX('Game Records'!$U:$U,$H38)&lt;&gt;"Free Game",INDEX('Game Records'!$U:$U,$H38)&lt;&gt;"Disqualified — Free Game",INDEX('Game Records'!$G:$G,$H38)=""),"Gross Pot; ","")&amp;IF(AND(INDEX('Game Records'!$U:$U,$H38)&lt;&gt;"Free Game",INDEX('Game Records'!$U:$U,$H38)&lt;&gt;"Disqualified — Free Game",INDEX('Game Records'!$H:$H,$H38)=""),"Entry Fee; ","")&amp;IF(AND(INDEX('Game Records'!$U:$U,$H38)&lt;&gt;"Subscription",INDEX('Game Records'!$U:$U,$H38)&lt;&gt;"Free Game",INDEX('Game Records'!$U:$U,$H38)&lt;&gt;"Disqualified — Free Game",INDEX('Game Records'!$I:$I,$H38)=""),"Eligible Players; ","")&amp;IF(AND(INDEX('Game Records'!$U:$U,$H38)&lt;&gt;"Subscription",INDEX('Game Records'!$U:$U,$H38)&lt;&gt;"Free Game",INDEX('Game Records'!$U:$U,$H38)&lt;&gt;"Disqualified — Free Game",INDEX('Game Records'!$J:$J,$H38)=""),"Total Players; ","")&amp;IF(AND(LOWER(INDEX('Game Records'!$D:$D,$H38)&amp;"")="finalized",LOWER(INDEX('Game Records'!$L:$L,$H38)&amp;"")&lt;&gt;"yes",INDEX('Game Records'!$U:$U,$H38)&lt;&gt;"Subscription",INDEX('Game Records'!$U:$U,$H38)&lt;&gt;"Free Game",INDEX('Game Records'!$U:$U,$H38)&lt;&gt;"Disqualified — Free Game",INDEX('Game Records'!$K:$K,$H38)=""),"Final Payout; ","")&amp;IF(AND(LOWER(INDEX('Game Records'!$D:$D,$H38)&amp;"")="finalized",INDEX('Game Records'!$U:$U,$H38)&lt;&gt;"Subscription",INDEX('Game Records'!$U:$U,$H38)&lt;&gt;"Free Game",INDEX('Game Records'!$U:$U,$H38)&lt;&gt;"Disqualified — Free Game",OR(INDEX('Game Records'!$L:$L,$H38)="",LOWER(INDEX('Game Records'!$L:$L,$H38)&amp;"")="n/a")),"Disqualified Status; ",""))</f>
        <v/>
      </c>
      <c r="G38" s="23" t="str">
        <f t="array" ref="G38">IF($H38="","",IFERROR(INDEX('Game Records'!$M:$M,$H38),""))</f>
        <v/>
      </c>
      <c r="H38" s="3"/>
      <c r="I38" s="3"/>
      <c r="J38" s="3"/>
    </row>
    <row r="39" ht="24.0" customHeight="1">
      <c r="A39" s="18" t="str">
        <f t="shared" si="1"/>
        <v/>
      </c>
      <c r="B39" s="18" t="str">
        <f t="shared" si="2"/>
        <v/>
      </c>
      <c r="C39" s="23" t="str">
        <f t="array" ref="C39">IF($H39="","",IFERROR(INDEX('Game Records'!$A:$A,$H39),""))</f>
        <v/>
      </c>
      <c r="D39" s="23" t="str">
        <f t="array" ref="D39">IF($H39="","",IFERROR(INDEX('Game Records'!$U:$U,$H39),""))</f>
        <v/>
      </c>
      <c r="E39" s="23" t="str">
        <f t="array" ref="E39">IF($H39="","",LET(r,$H39,mode,LOWER(INDEX('Game Records'!$D:$D,r)&amp;""),endDate,INDEX('Game Records'!$C:$C,r),IF(mode="estimate",IF(endDate="","Estimate — End Date missing",IF(NOT(ISNUMBER(endDate)),"Estimate — Check End Date",IF(INT(endDate)&gt;=TODAY(),"In Progress — ends "&amp;TEXT(endDate,"mmm d, yyyy"),"Ready to Finalize"))),IF($F39="","No Highlighted Fields","Highlighted Fields Present"))))</f>
        <v/>
      </c>
      <c r="F39" s="23" t="str">
        <f t="array" ref="F39">IF($H39="","",IF(OR(NOT(_xlfn.ISFORMULA(INDEX('Game Records'!$N:$N,$H39))),NOT(_xlfn.ISFORMULA(INDEX('Game Records'!$O:$O,$H39))),NOT(_xlfn.ISFORMULA(INDEX('Game Records'!$P:$P,$H39))),NOT(_xlfn.ISFORMULA(INDEX('Game Records'!$Q:$Q,$H39))),NOT(_xlfn.ISFORMULA(INDEX('Game Records'!$R:$R,$H39))),NOT(_xlfn.ISFORMULA(INDEX('Game Records'!$S:$S,$H39))),NOT(_xlfn.ISFORMULA(INDEX('Game Records'!$T:$T,$H39))),NOT(_xlfn.ISFORMULA(INDEX('Game Records'!$U:$U,$H39))),NOT(_xlfn.ISFORMULA(INDEX('Game Records'!$V:$V,$H39))),NOT(_xlfn.ISFORMULA(INDEX('Game Records'!$W:$W,$H39))),NOT(_xlfn.ISFORMULA(INDEX('Game Records'!$X:$X,$H39))),NOT(_xlfn.ISFORMULA(INDEX('Game Records'!$Y:$Y,$H39))),NOT(_xlfn.ISFORMULA(INDEX('Game Records'!$Z:$Z,$H39)))),"","")&amp;IF(INDEX('Game Records'!$B:$B,$H39)="","Start Date; ","")&amp;IF(INDEX('Game Records'!$C:$C,$H39)="","End Date; ","")&amp;IF(AND(INDEX('Game Records'!$U:$U,$H39)&lt;&gt;"Subscription",INDEX('Game Records'!$U:$U,$H39)&lt;&gt;"Free Game",INDEX('Game Records'!$U:$U,$H39)&lt;&gt;"Disqualified — Free Game",OR(INDEX('Game Records'!$D:$D,$H39)="",LOWER(INDEX('Game Records'!$D:$D,$H39)&amp;"")="n/a")),"Entry Mode; ","")&amp;IF(AND(INDEX('Game Records'!$U:$U,$H39)&lt;&gt;"Subscription",INDEX('Game Records'!$U:$U,$H39)&lt;&gt;"Free Game",INDEX('Game Records'!$U:$U,$H39)&lt;&gt;"Disqualified — Free Game",OR(INDEX('Game Records'!$E:$E,$H39)="",LOWER(INDEX('Game Records'!$E:$E,$H39)&amp;"")="n/a")),"Game Type; ","")&amp;IF(INDEX('Game Records'!$F:$F,$H39)="","Payment Type; ","")&amp;IF(AND(INDEX('Game Records'!$U:$U,$H39)&lt;&gt;"Subscription",INDEX('Game Records'!$U:$U,$H39)&lt;&gt;"Free Game",INDEX('Game Records'!$U:$U,$H39)&lt;&gt;"Disqualified — Free Game",INDEX('Game Records'!$G:$G,$H39)=""),"Gross Pot; ","")&amp;IF(AND(INDEX('Game Records'!$U:$U,$H39)&lt;&gt;"Free Game",INDEX('Game Records'!$U:$U,$H39)&lt;&gt;"Disqualified — Free Game",INDEX('Game Records'!$H:$H,$H39)=""),"Entry Fee; ","")&amp;IF(AND(INDEX('Game Records'!$U:$U,$H39)&lt;&gt;"Subscription",INDEX('Game Records'!$U:$U,$H39)&lt;&gt;"Free Game",INDEX('Game Records'!$U:$U,$H39)&lt;&gt;"Disqualified — Free Game",INDEX('Game Records'!$I:$I,$H39)=""),"Eligible Players; ","")&amp;IF(AND(INDEX('Game Records'!$U:$U,$H39)&lt;&gt;"Subscription",INDEX('Game Records'!$U:$U,$H39)&lt;&gt;"Free Game",INDEX('Game Records'!$U:$U,$H39)&lt;&gt;"Disqualified — Free Game",INDEX('Game Records'!$J:$J,$H39)=""),"Total Players; ","")&amp;IF(AND(LOWER(INDEX('Game Records'!$D:$D,$H39)&amp;"")="finalized",LOWER(INDEX('Game Records'!$L:$L,$H39)&amp;"")&lt;&gt;"yes",INDEX('Game Records'!$U:$U,$H39)&lt;&gt;"Subscription",INDEX('Game Records'!$U:$U,$H39)&lt;&gt;"Free Game",INDEX('Game Records'!$U:$U,$H39)&lt;&gt;"Disqualified — Free Game",INDEX('Game Records'!$K:$K,$H39)=""),"Final Payout; ","")&amp;IF(AND(LOWER(INDEX('Game Records'!$D:$D,$H39)&amp;"")="finalized",INDEX('Game Records'!$U:$U,$H39)&lt;&gt;"Subscription",INDEX('Game Records'!$U:$U,$H39)&lt;&gt;"Free Game",INDEX('Game Records'!$U:$U,$H39)&lt;&gt;"Disqualified — Free Game",OR(INDEX('Game Records'!$L:$L,$H39)="",LOWER(INDEX('Game Records'!$L:$L,$H39)&amp;"")="n/a")),"Disqualified Status; ",""))</f>
        <v/>
      </c>
      <c r="G39" s="23" t="str">
        <f t="array" ref="G39">IF($H39="","",IFERROR(INDEX('Game Records'!$M:$M,$H39),""))</f>
        <v/>
      </c>
      <c r="H39" s="3"/>
      <c r="I39" s="3"/>
      <c r="J39" s="3"/>
    </row>
    <row r="40" ht="24.0" customHeight="1">
      <c r="A40" s="18" t="str">
        <f t="shared" si="1"/>
        <v/>
      </c>
      <c r="B40" s="18" t="str">
        <f t="shared" si="2"/>
        <v/>
      </c>
      <c r="C40" s="23" t="str">
        <f t="array" ref="C40">IF($H40="","",IFERROR(INDEX('Game Records'!$A:$A,$H40),""))</f>
        <v/>
      </c>
      <c r="D40" s="23" t="str">
        <f t="array" ref="D40">IF($H40="","",IFERROR(INDEX('Game Records'!$U:$U,$H40),""))</f>
        <v/>
      </c>
      <c r="E40" s="23" t="str">
        <f t="array" ref="E40">IF($H40="","",LET(r,$H40,mode,LOWER(INDEX('Game Records'!$D:$D,r)&amp;""),endDate,INDEX('Game Records'!$C:$C,r),IF(mode="estimate",IF(endDate="","Estimate — End Date missing",IF(NOT(ISNUMBER(endDate)),"Estimate — Check End Date",IF(INT(endDate)&gt;=TODAY(),"In Progress — ends "&amp;TEXT(endDate,"mmm d, yyyy"),"Ready to Finalize"))),IF($F40="","No Highlighted Fields","Highlighted Fields Present"))))</f>
        <v/>
      </c>
      <c r="F40" s="23" t="str">
        <f t="array" ref="F40">IF($H40="","",IF(OR(NOT(_xlfn.ISFORMULA(INDEX('Game Records'!$N:$N,$H40))),NOT(_xlfn.ISFORMULA(INDEX('Game Records'!$O:$O,$H40))),NOT(_xlfn.ISFORMULA(INDEX('Game Records'!$P:$P,$H40))),NOT(_xlfn.ISFORMULA(INDEX('Game Records'!$Q:$Q,$H40))),NOT(_xlfn.ISFORMULA(INDEX('Game Records'!$R:$R,$H40))),NOT(_xlfn.ISFORMULA(INDEX('Game Records'!$S:$S,$H40))),NOT(_xlfn.ISFORMULA(INDEX('Game Records'!$T:$T,$H40))),NOT(_xlfn.ISFORMULA(INDEX('Game Records'!$U:$U,$H40))),NOT(_xlfn.ISFORMULA(INDEX('Game Records'!$V:$V,$H40))),NOT(_xlfn.ISFORMULA(INDEX('Game Records'!$W:$W,$H40))),NOT(_xlfn.ISFORMULA(INDEX('Game Records'!$X:$X,$H40))),NOT(_xlfn.ISFORMULA(INDEX('Game Records'!$Y:$Y,$H40))),NOT(_xlfn.ISFORMULA(INDEX('Game Records'!$Z:$Z,$H40)))),"","")&amp;IF(INDEX('Game Records'!$B:$B,$H40)="","Start Date; ","")&amp;IF(INDEX('Game Records'!$C:$C,$H40)="","End Date; ","")&amp;IF(AND(INDEX('Game Records'!$U:$U,$H40)&lt;&gt;"Subscription",INDEX('Game Records'!$U:$U,$H40)&lt;&gt;"Free Game",INDEX('Game Records'!$U:$U,$H40)&lt;&gt;"Disqualified — Free Game",OR(INDEX('Game Records'!$D:$D,$H40)="",LOWER(INDEX('Game Records'!$D:$D,$H40)&amp;"")="n/a")),"Entry Mode; ","")&amp;IF(AND(INDEX('Game Records'!$U:$U,$H40)&lt;&gt;"Subscription",INDEX('Game Records'!$U:$U,$H40)&lt;&gt;"Free Game",INDEX('Game Records'!$U:$U,$H40)&lt;&gt;"Disqualified — Free Game",OR(INDEX('Game Records'!$E:$E,$H40)="",LOWER(INDEX('Game Records'!$E:$E,$H40)&amp;"")="n/a")),"Game Type; ","")&amp;IF(INDEX('Game Records'!$F:$F,$H40)="","Payment Type; ","")&amp;IF(AND(INDEX('Game Records'!$U:$U,$H40)&lt;&gt;"Subscription",INDEX('Game Records'!$U:$U,$H40)&lt;&gt;"Free Game",INDEX('Game Records'!$U:$U,$H40)&lt;&gt;"Disqualified — Free Game",INDEX('Game Records'!$G:$G,$H40)=""),"Gross Pot; ","")&amp;IF(AND(INDEX('Game Records'!$U:$U,$H40)&lt;&gt;"Free Game",INDEX('Game Records'!$U:$U,$H40)&lt;&gt;"Disqualified — Free Game",INDEX('Game Records'!$H:$H,$H40)=""),"Entry Fee; ","")&amp;IF(AND(INDEX('Game Records'!$U:$U,$H40)&lt;&gt;"Subscription",INDEX('Game Records'!$U:$U,$H40)&lt;&gt;"Free Game",INDEX('Game Records'!$U:$U,$H40)&lt;&gt;"Disqualified — Free Game",INDEX('Game Records'!$I:$I,$H40)=""),"Eligible Players; ","")&amp;IF(AND(INDEX('Game Records'!$U:$U,$H40)&lt;&gt;"Subscription",INDEX('Game Records'!$U:$U,$H40)&lt;&gt;"Free Game",INDEX('Game Records'!$U:$U,$H40)&lt;&gt;"Disqualified — Free Game",INDEX('Game Records'!$J:$J,$H40)=""),"Total Players; ","")&amp;IF(AND(LOWER(INDEX('Game Records'!$D:$D,$H40)&amp;"")="finalized",LOWER(INDEX('Game Records'!$L:$L,$H40)&amp;"")&lt;&gt;"yes",INDEX('Game Records'!$U:$U,$H40)&lt;&gt;"Subscription",INDEX('Game Records'!$U:$U,$H40)&lt;&gt;"Free Game",INDEX('Game Records'!$U:$U,$H40)&lt;&gt;"Disqualified — Free Game",INDEX('Game Records'!$K:$K,$H40)=""),"Final Payout; ","")&amp;IF(AND(LOWER(INDEX('Game Records'!$D:$D,$H40)&amp;"")="finalized",INDEX('Game Records'!$U:$U,$H40)&lt;&gt;"Subscription",INDEX('Game Records'!$U:$U,$H40)&lt;&gt;"Free Game",INDEX('Game Records'!$U:$U,$H40)&lt;&gt;"Disqualified — Free Game",OR(INDEX('Game Records'!$L:$L,$H40)="",LOWER(INDEX('Game Records'!$L:$L,$H40)&amp;"")="n/a")),"Disqualified Status; ",""))</f>
        <v/>
      </c>
      <c r="G40" s="23" t="str">
        <f t="array" ref="G40">IF($H40="","",IFERROR(INDEX('Game Records'!$M:$M,$H40),""))</f>
        <v/>
      </c>
      <c r="H40" s="3"/>
      <c r="I40" s="3"/>
      <c r="J40" s="3"/>
    </row>
    <row r="41" ht="24.0" customHeight="1">
      <c r="A41" s="18" t="str">
        <f t="shared" si="1"/>
        <v/>
      </c>
      <c r="B41" s="18" t="str">
        <f t="shared" si="2"/>
        <v/>
      </c>
      <c r="C41" s="23" t="str">
        <f t="array" ref="C41">IF($H41="","",IFERROR(INDEX('Game Records'!$A:$A,$H41),""))</f>
        <v/>
      </c>
      <c r="D41" s="23" t="str">
        <f t="array" ref="D41">IF($H41="","",IFERROR(INDEX('Game Records'!$U:$U,$H41),""))</f>
        <v/>
      </c>
      <c r="E41" s="23" t="str">
        <f t="array" ref="E41">IF($H41="","",LET(r,$H41,mode,LOWER(INDEX('Game Records'!$D:$D,r)&amp;""),endDate,INDEX('Game Records'!$C:$C,r),IF(mode="estimate",IF(endDate="","Estimate — End Date missing",IF(NOT(ISNUMBER(endDate)),"Estimate — Check End Date",IF(INT(endDate)&gt;=TODAY(),"In Progress — ends "&amp;TEXT(endDate,"mmm d, yyyy"),"Ready to Finalize"))),IF($F41="","No Highlighted Fields","Highlighted Fields Present"))))</f>
        <v/>
      </c>
      <c r="F41" s="23" t="str">
        <f t="array" ref="F41">IF($H41="","",IF(OR(NOT(_xlfn.ISFORMULA(INDEX('Game Records'!$N:$N,$H41))),NOT(_xlfn.ISFORMULA(INDEX('Game Records'!$O:$O,$H41))),NOT(_xlfn.ISFORMULA(INDEX('Game Records'!$P:$P,$H41))),NOT(_xlfn.ISFORMULA(INDEX('Game Records'!$Q:$Q,$H41))),NOT(_xlfn.ISFORMULA(INDEX('Game Records'!$R:$R,$H41))),NOT(_xlfn.ISFORMULA(INDEX('Game Records'!$S:$S,$H41))),NOT(_xlfn.ISFORMULA(INDEX('Game Records'!$T:$T,$H41))),NOT(_xlfn.ISFORMULA(INDEX('Game Records'!$U:$U,$H41))),NOT(_xlfn.ISFORMULA(INDEX('Game Records'!$V:$V,$H41))),NOT(_xlfn.ISFORMULA(INDEX('Game Records'!$W:$W,$H41))),NOT(_xlfn.ISFORMULA(INDEX('Game Records'!$X:$X,$H41))),NOT(_xlfn.ISFORMULA(INDEX('Game Records'!$Y:$Y,$H41))),NOT(_xlfn.ISFORMULA(INDEX('Game Records'!$Z:$Z,$H41)))),"","")&amp;IF(INDEX('Game Records'!$B:$B,$H41)="","Start Date; ","")&amp;IF(INDEX('Game Records'!$C:$C,$H41)="","End Date; ","")&amp;IF(AND(INDEX('Game Records'!$U:$U,$H41)&lt;&gt;"Subscription",INDEX('Game Records'!$U:$U,$H41)&lt;&gt;"Free Game",INDEX('Game Records'!$U:$U,$H41)&lt;&gt;"Disqualified — Free Game",OR(INDEX('Game Records'!$D:$D,$H41)="",LOWER(INDEX('Game Records'!$D:$D,$H41)&amp;"")="n/a")),"Entry Mode; ","")&amp;IF(AND(INDEX('Game Records'!$U:$U,$H41)&lt;&gt;"Subscription",INDEX('Game Records'!$U:$U,$H41)&lt;&gt;"Free Game",INDEX('Game Records'!$U:$U,$H41)&lt;&gt;"Disqualified — Free Game",OR(INDEX('Game Records'!$E:$E,$H41)="",LOWER(INDEX('Game Records'!$E:$E,$H41)&amp;"")="n/a")),"Game Type; ","")&amp;IF(INDEX('Game Records'!$F:$F,$H41)="","Payment Type; ","")&amp;IF(AND(INDEX('Game Records'!$U:$U,$H41)&lt;&gt;"Subscription",INDEX('Game Records'!$U:$U,$H41)&lt;&gt;"Free Game",INDEX('Game Records'!$U:$U,$H41)&lt;&gt;"Disqualified — Free Game",INDEX('Game Records'!$G:$G,$H41)=""),"Gross Pot; ","")&amp;IF(AND(INDEX('Game Records'!$U:$U,$H41)&lt;&gt;"Free Game",INDEX('Game Records'!$U:$U,$H41)&lt;&gt;"Disqualified — Free Game",INDEX('Game Records'!$H:$H,$H41)=""),"Entry Fee; ","")&amp;IF(AND(INDEX('Game Records'!$U:$U,$H41)&lt;&gt;"Subscription",INDEX('Game Records'!$U:$U,$H41)&lt;&gt;"Free Game",INDEX('Game Records'!$U:$U,$H41)&lt;&gt;"Disqualified — Free Game",INDEX('Game Records'!$I:$I,$H41)=""),"Eligible Players; ","")&amp;IF(AND(INDEX('Game Records'!$U:$U,$H41)&lt;&gt;"Subscription",INDEX('Game Records'!$U:$U,$H41)&lt;&gt;"Free Game",INDEX('Game Records'!$U:$U,$H41)&lt;&gt;"Disqualified — Free Game",INDEX('Game Records'!$J:$J,$H41)=""),"Total Players; ","")&amp;IF(AND(LOWER(INDEX('Game Records'!$D:$D,$H41)&amp;"")="finalized",LOWER(INDEX('Game Records'!$L:$L,$H41)&amp;"")&lt;&gt;"yes",INDEX('Game Records'!$U:$U,$H41)&lt;&gt;"Subscription",INDEX('Game Records'!$U:$U,$H41)&lt;&gt;"Free Game",INDEX('Game Records'!$U:$U,$H41)&lt;&gt;"Disqualified — Free Game",INDEX('Game Records'!$K:$K,$H41)=""),"Final Payout; ","")&amp;IF(AND(LOWER(INDEX('Game Records'!$D:$D,$H41)&amp;"")="finalized",INDEX('Game Records'!$U:$U,$H41)&lt;&gt;"Subscription",INDEX('Game Records'!$U:$U,$H41)&lt;&gt;"Free Game",INDEX('Game Records'!$U:$U,$H41)&lt;&gt;"Disqualified — Free Game",OR(INDEX('Game Records'!$L:$L,$H41)="",LOWER(INDEX('Game Records'!$L:$L,$H41)&amp;"")="n/a")),"Disqualified Status; ",""))</f>
        <v/>
      </c>
      <c r="G41" s="23" t="str">
        <f t="array" ref="G41">IF($H41="","",IFERROR(INDEX('Game Records'!$M:$M,$H41),""))</f>
        <v/>
      </c>
      <c r="H41" s="3"/>
      <c r="I41" s="3"/>
      <c r="J41" s="3"/>
    </row>
    <row r="42" ht="24.0" customHeight="1">
      <c r="A42" s="18" t="str">
        <f t="shared" si="1"/>
        <v/>
      </c>
      <c r="B42" s="18" t="str">
        <f t="shared" si="2"/>
        <v/>
      </c>
      <c r="C42" s="23" t="str">
        <f t="array" ref="C42">IF($H42="","",IFERROR(INDEX('Game Records'!$A:$A,$H42),""))</f>
        <v/>
      </c>
      <c r="D42" s="23" t="str">
        <f t="array" ref="D42">IF($H42="","",IFERROR(INDEX('Game Records'!$U:$U,$H42),""))</f>
        <v/>
      </c>
      <c r="E42" s="23" t="str">
        <f t="array" ref="E42">IF($H42="","",LET(r,$H42,mode,LOWER(INDEX('Game Records'!$D:$D,r)&amp;""),endDate,INDEX('Game Records'!$C:$C,r),IF(mode="estimate",IF(endDate="","Estimate — End Date missing",IF(NOT(ISNUMBER(endDate)),"Estimate — Check End Date",IF(INT(endDate)&gt;=TODAY(),"In Progress — ends "&amp;TEXT(endDate,"mmm d, yyyy"),"Ready to Finalize"))),IF($F42="","No Highlighted Fields","Highlighted Fields Present"))))</f>
        <v/>
      </c>
      <c r="F42" s="23" t="str">
        <f t="array" ref="F42">IF($H42="","",IF(OR(NOT(_xlfn.ISFORMULA(INDEX('Game Records'!$N:$N,$H42))),NOT(_xlfn.ISFORMULA(INDEX('Game Records'!$O:$O,$H42))),NOT(_xlfn.ISFORMULA(INDEX('Game Records'!$P:$P,$H42))),NOT(_xlfn.ISFORMULA(INDEX('Game Records'!$Q:$Q,$H42))),NOT(_xlfn.ISFORMULA(INDEX('Game Records'!$R:$R,$H42))),NOT(_xlfn.ISFORMULA(INDEX('Game Records'!$S:$S,$H42))),NOT(_xlfn.ISFORMULA(INDEX('Game Records'!$T:$T,$H42))),NOT(_xlfn.ISFORMULA(INDEX('Game Records'!$U:$U,$H42))),NOT(_xlfn.ISFORMULA(INDEX('Game Records'!$V:$V,$H42))),NOT(_xlfn.ISFORMULA(INDEX('Game Records'!$W:$W,$H42))),NOT(_xlfn.ISFORMULA(INDEX('Game Records'!$X:$X,$H42))),NOT(_xlfn.ISFORMULA(INDEX('Game Records'!$Y:$Y,$H42))),NOT(_xlfn.ISFORMULA(INDEX('Game Records'!$Z:$Z,$H42)))),"","")&amp;IF(INDEX('Game Records'!$B:$B,$H42)="","Start Date; ","")&amp;IF(INDEX('Game Records'!$C:$C,$H42)="","End Date; ","")&amp;IF(AND(INDEX('Game Records'!$U:$U,$H42)&lt;&gt;"Subscription",INDEX('Game Records'!$U:$U,$H42)&lt;&gt;"Free Game",INDEX('Game Records'!$U:$U,$H42)&lt;&gt;"Disqualified — Free Game",OR(INDEX('Game Records'!$D:$D,$H42)="",LOWER(INDEX('Game Records'!$D:$D,$H42)&amp;"")="n/a")),"Entry Mode; ","")&amp;IF(AND(INDEX('Game Records'!$U:$U,$H42)&lt;&gt;"Subscription",INDEX('Game Records'!$U:$U,$H42)&lt;&gt;"Free Game",INDEX('Game Records'!$U:$U,$H42)&lt;&gt;"Disqualified — Free Game",OR(INDEX('Game Records'!$E:$E,$H42)="",LOWER(INDEX('Game Records'!$E:$E,$H42)&amp;"")="n/a")),"Game Type; ","")&amp;IF(INDEX('Game Records'!$F:$F,$H42)="","Payment Type; ","")&amp;IF(AND(INDEX('Game Records'!$U:$U,$H42)&lt;&gt;"Subscription",INDEX('Game Records'!$U:$U,$H42)&lt;&gt;"Free Game",INDEX('Game Records'!$U:$U,$H42)&lt;&gt;"Disqualified — Free Game",INDEX('Game Records'!$G:$G,$H42)=""),"Gross Pot; ","")&amp;IF(AND(INDEX('Game Records'!$U:$U,$H42)&lt;&gt;"Free Game",INDEX('Game Records'!$U:$U,$H42)&lt;&gt;"Disqualified — Free Game",INDEX('Game Records'!$H:$H,$H42)=""),"Entry Fee; ","")&amp;IF(AND(INDEX('Game Records'!$U:$U,$H42)&lt;&gt;"Subscription",INDEX('Game Records'!$U:$U,$H42)&lt;&gt;"Free Game",INDEX('Game Records'!$U:$U,$H42)&lt;&gt;"Disqualified — Free Game",INDEX('Game Records'!$I:$I,$H42)=""),"Eligible Players; ","")&amp;IF(AND(INDEX('Game Records'!$U:$U,$H42)&lt;&gt;"Subscription",INDEX('Game Records'!$U:$U,$H42)&lt;&gt;"Free Game",INDEX('Game Records'!$U:$U,$H42)&lt;&gt;"Disqualified — Free Game",INDEX('Game Records'!$J:$J,$H42)=""),"Total Players; ","")&amp;IF(AND(LOWER(INDEX('Game Records'!$D:$D,$H42)&amp;"")="finalized",LOWER(INDEX('Game Records'!$L:$L,$H42)&amp;"")&lt;&gt;"yes",INDEX('Game Records'!$U:$U,$H42)&lt;&gt;"Subscription",INDEX('Game Records'!$U:$U,$H42)&lt;&gt;"Free Game",INDEX('Game Records'!$U:$U,$H42)&lt;&gt;"Disqualified — Free Game",INDEX('Game Records'!$K:$K,$H42)=""),"Final Payout; ","")&amp;IF(AND(LOWER(INDEX('Game Records'!$D:$D,$H42)&amp;"")="finalized",INDEX('Game Records'!$U:$U,$H42)&lt;&gt;"Subscription",INDEX('Game Records'!$U:$U,$H42)&lt;&gt;"Free Game",INDEX('Game Records'!$U:$U,$H42)&lt;&gt;"Disqualified — Free Game",OR(INDEX('Game Records'!$L:$L,$H42)="",LOWER(INDEX('Game Records'!$L:$L,$H42)&amp;"")="n/a")),"Disqualified Status; ",""))</f>
        <v/>
      </c>
      <c r="G42" s="23" t="str">
        <f t="array" ref="G42">IF($H42="","",IFERROR(INDEX('Game Records'!$M:$M,$H42),""))</f>
        <v/>
      </c>
      <c r="H42" s="3"/>
      <c r="I42" s="3"/>
      <c r="J42" s="3"/>
    </row>
    <row r="43" ht="24.0" customHeight="1">
      <c r="A43" s="18" t="str">
        <f t="shared" si="1"/>
        <v/>
      </c>
      <c r="B43" s="18" t="str">
        <f t="shared" si="2"/>
        <v/>
      </c>
      <c r="C43" s="23" t="str">
        <f t="array" ref="C43">IF($H43="","",IFERROR(INDEX('Game Records'!$A:$A,$H43),""))</f>
        <v/>
      </c>
      <c r="D43" s="23" t="str">
        <f t="array" ref="D43">IF($H43="","",IFERROR(INDEX('Game Records'!$U:$U,$H43),""))</f>
        <v/>
      </c>
      <c r="E43" s="23" t="str">
        <f t="array" ref="E43">IF($H43="","",LET(r,$H43,mode,LOWER(INDEX('Game Records'!$D:$D,r)&amp;""),endDate,INDEX('Game Records'!$C:$C,r),IF(mode="estimate",IF(endDate="","Estimate — End Date missing",IF(NOT(ISNUMBER(endDate)),"Estimate — Check End Date",IF(INT(endDate)&gt;=TODAY(),"In Progress — ends "&amp;TEXT(endDate,"mmm d, yyyy"),"Ready to Finalize"))),IF($F43="","No Highlighted Fields","Highlighted Fields Present"))))</f>
        <v/>
      </c>
      <c r="F43" s="23" t="str">
        <f t="array" ref="F43">IF($H43="","",IF(OR(NOT(_xlfn.ISFORMULA(INDEX('Game Records'!$N:$N,$H43))),NOT(_xlfn.ISFORMULA(INDEX('Game Records'!$O:$O,$H43))),NOT(_xlfn.ISFORMULA(INDEX('Game Records'!$P:$P,$H43))),NOT(_xlfn.ISFORMULA(INDEX('Game Records'!$Q:$Q,$H43))),NOT(_xlfn.ISFORMULA(INDEX('Game Records'!$R:$R,$H43))),NOT(_xlfn.ISFORMULA(INDEX('Game Records'!$S:$S,$H43))),NOT(_xlfn.ISFORMULA(INDEX('Game Records'!$T:$T,$H43))),NOT(_xlfn.ISFORMULA(INDEX('Game Records'!$U:$U,$H43))),NOT(_xlfn.ISFORMULA(INDEX('Game Records'!$V:$V,$H43))),NOT(_xlfn.ISFORMULA(INDEX('Game Records'!$W:$W,$H43))),NOT(_xlfn.ISFORMULA(INDEX('Game Records'!$X:$X,$H43))),NOT(_xlfn.ISFORMULA(INDEX('Game Records'!$Y:$Y,$H43))),NOT(_xlfn.ISFORMULA(INDEX('Game Records'!$Z:$Z,$H43)))),"","")&amp;IF(INDEX('Game Records'!$B:$B,$H43)="","Start Date; ","")&amp;IF(INDEX('Game Records'!$C:$C,$H43)="","End Date; ","")&amp;IF(AND(INDEX('Game Records'!$U:$U,$H43)&lt;&gt;"Subscription",INDEX('Game Records'!$U:$U,$H43)&lt;&gt;"Free Game",INDEX('Game Records'!$U:$U,$H43)&lt;&gt;"Disqualified — Free Game",OR(INDEX('Game Records'!$D:$D,$H43)="",LOWER(INDEX('Game Records'!$D:$D,$H43)&amp;"")="n/a")),"Entry Mode; ","")&amp;IF(AND(INDEX('Game Records'!$U:$U,$H43)&lt;&gt;"Subscription",INDEX('Game Records'!$U:$U,$H43)&lt;&gt;"Free Game",INDEX('Game Records'!$U:$U,$H43)&lt;&gt;"Disqualified — Free Game",OR(INDEX('Game Records'!$E:$E,$H43)="",LOWER(INDEX('Game Records'!$E:$E,$H43)&amp;"")="n/a")),"Game Type; ","")&amp;IF(INDEX('Game Records'!$F:$F,$H43)="","Payment Type; ","")&amp;IF(AND(INDEX('Game Records'!$U:$U,$H43)&lt;&gt;"Subscription",INDEX('Game Records'!$U:$U,$H43)&lt;&gt;"Free Game",INDEX('Game Records'!$U:$U,$H43)&lt;&gt;"Disqualified — Free Game",INDEX('Game Records'!$G:$G,$H43)=""),"Gross Pot; ","")&amp;IF(AND(INDEX('Game Records'!$U:$U,$H43)&lt;&gt;"Free Game",INDEX('Game Records'!$U:$U,$H43)&lt;&gt;"Disqualified — Free Game",INDEX('Game Records'!$H:$H,$H43)=""),"Entry Fee; ","")&amp;IF(AND(INDEX('Game Records'!$U:$U,$H43)&lt;&gt;"Subscription",INDEX('Game Records'!$U:$U,$H43)&lt;&gt;"Free Game",INDEX('Game Records'!$U:$U,$H43)&lt;&gt;"Disqualified — Free Game",INDEX('Game Records'!$I:$I,$H43)=""),"Eligible Players; ","")&amp;IF(AND(INDEX('Game Records'!$U:$U,$H43)&lt;&gt;"Subscription",INDEX('Game Records'!$U:$U,$H43)&lt;&gt;"Free Game",INDEX('Game Records'!$U:$U,$H43)&lt;&gt;"Disqualified — Free Game",INDEX('Game Records'!$J:$J,$H43)=""),"Total Players; ","")&amp;IF(AND(LOWER(INDEX('Game Records'!$D:$D,$H43)&amp;"")="finalized",LOWER(INDEX('Game Records'!$L:$L,$H43)&amp;"")&lt;&gt;"yes",INDEX('Game Records'!$U:$U,$H43)&lt;&gt;"Subscription",INDEX('Game Records'!$U:$U,$H43)&lt;&gt;"Free Game",INDEX('Game Records'!$U:$U,$H43)&lt;&gt;"Disqualified — Free Game",INDEX('Game Records'!$K:$K,$H43)=""),"Final Payout; ","")&amp;IF(AND(LOWER(INDEX('Game Records'!$D:$D,$H43)&amp;"")="finalized",INDEX('Game Records'!$U:$U,$H43)&lt;&gt;"Subscription",INDEX('Game Records'!$U:$U,$H43)&lt;&gt;"Free Game",INDEX('Game Records'!$U:$U,$H43)&lt;&gt;"Disqualified — Free Game",OR(INDEX('Game Records'!$L:$L,$H43)="",LOWER(INDEX('Game Records'!$L:$L,$H43)&amp;"")="n/a")),"Disqualified Status; ",""))</f>
        <v/>
      </c>
      <c r="G43" s="23" t="str">
        <f t="array" ref="G43">IF($H43="","",IFERROR(INDEX('Game Records'!$M:$M,$H43),""))</f>
        <v/>
      </c>
      <c r="H43" s="3"/>
      <c r="I43" s="3"/>
      <c r="J43" s="3"/>
    </row>
    <row r="44" ht="24.0" customHeight="1">
      <c r="A44" s="18" t="str">
        <f t="shared" si="1"/>
        <v/>
      </c>
      <c r="B44" s="18" t="str">
        <f t="shared" si="2"/>
        <v/>
      </c>
      <c r="C44" s="23" t="str">
        <f t="array" ref="C44">IF($H44="","",IFERROR(INDEX('Game Records'!$A:$A,$H44),""))</f>
        <v/>
      </c>
      <c r="D44" s="23" t="str">
        <f t="array" ref="D44">IF($H44="","",IFERROR(INDEX('Game Records'!$U:$U,$H44),""))</f>
        <v/>
      </c>
      <c r="E44" s="23" t="str">
        <f t="array" ref="E44">IF($H44="","",LET(r,$H44,mode,LOWER(INDEX('Game Records'!$D:$D,r)&amp;""),endDate,INDEX('Game Records'!$C:$C,r),IF(mode="estimate",IF(endDate="","Estimate — End Date missing",IF(NOT(ISNUMBER(endDate)),"Estimate — Check End Date",IF(INT(endDate)&gt;=TODAY(),"In Progress — ends "&amp;TEXT(endDate,"mmm d, yyyy"),"Ready to Finalize"))),IF($F44="","No Highlighted Fields","Highlighted Fields Present"))))</f>
        <v/>
      </c>
      <c r="F44" s="23" t="str">
        <f t="array" ref="F44">IF($H44="","",IF(OR(NOT(_xlfn.ISFORMULA(INDEX('Game Records'!$N:$N,$H44))),NOT(_xlfn.ISFORMULA(INDEX('Game Records'!$O:$O,$H44))),NOT(_xlfn.ISFORMULA(INDEX('Game Records'!$P:$P,$H44))),NOT(_xlfn.ISFORMULA(INDEX('Game Records'!$Q:$Q,$H44))),NOT(_xlfn.ISFORMULA(INDEX('Game Records'!$R:$R,$H44))),NOT(_xlfn.ISFORMULA(INDEX('Game Records'!$S:$S,$H44))),NOT(_xlfn.ISFORMULA(INDEX('Game Records'!$T:$T,$H44))),NOT(_xlfn.ISFORMULA(INDEX('Game Records'!$U:$U,$H44))),NOT(_xlfn.ISFORMULA(INDEX('Game Records'!$V:$V,$H44))),NOT(_xlfn.ISFORMULA(INDEX('Game Records'!$W:$W,$H44))),NOT(_xlfn.ISFORMULA(INDEX('Game Records'!$X:$X,$H44))),NOT(_xlfn.ISFORMULA(INDEX('Game Records'!$Y:$Y,$H44))),NOT(_xlfn.ISFORMULA(INDEX('Game Records'!$Z:$Z,$H44)))),"","")&amp;IF(INDEX('Game Records'!$B:$B,$H44)="","Start Date; ","")&amp;IF(INDEX('Game Records'!$C:$C,$H44)="","End Date; ","")&amp;IF(AND(INDEX('Game Records'!$U:$U,$H44)&lt;&gt;"Subscription",INDEX('Game Records'!$U:$U,$H44)&lt;&gt;"Free Game",INDEX('Game Records'!$U:$U,$H44)&lt;&gt;"Disqualified — Free Game",OR(INDEX('Game Records'!$D:$D,$H44)="",LOWER(INDEX('Game Records'!$D:$D,$H44)&amp;"")="n/a")),"Entry Mode; ","")&amp;IF(AND(INDEX('Game Records'!$U:$U,$H44)&lt;&gt;"Subscription",INDEX('Game Records'!$U:$U,$H44)&lt;&gt;"Free Game",INDEX('Game Records'!$U:$U,$H44)&lt;&gt;"Disqualified — Free Game",OR(INDEX('Game Records'!$E:$E,$H44)="",LOWER(INDEX('Game Records'!$E:$E,$H44)&amp;"")="n/a")),"Game Type; ","")&amp;IF(INDEX('Game Records'!$F:$F,$H44)="","Payment Type; ","")&amp;IF(AND(INDEX('Game Records'!$U:$U,$H44)&lt;&gt;"Subscription",INDEX('Game Records'!$U:$U,$H44)&lt;&gt;"Free Game",INDEX('Game Records'!$U:$U,$H44)&lt;&gt;"Disqualified — Free Game",INDEX('Game Records'!$G:$G,$H44)=""),"Gross Pot; ","")&amp;IF(AND(INDEX('Game Records'!$U:$U,$H44)&lt;&gt;"Free Game",INDEX('Game Records'!$U:$U,$H44)&lt;&gt;"Disqualified — Free Game",INDEX('Game Records'!$H:$H,$H44)=""),"Entry Fee; ","")&amp;IF(AND(INDEX('Game Records'!$U:$U,$H44)&lt;&gt;"Subscription",INDEX('Game Records'!$U:$U,$H44)&lt;&gt;"Free Game",INDEX('Game Records'!$U:$U,$H44)&lt;&gt;"Disqualified — Free Game",INDEX('Game Records'!$I:$I,$H44)=""),"Eligible Players; ","")&amp;IF(AND(INDEX('Game Records'!$U:$U,$H44)&lt;&gt;"Subscription",INDEX('Game Records'!$U:$U,$H44)&lt;&gt;"Free Game",INDEX('Game Records'!$U:$U,$H44)&lt;&gt;"Disqualified — Free Game",INDEX('Game Records'!$J:$J,$H44)=""),"Total Players; ","")&amp;IF(AND(LOWER(INDEX('Game Records'!$D:$D,$H44)&amp;"")="finalized",LOWER(INDEX('Game Records'!$L:$L,$H44)&amp;"")&lt;&gt;"yes",INDEX('Game Records'!$U:$U,$H44)&lt;&gt;"Subscription",INDEX('Game Records'!$U:$U,$H44)&lt;&gt;"Free Game",INDEX('Game Records'!$U:$U,$H44)&lt;&gt;"Disqualified — Free Game",INDEX('Game Records'!$K:$K,$H44)=""),"Final Payout; ","")&amp;IF(AND(LOWER(INDEX('Game Records'!$D:$D,$H44)&amp;"")="finalized",INDEX('Game Records'!$U:$U,$H44)&lt;&gt;"Subscription",INDEX('Game Records'!$U:$U,$H44)&lt;&gt;"Free Game",INDEX('Game Records'!$U:$U,$H44)&lt;&gt;"Disqualified — Free Game",OR(INDEX('Game Records'!$L:$L,$H44)="",LOWER(INDEX('Game Records'!$L:$L,$H44)&amp;"")="n/a")),"Disqualified Status; ",""))</f>
        <v/>
      </c>
      <c r="G44" s="23" t="str">
        <f t="array" ref="G44">IF($H44="","",IFERROR(INDEX('Game Records'!$M:$M,$H44),""))</f>
        <v/>
      </c>
      <c r="H44" s="3"/>
      <c r="I44" s="3"/>
      <c r="J44" s="3"/>
    </row>
    <row r="45" ht="24.0" customHeight="1">
      <c r="A45" s="18" t="str">
        <f t="shared" si="1"/>
        <v/>
      </c>
      <c r="B45" s="18" t="str">
        <f t="shared" si="2"/>
        <v/>
      </c>
      <c r="C45" s="23" t="str">
        <f t="array" ref="C45">IF($H45="","",IFERROR(INDEX('Game Records'!$A:$A,$H45),""))</f>
        <v/>
      </c>
      <c r="D45" s="23" t="str">
        <f t="array" ref="D45">IF($H45="","",IFERROR(INDEX('Game Records'!$U:$U,$H45),""))</f>
        <v/>
      </c>
      <c r="E45" s="23" t="str">
        <f t="array" ref="E45">IF($H45="","",LET(r,$H45,mode,LOWER(INDEX('Game Records'!$D:$D,r)&amp;""),endDate,INDEX('Game Records'!$C:$C,r),IF(mode="estimate",IF(endDate="","Estimate — End Date missing",IF(NOT(ISNUMBER(endDate)),"Estimate — Check End Date",IF(INT(endDate)&gt;=TODAY(),"In Progress — ends "&amp;TEXT(endDate,"mmm d, yyyy"),"Ready to Finalize"))),IF($F45="","No Highlighted Fields","Highlighted Fields Present"))))</f>
        <v/>
      </c>
      <c r="F45" s="23" t="str">
        <f t="array" ref="F45">IF($H45="","",IF(OR(NOT(_xlfn.ISFORMULA(INDEX('Game Records'!$N:$N,$H45))),NOT(_xlfn.ISFORMULA(INDEX('Game Records'!$O:$O,$H45))),NOT(_xlfn.ISFORMULA(INDEX('Game Records'!$P:$P,$H45))),NOT(_xlfn.ISFORMULA(INDEX('Game Records'!$Q:$Q,$H45))),NOT(_xlfn.ISFORMULA(INDEX('Game Records'!$R:$R,$H45))),NOT(_xlfn.ISFORMULA(INDEX('Game Records'!$S:$S,$H45))),NOT(_xlfn.ISFORMULA(INDEX('Game Records'!$T:$T,$H45))),NOT(_xlfn.ISFORMULA(INDEX('Game Records'!$U:$U,$H45))),NOT(_xlfn.ISFORMULA(INDEX('Game Records'!$V:$V,$H45))),NOT(_xlfn.ISFORMULA(INDEX('Game Records'!$W:$W,$H45))),NOT(_xlfn.ISFORMULA(INDEX('Game Records'!$X:$X,$H45))),NOT(_xlfn.ISFORMULA(INDEX('Game Records'!$Y:$Y,$H45))),NOT(_xlfn.ISFORMULA(INDEX('Game Records'!$Z:$Z,$H45)))),"","")&amp;IF(INDEX('Game Records'!$B:$B,$H45)="","Start Date; ","")&amp;IF(INDEX('Game Records'!$C:$C,$H45)="","End Date; ","")&amp;IF(AND(INDEX('Game Records'!$U:$U,$H45)&lt;&gt;"Subscription",INDEX('Game Records'!$U:$U,$H45)&lt;&gt;"Free Game",INDEX('Game Records'!$U:$U,$H45)&lt;&gt;"Disqualified — Free Game",OR(INDEX('Game Records'!$D:$D,$H45)="",LOWER(INDEX('Game Records'!$D:$D,$H45)&amp;"")="n/a")),"Entry Mode; ","")&amp;IF(AND(INDEX('Game Records'!$U:$U,$H45)&lt;&gt;"Subscription",INDEX('Game Records'!$U:$U,$H45)&lt;&gt;"Free Game",INDEX('Game Records'!$U:$U,$H45)&lt;&gt;"Disqualified — Free Game",OR(INDEX('Game Records'!$E:$E,$H45)="",LOWER(INDEX('Game Records'!$E:$E,$H45)&amp;"")="n/a")),"Game Type; ","")&amp;IF(INDEX('Game Records'!$F:$F,$H45)="","Payment Type; ","")&amp;IF(AND(INDEX('Game Records'!$U:$U,$H45)&lt;&gt;"Subscription",INDEX('Game Records'!$U:$U,$H45)&lt;&gt;"Free Game",INDEX('Game Records'!$U:$U,$H45)&lt;&gt;"Disqualified — Free Game",INDEX('Game Records'!$G:$G,$H45)=""),"Gross Pot; ","")&amp;IF(AND(INDEX('Game Records'!$U:$U,$H45)&lt;&gt;"Free Game",INDEX('Game Records'!$U:$U,$H45)&lt;&gt;"Disqualified — Free Game",INDEX('Game Records'!$H:$H,$H45)=""),"Entry Fee; ","")&amp;IF(AND(INDEX('Game Records'!$U:$U,$H45)&lt;&gt;"Subscription",INDEX('Game Records'!$U:$U,$H45)&lt;&gt;"Free Game",INDEX('Game Records'!$U:$U,$H45)&lt;&gt;"Disqualified — Free Game",INDEX('Game Records'!$I:$I,$H45)=""),"Eligible Players; ","")&amp;IF(AND(INDEX('Game Records'!$U:$U,$H45)&lt;&gt;"Subscription",INDEX('Game Records'!$U:$U,$H45)&lt;&gt;"Free Game",INDEX('Game Records'!$U:$U,$H45)&lt;&gt;"Disqualified — Free Game",INDEX('Game Records'!$J:$J,$H45)=""),"Total Players; ","")&amp;IF(AND(LOWER(INDEX('Game Records'!$D:$D,$H45)&amp;"")="finalized",LOWER(INDEX('Game Records'!$L:$L,$H45)&amp;"")&lt;&gt;"yes",INDEX('Game Records'!$U:$U,$H45)&lt;&gt;"Subscription",INDEX('Game Records'!$U:$U,$H45)&lt;&gt;"Free Game",INDEX('Game Records'!$U:$U,$H45)&lt;&gt;"Disqualified — Free Game",INDEX('Game Records'!$K:$K,$H45)=""),"Final Payout; ","")&amp;IF(AND(LOWER(INDEX('Game Records'!$D:$D,$H45)&amp;"")="finalized",INDEX('Game Records'!$U:$U,$H45)&lt;&gt;"Subscription",INDEX('Game Records'!$U:$U,$H45)&lt;&gt;"Free Game",INDEX('Game Records'!$U:$U,$H45)&lt;&gt;"Disqualified — Free Game",OR(INDEX('Game Records'!$L:$L,$H45)="",LOWER(INDEX('Game Records'!$L:$L,$H45)&amp;"")="n/a")),"Disqualified Status; ",""))</f>
        <v/>
      </c>
      <c r="G45" s="23" t="str">
        <f t="array" ref="G45">IF($H45="","",IFERROR(INDEX('Game Records'!$M:$M,$H45),""))</f>
        <v/>
      </c>
      <c r="H45" s="3"/>
      <c r="I45" s="3"/>
      <c r="J45" s="3"/>
    </row>
    <row r="46" ht="24.0" customHeight="1">
      <c r="A46" s="18" t="str">
        <f t="shared" si="1"/>
        <v/>
      </c>
      <c r="B46" s="18" t="str">
        <f t="shared" si="2"/>
        <v/>
      </c>
      <c r="C46" s="23" t="str">
        <f t="array" ref="C46">IF($H46="","",IFERROR(INDEX('Game Records'!$A:$A,$H46),""))</f>
        <v/>
      </c>
      <c r="D46" s="23" t="str">
        <f t="array" ref="D46">IF($H46="","",IFERROR(INDEX('Game Records'!$U:$U,$H46),""))</f>
        <v/>
      </c>
      <c r="E46" s="23" t="str">
        <f t="array" ref="E46">IF($H46="","",LET(r,$H46,mode,LOWER(INDEX('Game Records'!$D:$D,r)&amp;""),endDate,INDEX('Game Records'!$C:$C,r),IF(mode="estimate",IF(endDate="","Estimate — End Date missing",IF(NOT(ISNUMBER(endDate)),"Estimate — Check End Date",IF(INT(endDate)&gt;=TODAY(),"In Progress — ends "&amp;TEXT(endDate,"mmm d, yyyy"),"Ready to Finalize"))),IF($F46="","No Highlighted Fields","Highlighted Fields Present"))))</f>
        <v/>
      </c>
      <c r="F46" s="23" t="str">
        <f t="array" ref="F46">IF($H46="","",IF(OR(NOT(_xlfn.ISFORMULA(INDEX('Game Records'!$N:$N,$H46))),NOT(_xlfn.ISFORMULA(INDEX('Game Records'!$O:$O,$H46))),NOT(_xlfn.ISFORMULA(INDEX('Game Records'!$P:$P,$H46))),NOT(_xlfn.ISFORMULA(INDEX('Game Records'!$Q:$Q,$H46))),NOT(_xlfn.ISFORMULA(INDEX('Game Records'!$R:$R,$H46))),NOT(_xlfn.ISFORMULA(INDEX('Game Records'!$S:$S,$H46))),NOT(_xlfn.ISFORMULA(INDEX('Game Records'!$T:$T,$H46))),NOT(_xlfn.ISFORMULA(INDEX('Game Records'!$U:$U,$H46))),NOT(_xlfn.ISFORMULA(INDEX('Game Records'!$V:$V,$H46))),NOT(_xlfn.ISFORMULA(INDEX('Game Records'!$W:$W,$H46))),NOT(_xlfn.ISFORMULA(INDEX('Game Records'!$X:$X,$H46))),NOT(_xlfn.ISFORMULA(INDEX('Game Records'!$Y:$Y,$H46))),NOT(_xlfn.ISFORMULA(INDEX('Game Records'!$Z:$Z,$H46)))),"","")&amp;IF(INDEX('Game Records'!$B:$B,$H46)="","Start Date; ","")&amp;IF(INDEX('Game Records'!$C:$C,$H46)="","End Date; ","")&amp;IF(AND(INDEX('Game Records'!$U:$U,$H46)&lt;&gt;"Subscription",INDEX('Game Records'!$U:$U,$H46)&lt;&gt;"Free Game",INDEX('Game Records'!$U:$U,$H46)&lt;&gt;"Disqualified — Free Game",OR(INDEX('Game Records'!$D:$D,$H46)="",LOWER(INDEX('Game Records'!$D:$D,$H46)&amp;"")="n/a")),"Entry Mode; ","")&amp;IF(AND(INDEX('Game Records'!$U:$U,$H46)&lt;&gt;"Subscription",INDEX('Game Records'!$U:$U,$H46)&lt;&gt;"Free Game",INDEX('Game Records'!$U:$U,$H46)&lt;&gt;"Disqualified — Free Game",OR(INDEX('Game Records'!$E:$E,$H46)="",LOWER(INDEX('Game Records'!$E:$E,$H46)&amp;"")="n/a")),"Game Type; ","")&amp;IF(INDEX('Game Records'!$F:$F,$H46)="","Payment Type; ","")&amp;IF(AND(INDEX('Game Records'!$U:$U,$H46)&lt;&gt;"Subscription",INDEX('Game Records'!$U:$U,$H46)&lt;&gt;"Free Game",INDEX('Game Records'!$U:$U,$H46)&lt;&gt;"Disqualified — Free Game",INDEX('Game Records'!$G:$G,$H46)=""),"Gross Pot; ","")&amp;IF(AND(INDEX('Game Records'!$U:$U,$H46)&lt;&gt;"Free Game",INDEX('Game Records'!$U:$U,$H46)&lt;&gt;"Disqualified — Free Game",INDEX('Game Records'!$H:$H,$H46)=""),"Entry Fee; ","")&amp;IF(AND(INDEX('Game Records'!$U:$U,$H46)&lt;&gt;"Subscription",INDEX('Game Records'!$U:$U,$H46)&lt;&gt;"Free Game",INDEX('Game Records'!$U:$U,$H46)&lt;&gt;"Disqualified — Free Game",INDEX('Game Records'!$I:$I,$H46)=""),"Eligible Players; ","")&amp;IF(AND(INDEX('Game Records'!$U:$U,$H46)&lt;&gt;"Subscription",INDEX('Game Records'!$U:$U,$H46)&lt;&gt;"Free Game",INDEX('Game Records'!$U:$U,$H46)&lt;&gt;"Disqualified — Free Game",INDEX('Game Records'!$J:$J,$H46)=""),"Total Players; ","")&amp;IF(AND(LOWER(INDEX('Game Records'!$D:$D,$H46)&amp;"")="finalized",LOWER(INDEX('Game Records'!$L:$L,$H46)&amp;"")&lt;&gt;"yes",INDEX('Game Records'!$U:$U,$H46)&lt;&gt;"Subscription",INDEX('Game Records'!$U:$U,$H46)&lt;&gt;"Free Game",INDEX('Game Records'!$U:$U,$H46)&lt;&gt;"Disqualified — Free Game",INDEX('Game Records'!$K:$K,$H46)=""),"Final Payout; ","")&amp;IF(AND(LOWER(INDEX('Game Records'!$D:$D,$H46)&amp;"")="finalized",INDEX('Game Records'!$U:$U,$H46)&lt;&gt;"Subscription",INDEX('Game Records'!$U:$U,$H46)&lt;&gt;"Free Game",INDEX('Game Records'!$U:$U,$H46)&lt;&gt;"Disqualified — Free Game",OR(INDEX('Game Records'!$L:$L,$H46)="",LOWER(INDEX('Game Records'!$L:$L,$H46)&amp;"")="n/a")),"Disqualified Status; ",""))</f>
        <v/>
      </c>
      <c r="G46" s="23" t="str">
        <f t="array" ref="G46">IF($H46="","",IFERROR(INDEX('Game Records'!$M:$M,$H46),""))</f>
        <v/>
      </c>
      <c r="H46" s="3"/>
      <c r="I46" s="3"/>
      <c r="J46" s="3"/>
    </row>
    <row r="47" ht="24.0" customHeight="1">
      <c r="A47" s="18" t="str">
        <f t="shared" si="1"/>
        <v/>
      </c>
      <c r="B47" s="18" t="str">
        <f t="shared" si="2"/>
        <v/>
      </c>
      <c r="C47" s="23" t="str">
        <f t="array" ref="C47">IF($H47="","",IFERROR(INDEX('Game Records'!$A:$A,$H47),""))</f>
        <v/>
      </c>
      <c r="D47" s="23" t="str">
        <f t="array" ref="D47">IF($H47="","",IFERROR(INDEX('Game Records'!$U:$U,$H47),""))</f>
        <v/>
      </c>
      <c r="E47" s="23" t="str">
        <f t="array" ref="E47">IF($H47="","",LET(r,$H47,mode,LOWER(INDEX('Game Records'!$D:$D,r)&amp;""),endDate,INDEX('Game Records'!$C:$C,r),IF(mode="estimate",IF(endDate="","Estimate — End Date missing",IF(NOT(ISNUMBER(endDate)),"Estimate — Check End Date",IF(INT(endDate)&gt;=TODAY(),"In Progress — ends "&amp;TEXT(endDate,"mmm d, yyyy"),"Ready to Finalize"))),IF($F47="","No Highlighted Fields","Highlighted Fields Present"))))</f>
        <v/>
      </c>
      <c r="F47" s="23" t="str">
        <f t="array" ref="F47">IF($H47="","",IF(OR(NOT(_xlfn.ISFORMULA(INDEX('Game Records'!$N:$N,$H47))),NOT(_xlfn.ISFORMULA(INDEX('Game Records'!$O:$O,$H47))),NOT(_xlfn.ISFORMULA(INDEX('Game Records'!$P:$P,$H47))),NOT(_xlfn.ISFORMULA(INDEX('Game Records'!$Q:$Q,$H47))),NOT(_xlfn.ISFORMULA(INDEX('Game Records'!$R:$R,$H47))),NOT(_xlfn.ISFORMULA(INDEX('Game Records'!$S:$S,$H47))),NOT(_xlfn.ISFORMULA(INDEX('Game Records'!$T:$T,$H47))),NOT(_xlfn.ISFORMULA(INDEX('Game Records'!$U:$U,$H47))),NOT(_xlfn.ISFORMULA(INDEX('Game Records'!$V:$V,$H47))),NOT(_xlfn.ISFORMULA(INDEX('Game Records'!$W:$W,$H47))),NOT(_xlfn.ISFORMULA(INDEX('Game Records'!$X:$X,$H47))),NOT(_xlfn.ISFORMULA(INDEX('Game Records'!$Y:$Y,$H47))),NOT(_xlfn.ISFORMULA(INDEX('Game Records'!$Z:$Z,$H47)))),"","")&amp;IF(INDEX('Game Records'!$B:$B,$H47)="","Start Date; ","")&amp;IF(INDEX('Game Records'!$C:$C,$H47)="","End Date; ","")&amp;IF(AND(INDEX('Game Records'!$U:$U,$H47)&lt;&gt;"Subscription",INDEX('Game Records'!$U:$U,$H47)&lt;&gt;"Free Game",INDEX('Game Records'!$U:$U,$H47)&lt;&gt;"Disqualified — Free Game",OR(INDEX('Game Records'!$D:$D,$H47)="",LOWER(INDEX('Game Records'!$D:$D,$H47)&amp;"")="n/a")),"Entry Mode; ","")&amp;IF(AND(INDEX('Game Records'!$U:$U,$H47)&lt;&gt;"Subscription",INDEX('Game Records'!$U:$U,$H47)&lt;&gt;"Free Game",INDEX('Game Records'!$U:$U,$H47)&lt;&gt;"Disqualified — Free Game",OR(INDEX('Game Records'!$E:$E,$H47)="",LOWER(INDEX('Game Records'!$E:$E,$H47)&amp;"")="n/a")),"Game Type; ","")&amp;IF(INDEX('Game Records'!$F:$F,$H47)="","Payment Type; ","")&amp;IF(AND(INDEX('Game Records'!$U:$U,$H47)&lt;&gt;"Subscription",INDEX('Game Records'!$U:$U,$H47)&lt;&gt;"Free Game",INDEX('Game Records'!$U:$U,$H47)&lt;&gt;"Disqualified — Free Game",INDEX('Game Records'!$G:$G,$H47)=""),"Gross Pot; ","")&amp;IF(AND(INDEX('Game Records'!$U:$U,$H47)&lt;&gt;"Free Game",INDEX('Game Records'!$U:$U,$H47)&lt;&gt;"Disqualified — Free Game",INDEX('Game Records'!$H:$H,$H47)=""),"Entry Fee; ","")&amp;IF(AND(INDEX('Game Records'!$U:$U,$H47)&lt;&gt;"Subscription",INDEX('Game Records'!$U:$U,$H47)&lt;&gt;"Free Game",INDEX('Game Records'!$U:$U,$H47)&lt;&gt;"Disqualified — Free Game",INDEX('Game Records'!$I:$I,$H47)=""),"Eligible Players; ","")&amp;IF(AND(INDEX('Game Records'!$U:$U,$H47)&lt;&gt;"Subscription",INDEX('Game Records'!$U:$U,$H47)&lt;&gt;"Free Game",INDEX('Game Records'!$U:$U,$H47)&lt;&gt;"Disqualified — Free Game",INDEX('Game Records'!$J:$J,$H47)=""),"Total Players; ","")&amp;IF(AND(LOWER(INDEX('Game Records'!$D:$D,$H47)&amp;"")="finalized",LOWER(INDEX('Game Records'!$L:$L,$H47)&amp;"")&lt;&gt;"yes",INDEX('Game Records'!$U:$U,$H47)&lt;&gt;"Subscription",INDEX('Game Records'!$U:$U,$H47)&lt;&gt;"Free Game",INDEX('Game Records'!$U:$U,$H47)&lt;&gt;"Disqualified — Free Game",INDEX('Game Records'!$K:$K,$H47)=""),"Final Payout; ","")&amp;IF(AND(LOWER(INDEX('Game Records'!$D:$D,$H47)&amp;"")="finalized",INDEX('Game Records'!$U:$U,$H47)&lt;&gt;"Subscription",INDEX('Game Records'!$U:$U,$H47)&lt;&gt;"Free Game",INDEX('Game Records'!$U:$U,$H47)&lt;&gt;"Disqualified — Free Game",OR(INDEX('Game Records'!$L:$L,$H47)="",LOWER(INDEX('Game Records'!$L:$L,$H47)&amp;"")="n/a")),"Disqualified Status; ",""))</f>
        <v/>
      </c>
      <c r="G47" s="23" t="str">
        <f t="array" ref="G47">IF($H47="","",IFERROR(INDEX('Game Records'!$M:$M,$H47),""))</f>
        <v/>
      </c>
      <c r="H47" s="3"/>
      <c r="I47" s="3"/>
      <c r="J47" s="3"/>
    </row>
    <row r="48" ht="24.0" customHeight="1">
      <c r="A48" s="18" t="str">
        <f t="shared" si="1"/>
        <v/>
      </c>
      <c r="B48" s="18" t="str">
        <f t="shared" si="2"/>
        <v/>
      </c>
      <c r="C48" s="23" t="str">
        <f t="array" ref="C48">IF($H48="","",IFERROR(INDEX('Game Records'!$A:$A,$H48),""))</f>
        <v/>
      </c>
      <c r="D48" s="23" t="str">
        <f t="array" ref="D48">IF($H48="","",IFERROR(INDEX('Game Records'!$U:$U,$H48),""))</f>
        <v/>
      </c>
      <c r="E48" s="23" t="str">
        <f t="array" ref="E48">IF($H48="","",LET(r,$H48,mode,LOWER(INDEX('Game Records'!$D:$D,r)&amp;""),endDate,INDEX('Game Records'!$C:$C,r),IF(mode="estimate",IF(endDate="","Estimate — End Date missing",IF(NOT(ISNUMBER(endDate)),"Estimate — Check End Date",IF(INT(endDate)&gt;=TODAY(),"In Progress — ends "&amp;TEXT(endDate,"mmm d, yyyy"),"Ready to Finalize"))),IF($F48="","No Highlighted Fields","Highlighted Fields Present"))))</f>
        <v/>
      </c>
      <c r="F48" s="23" t="str">
        <f t="array" ref="F48">IF($H48="","",IF(OR(NOT(_xlfn.ISFORMULA(INDEX('Game Records'!$N:$N,$H48))),NOT(_xlfn.ISFORMULA(INDEX('Game Records'!$O:$O,$H48))),NOT(_xlfn.ISFORMULA(INDEX('Game Records'!$P:$P,$H48))),NOT(_xlfn.ISFORMULA(INDEX('Game Records'!$Q:$Q,$H48))),NOT(_xlfn.ISFORMULA(INDEX('Game Records'!$R:$R,$H48))),NOT(_xlfn.ISFORMULA(INDEX('Game Records'!$S:$S,$H48))),NOT(_xlfn.ISFORMULA(INDEX('Game Records'!$T:$T,$H48))),NOT(_xlfn.ISFORMULA(INDEX('Game Records'!$U:$U,$H48))),NOT(_xlfn.ISFORMULA(INDEX('Game Records'!$V:$V,$H48))),NOT(_xlfn.ISFORMULA(INDEX('Game Records'!$W:$W,$H48))),NOT(_xlfn.ISFORMULA(INDEX('Game Records'!$X:$X,$H48))),NOT(_xlfn.ISFORMULA(INDEX('Game Records'!$Y:$Y,$H48))),NOT(_xlfn.ISFORMULA(INDEX('Game Records'!$Z:$Z,$H48)))),"","")&amp;IF(INDEX('Game Records'!$B:$B,$H48)="","Start Date; ","")&amp;IF(INDEX('Game Records'!$C:$C,$H48)="","End Date; ","")&amp;IF(AND(INDEX('Game Records'!$U:$U,$H48)&lt;&gt;"Subscription",INDEX('Game Records'!$U:$U,$H48)&lt;&gt;"Free Game",INDEX('Game Records'!$U:$U,$H48)&lt;&gt;"Disqualified — Free Game",OR(INDEX('Game Records'!$D:$D,$H48)="",LOWER(INDEX('Game Records'!$D:$D,$H48)&amp;"")="n/a")),"Entry Mode; ","")&amp;IF(AND(INDEX('Game Records'!$U:$U,$H48)&lt;&gt;"Subscription",INDEX('Game Records'!$U:$U,$H48)&lt;&gt;"Free Game",INDEX('Game Records'!$U:$U,$H48)&lt;&gt;"Disqualified — Free Game",OR(INDEX('Game Records'!$E:$E,$H48)="",LOWER(INDEX('Game Records'!$E:$E,$H48)&amp;"")="n/a")),"Game Type; ","")&amp;IF(INDEX('Game Records'!$F:$F,$H48)="","Payment Type; ","")&amp;IF(AND(INDEX('Game Records'!$U:$U,$H48)&lt;&gt;"Subscription",INDEX('Game Records'!$U:$U,$H48)&lt;&gt;"Free Game",INDEX('Game Records'!$U:$U,$H48)&lt;&gt;"Disqualified — Free Game",INDEX('Game Records'!$G:$G,$H48)=""),"Gross Pot; ","")&amp;IF(AND(INDEX('Game Records'!$U:$U,$H48)&lt;&gt;"Free Game",INDEX('Game Records'!$U:$U,$H48)&lt;&gt;"Disqualified — Free Game",INDEX('Game Records'!$H:$H,$H48)=""),"Entry Fee; ","")&amp;IF(AND(INDEX('Game Records'!$U:$U,$H48)&lt;&gt;"Subscription",INDEX('Game Records'!$U:$U,$H48)&lt;&gt;"Free Game",INDEX('Game Records'!$U:$U,$H48)&lt;&gt;"Disqualified — Free Game",INDEX('Game Records'!$I:$I,$H48)=""),"Eligible Players; ","")&amp;IF(AND(INDEX('Game Records'!$U:$U,$H48)&lt;&gt;"Subscription",INDEX('Game Records'!$U:$U,$H48)&lt;&gt;"Free Game",INDEX('Game Records'!$U:$U,$H48)&lt;&gt;"Disqualified — Free Game",INDEX('Game Records'!$J:$J,$H48)=""),"Total Players; ","")&amp;IF(AND(LOWER(INDEX('Game Records'!$D:$D,$H48)&amp;"")="finalized",LOWER(INDEX('Game Records'!$L:$L,$H48)&amp;"")&lt;&gt;"yes",INDEX('Game Records'!$U:$U,$H48)&lt;&gt;"Subscription",INDEX('Game Records'!$U:$U,$H48)&lt;&gt;"Free Game",INDEX('Game Records'!$U:$U,$H48)&lt;&gt;"Disqualified — Free Game",INDEX('Game Records'!$K:$K,$H48)=""),"Final Payout; ","")&amp;IF(AND(LOWER(INDEX('Game Records'!$D:$D,$H48)&amp;"")="finalized",INDEX('Game Records'!$U:$U,$H48)&lt;&gt;"Subscription",INDEX('Game Records'!$U:$U,$H48)&lt;&gt;"Free Game",INDEX('Game Records'!$U:$U,$H48)&lt;&gt;"Disqualified — Free Game",OR(INDEX('Game Records'!$L:$L,$H48)="",LOWER(INDEX('Game Records'!$L:$L,$H48)&amp;"")="n/a")),"Disqualified Status; ",""))</f>
        <v/>
      </c>
      <c r="G48" s="23" t="str">
        <f t="array" ref="G48">IF($H48="","",IFERROR(INDEX('Game Records'!$M:$M,$H48),""))</f>
        <v/>
      </c>
      <c r="H48" s="3"/>
      <c r="I48" s="3"/>
      <c r="J48" s="3"/>
    </row>
    <row r="49" ht="24.0" customHeight="1">
      <c r="A49" s="18" t="str">
        <f t="shared" si="1"/>
        <v/>
      </c>
      <c r="B49" s="18" t="str">
        <f t="shared" si="2"/>
        <v/>
      </c>
      <c r="C49" s="23" t="str">
        <f t="array" ref="C49">IF($H49="","",IFERROR(INDEX('Game Records'!$A:$A,$H49),""))</f>
        <v/>
      </c>
      <c r="D49" s="23" t="str">
        <f t="array" ref="D49">IF($H49="","",IFERROR(INDEX('Game Records'!$U:$U,$H49),""))</f>
        <v/>
      </c>
      <c r="E49" s="23" t="str">
        <f t="array" ref="E49">IF($H49="","",LET(r,$H49,mode,LOWER(INDEX('Game Records'!$D:$D,r)&amp;""),endDate,INDEX('Game Records'!$C:$C,r),IF(mode="estimate",IF(endDate="","Estimate — End Date missing",IF(NOT(ISNUMBER(endDate)),"Estimate — Check End Date",IF(INT(endDate)&gt;=TODAY(),"In Progress — ends "&amp;TEXT(endDate,"mmm d, yyyy"),"Ready to Finalize"))),IF($F49="","No Highlighted Fields","Highlighted Fields Present"))))</f>
        <v/>
      </c>
      <c r="F49" s="23" t="str">
        <f t="array" ref="F49">IF($H49="","",IF(OR(NOT(_xlfn.ISFORMULA(INDEX('Game Records'!$N:$N,$H49))),NOT(_xlfn.ISFORMULA(INDEX('Game Records'!$O:$O,$H49))),NOT(_xlfn.ISFORMULA(INDEX('Game Records'!$P:$P,$H49))),NOT(_xlfn.ISFORMULA(INDEX('Game Records'!$Q:$Q,$H49))),NOT(_xlfn.ISFORMULA(INDEX('Game Records'!$R:$R,$H49))),NOT(_xlfn.ISFORMULA(INDEX('Game Records'!$S:$S,$H49))),NOT(_xlfn.ISFORMULA(INDEX('Game Records'!$T:$T,$H49))),NOT(_xlfn.ISFORMULA(INDEX('Game Records'!$U:$U,$H49))),NOT(_xlfn.ISFORMULA(INDEX('Game Records'!$V:$V,$H49))),NOT(_xlfn.ISFORMULA(INDEX('Game Records'!$W:$W,$H49))),NOT(_xlfn.ISFORMULA(INDEX('Game Records'!$X:$X,$H49))),NOT(_xlfn.ISFORMULA(INDEX('Game Records'!$Y:$Y,$H49))),NOT(_xlfn.ISFORMULA(INDEX('Game Records'!$Z:$Z,$H49)))),"","")&amp;IF(INDEX('Game Records'!$B:$B,$H49)="","Start Date; ","")&amp;IF(INDEX('Game Records'!$C:$C,$H49)="","End Date; ","")&amp;IF(AND(INDEX('Game Records'!$U:$U,$H49)&lt;&gt;"Subscription",INDEX('Game Records'!$U:$U,$H49)&lt;&gt;"Free Game",INDEX('Game Records'!$U:$U,$H49)&lt;&gt;"Disqualified — Free Game",OR(INDEX('Game Records'!$D:$D,$H49)="",LOWER(INDEX('Game Records'!$D:$D,$H49)&amp;"")="n/a")),"Entry Mode; ","")&amp;IF(AND(INDEX('Game Records'!$U:$U,$H49)&lt;&gt;"Subscription",INDEX('Game Records'!$U:$U,$H49)&lt;&gt;"Free Game",INDEX('Game Records'!$U:$U,$H49)&lt;&gt;"Disqualified — Free Game",OR(INDEX('Game Records'!$E:$E,$H49)="",LOWER(INDEX('Game Records'!$E:$E,$H49)&amp;"")="n/a")),"Game Type; ","")&amp;IF(INDEX('Game Records'!$F:$F,$H49)="","Payment Type; ","")&amp;IF(AND(INDEX('Game Records'!$U:$U,$H49)&lt;&gt;"Subscription",INDEX('Game Records'!$U:$U,$H49)&lt;&gt;"Free Game",INDEX('Game Records'!$U:$U,$H49)&lt;&gt;"Disqualified — Free Game",INDEX('Game Records'!$G:$G,$H49)=""),"Gross Pot; ","")&amp;IF(AND(INDEX('Game Records'!$U:$U,$H49)&lt;&gt;"Free Game",INDEX('Game Records'!$U:$U,$H49)&lt;&gt;"Disqualified — Free Game",INDEX('Game Records'!$H:$H,$H49)=""),"Entry Fee; ","")&amp;IF(AND(INDEX('Game Records'!$U:$U,$H49)&lt;&gt;"Subscription",INDEX('Game Records'!$U:$U,$H49)&lt;&gt;"Free Game",INDEX('Game Records'!$U:$U,$H49)&lt;&gt;"Disqualified — Free Game",INDEX('Game Records'!$I:$I,$H49)=""),"Eligible Players; ","")&amp;IF(AND(INDEX('Game Records'!$U:$U,$H49)&lt;&gt;"Subscription",INDEX('Game Records'!$U:$U,$H49)&lt;&gt;"Free Game",INDEX('Game Records'!$U:$U,$H49)&lt;&gt;"Disqualified — Free Game",INDEX('Game Records'!$J:$J,$H49)=""),"Total Players; ","")&amp;IF(AND(LOWER(INDEX('Game Records'!$D:$D,$H49)&amp;"")="finalized",LOWER(INDEX('Game Records'!$L:$L,$H49)&amp;"")&lt;&gt;"yes",INDEX('Game Records'!$U:$U,$H49)&lt;&gt;"Subscription",INDEX('Game Records'!$U:$U,$H49)&lt;&gt;"Free Game",INDEX('Game Records'!$U:$U,$H49)&lt;&gt;"Disqualified — Free Game",INDEX('Game Records'!$K:$K,$H49)=""),"Final Payout; ","")&amp;IF(AND(LOWER(INDEX('Game Records'!$D:$D,$H49)&amp;"")="finalized",INDEX('Game Records'!$U:$U,$H49)&lt;&gt;"Subscription",INDEX('Game Records'!$U:$U,$H49)&lt;&gt;"Free Game",INDEX('Game Records'!$U:$U,$H49)&lt;&gt;"Disqualified — Free Game",OR(INDEX('Game Records'!$L:$L,$H49)="",LOWER(INDEX('Game Records'!$L:$L,$H49)&amp;"")="n/a")),"Disqualified Status; ",""))</f>
        <v/>
      </c>
      <c r="G49" s="23" t="str">
        <f t="array" ref="G49">IF($H49="","",IFERROR(INDEX('Game Records'!$M:$M,$H49),""))</f>
        <v/>
      </c>
      <c r="H49" s="3"/>
      <c r="I49" s="3"/>
      <c r="J49" s="3"/>
    </row>
    <row r="50" ht="24.0" customHeight="1">
      <c r="A50" s="18" t="str">
        <f t="shared" si="1"/>
        <v/>
      </c>
      <c r="B50" s="18" t="str">
        <f t="shared" si="2"/>
        <v/>
      </c>
      <c r="C50" s="23" t="str">
        <f t="array" ref="C50">IF($H50="","",IFERROR(INDEX('Game Records'!$A:$A,$H50),""))</f>
        <v/>
      </c>
      <c r="D50" s="23" t="str">
        <f t="array" ref="D50">IF($H50="","",IFERROR(INDEX('Game Records'!$U:$U,$H50),""))</f>
        <v/>
      </c>
      <c r="E50" s="23" t="str">
        <f t="array" ref="E50">IF($H50="","",LET(r,$H50,mode,LOWER(INDEX('Game Records'!$D:$D,r)&amp;""),endDate,INDEX('Game Records'!$C:$C,r),IF(mode="estimate",IF(endDate="","Estimate — End Date missing",IF(NOT(ISNUMBER(endDate)),"Estimate — Check End Date",IF(INT(endDate)&gt;=TODAY(),"In Progress — ends "&amp;TEXT(endDate,"mmm d, yyyy"),"Ready to Finalize"))),IF($F50="","No Highlighted Fields","Highlighted Fields Present"))))</f>
        <v/>
      </c>
      <c r="F50" s="23" t="str">
        <f t="array" ref="F50">IF($H50="","",IF(OR(NOT(_xlfn.ISFORMULA(INDEX('Game Records'!$N:$N,$H50))),NOT(_xlfn.ISFORMULA(INDEX('Game Records'!$O:$O,$H50))),NOT(_xlfn.ISFORMULA(INDEX('Game Records'!$P:$P,$H50))),NOT(_xlfn.ISFORMULA(INDEX('Game Records'!$Q:$Q,$H50))),NOT(_xlfn.ISFORMULA(INDEX('Game Records'!$R:$R,$H50))),NOT(_xlfn.ISFORMULA(INDEX('Game Records'!$S:$S,$H50))),NOT(_xlfn.ISFORMULA(INDEX('Game Records'!$T:$T,$H50))),NOT(_xlfn.ISFORMULA(INDEX('Game Records'!$U:$U,$H50))),NOT(_xlfn.ISFORMULA(INDEX('Game Records'!$V:$V,$H50))),NOT(_xlfn.ISFORMULA(INDEX('Game Records'!$W:$W,$H50))),NOT(_xlfn.ISFORMULA(INDEX('Game Records'!$X:$X,$H50))),NOT(_xlfn.ISFORMULA(INDEX('Game Records'!$Y:$Y,$H50))),NOT(_xlfn.ISFORMULA(INDEX('Game Records'!$Z:$Z,$H50)))),"","")&amp;IF(INDEX('Game Records'!$B:$B,$H50)="","Start Date; ","")&amp;IF(INDEX('Game Records'!$C:$C,$H50)="","End Date; ","")&amp;IF(AND(INDEX('Game Records'!$U:$U,$H50)&lt;&gt;"Subscription",INDEX('Game Records'!$U:$U,$H50)&lt;&gt;"Free Game",INDEX('Game Records'!$U:$U,$H50)&lt;&gt;"Disqualified — Free Game",OR(INDEX('Game Records'!$D:$D,$H50)="",LOWER(INDEX('Game Records'!$D:$D,$H50)&amp;"")="n/a")),"Entry Mode; ","")&amp;IF(AND(INDEX('Game Records'!$U:$U,$H50)&lt;&gt;"Subscription",INDEX('Game Records'!$U:$U,$H50)&lt;&gt;"Free Game",INDEX('Game Records'!$U:$U,$H50)&lt;&gt;"Disqualified — Free Game",OR(INDEX('Game Records'!$E:$E,$H50)="",LOWER(INDEX('Game Records'!$E:$E,$H50)&amp;"")="n/a")),"Game Type; ","")&amp;IF(INDEX('Game Records'!$F:$F,$H50)="","Payment Type; ","")&amp;IF(AND(INDEX('Game Records'!$U:$U,$H50)&lt;&gt;"Subscription",INDEX('Game Records'!$U:$U,$H50)&lt;&gt;"Free Game",INDEX('Game Records'!$U:$U,$H50)&lt;&gt;"Disqualified — Free Game",INDEX('Game Records'!$G:$G,$H50)=""),"Gross Pot; ","")&amp;IF(AND(INDEX('Game Records'!$U:$U,$H50)&lt;&gt;"Free Game",INDEX('Game Records'!$U:$U,$H50)&lt;&gt;"Disqualified — Free Game",INDEX('Game Records'!$H:$H,$H50)=""),"Entry Fee; ","")&amp;IF(AND(INDEX('Game Records'!$U:$U,$H50)&lt;&gt;"Subscription",INDEX('Game Records'!$U:$U,$H50)&lt;&gt;"Free Game",INDEX('Game Records'!$U:$U,$H50)&lt;&gt;"Disqualified — Free Game",INDEX('Game Records'!$I:$I,$H50)=""),"Eligible Players; ","")&amp;IF(AND(INDEX('Game Records'!$U:$U,$H50)&lt;&gt;"Subscription",INDEX('Game Records'!$U:$U,$H50)&lt;&gt;"Free Game",INDEX('Game Records'!$U:$U,$H50)&lt;&gt;"Disqualified — Free Game",INDEX('Game Records'!$J:$J,$H50)=""),"Total Players; ","")&amp;IF(AND(LOWER(INDEX('Game Records'!$D:$D,$H50)&amp;"")="finalized",LOWER(INDEX('Game Records'!$L:$L,$H50)&amp;"")&lt;&gt;"yes",INDEX('Game Records'!$U:$U,$H50)&lt;&gt;"Subscription",INDEX('Game Records'!$U:$U,$H50)&lt;&gt;"Free Game",INDEX('Game Records'!$U:$U,$H50)&lt;&gt;"Disqualified — Free Game",INDEX('Game Records'!$K:$K,$H50)=""),"Final Payout; ","")&amp;IF(AND(LOWER(INDEX('Game Records'!$D:$D,$H50)&amp;"")="finalized",INDEX('Game Records'!$U:$U,$H50)&lt;&gt;"Subscription",INDEX('Game Records'!$U:$U,$H50)&lt;&gt;"Free Game",INDEX('Game Records'!$U:$U,$H50)&lt;&gt;"Disqualified — Free Game",OR(INDEX('Game Records'!$L:$L,$H50)="",LOWER(INDEX('Game Records'!$L:$L,$H50)&amp;"")="n/a")),"Disqualified Status; ",""))</f>
        <v/>
      </c>
      <c r="G50" s="23" t="str">
        <f t="array" ref="G50">IF($H50="","",IFERROR(INDEX('Game Records'!$M:$M,$H50),""))</f>
        <v/>
      </c>
      <c r="H50" s="3"/>
      <c r="I50" s="3"/>
      <c r="J50" s="3"/>
    </row>
    <row r="51" ht="24.0" customHeight="1">
      <c r="A51" s="18" t="str">
        <f t="shared" si="1"/>
        <v/>
      </c>
      <c r="B51" s="18" t="str">
        <f t="shared" si="2"/>
        <v/>
      </c>
      <c r="C51" s="23" t="str">
        <f t="array" ref="C51">IF($H51="","",IFERROR(INDEX('Game Records'!$A:$A,$H51),""))</f>
        <v/>
      </c>
      <c r="D51" s="23" t="str">
        <f t="array" ref="D51">IF($H51="","",IFERROR(INDEX('Game Records'!$U:$U,$H51),""))</f>
        <v/>
      </c>
      <c r="E51" s="23" t="str">
        <f t="array" ref="E51">IF($H51="","",LET(r,$H51,mode,LOWER(INDEX('Game Records'!$D:$D,r)&amp;""),endDate,INDEX('Game Records'!$C:$C,r),IF(mode="estimate",IF(endDate="","Estimate — End Date missing",IF(NOT(ISNUMBER(endDate)),"Estimate — Check End Date",IF(INT(endDate)&gt;=TODAY(),"In Progress — ends "&amp;TEXT(endDate,"mmm d, yyyy"),"Ready to Finalize"))),IF($F51="","No Highlighted Fields","Highlighted Fields Present"))))</f>
        <v/>
      </c>
      <c r="F51" s="23" t="str">
        <f t="array" ref="F51">IF($H51="","",IF(OR(NOT(_xlfn.ISFORMULA(INDEX('Game Records'!$N:$N,$H51))),NOT(_xlfn.ISFORMULA(INDEX('Game Records'!$O:$O,$H51))),NOT(_xlfn.ISFORMULA(INDEX('Game Records'!$P:$P,$H51))),NOT(_xlfn.ISFORMULA(INDEX('Game Records'!$Q:$Q,$H51))),NOT(_xlfn.ISFORMULA(INDEX('Game Records'!$R:$R,$H51))),NOT(_xlfn.ISFORMULA(INDEX('Game Records'!$S:$S,$H51))),NOT(_xlfn.ISFORMULA(INDEX('Game Records'!$T:$T,$H51))),NOT(_xlfn.ISFORMULA(INDEX('Game Records'!$U:$U,$H51))),NOT(_xlfn.ISFORMULA(INDEX('Game Records'!$V:$V,$H51))),NOT(_xlfn.ISFORMULA(INDEX('Game Records'!$W:$W,$H51))),NOT(_xlfn.ISFORMULA(INDEX('Game Records'!$X:$X,$H51))),NOT(_xlfn.ISFORMULA(INDEX('Game Records'!$Y:$Y,$H51))),NOT(_xlfn.ISFORMULA(INDEX('Game Records'!$Z:$Z,$H51)))),"","")&amp;IF(INDEX('Game Records'!$B:$B,$H51)="","Start Date; ","")&amp;IF(INDEX('Game Records'!$C:$C,$H51)="","End Date; ","")&amp;IF(AND(INDEX('Game Records'!$U:$U,$H51)&lt;&gt;"Subscription",INDEX('Game Records'!$U:$U,$H51)&lt;&gt;"Free Game",INDEX('Game Records'!$U:$U,$H51)&lt;&gt;"Disqualified — Free Game",OR(INDEX('Game Records'!$D:$D,$H51)="",LOWER(INDEX('Game Records'!$D:$D,$H51)&amp;"")="n/a")),"Entry Mode; ","")&amp;IF(AND(INDEX('Game Records'!$U:$U,$H51)&lt;&gt;"Subscription",INDEX('Game Records'!$U:$U,$H51)&lt;&gt;"Free Game",INDEX('Game Records'!$U:$U,$H51)&lt;&gt;"Disqualified — Free Game",OR(INDEX('Game Records'!$E:$E,$H51)="",LOWER(INDEX('Game Records'!$E:$E,$H51)&amp;"")="n/a")),"Game Type; ","")&amp;IF(INDEX('Game Records'!$F:$F,$H51)="","Payment Type; ","")&amp;IF(AND(INDEX('Game Records'!$U:$U,$H51)&lt;&gt;"Subscription",INDEX('Game Records'!$U:$U,$H51)&lt;&gt;"Free Game",INDEX('Game Records'!$U:$U,$H51)&lt;&gt;"Disqualified — Free Game",INDEX('Game Records'!$G:$G,$H51)=""),"Gross Pot; ","")&amp;IF(AND(INDEX('Game Records'!$U:$U,$H51)&lt;&gt;"Free Game",INDEX('Game Records'!$U:$U,$H51)&lt;&gt;"Disqualified — Free Game",INDEX('Game Records'!$H:$H,$H51)=""),"Entry Fee; ","")&amp;IF(AND(INDEX('Game Records'!$U:$U,$H51)&lt;&gt;"Subscription",INDEX('Game Records'!$U:$U,$H51)&lt;&gt;"Free Game",INDEX('Game Records'!$U:$U,$H51)&lt;&gt;"Disqualified — Free Game",INDEX('Game Records'!$I:$I,$H51)=""),"Eligible Players; ","")&amp;IF(AND(INDEX('Game Records'!$U:$U,$H51)&lt;&gt;"Subscription",INDEX('Game Records'!$U:$U,$H51)&lt;&gt;"Free Game",INDEX('Game Records'!$U:$U,$H51)&lt;&gt;"Disqualified — Free Game",INDEX('Game Records'!$J:$J,$H51)=""),"Total Players; ","")&amp;IF(AND(LOWER(INDEX('Game Records'!$D:$D,$H51)&amp;"")="finalized",LOWER(INDEX('Game Records'!$L:$L,$H51)&amp;"")&lt;&gt;"yes",INDEX('Game Records'!$U:$U,$H51)&lt;&gt;"Subscription",INDEX('Game Records'!$U:$U,$H51)&lt;&gt;"Free Game",INDEX('Game Records'!$U:$U,$H51)&lt;&gt;"Disqualified — Free Game",INDEX('Game Records'!$K:$K,$H51)=""),"Final Payout; ","")&amp;IF(AND(LOWER(INDEX('Game Records'!$D:$D,$H51)&amp;"")="finalized",INDEX('Game Records'!$U:$U,$H51)&lt;&gt;"Subscription",INDEX('Game Records'!$U:$U,$H51)&lt;&gt;"Free Game",INDEX('Game Records'!$U:$U,$H51)&lt;&gt;"Disqualified — Free Game",OR(INDEX('Game Records'!$L:$L,$H51)="",LOWER(INDEX('Game Records'!$L:$L,$H51)&amp;"")="n/a")),"Disqualified Status; ",""))</f>
        <v/>
      </c>
      <c r="G51" s="23" t="str">
        <f t="array" ref="G51">IF($H51="","",IFERROR(INDEX('Game Records'!$M:$M,$H51),""))</f>
        <v/>
      </c>
      <c r="H51" s="3"/>
      <c r="I51" s="3"/>
      <c r="J51" s="3"/>
    </row>
    <row r="52" ht="24.0" customHeight="1">
      <c r="A52" s="18" t="str">
        <f t="shared" si="1"/>
        <v/>
      </c>
      <c r="B52" s="18" t="str">
        <f t="shared" si="2"/>
        <v/>
      </c>
      <c r="C52" s="23" t="str">
        <f t="array" ref="C52">IF($H52="","",IFERROR(INDEX('Game Records'!$A:$A,$H52),""))</f>
        <v/>
      </c>
      <c r="D52" s="23" t="str">
        <f t="array" ref="D52">IF($H52="","",IFERROR(INDEX('Game Records'!$U:$U,$H52),""))</f>
        <v/>
      </c>
      <c r="E52" s="23" t="str">
        <f t="array" ref="E52">IF($H52="","",LET(r,$H52,mode,LOWER(INDEX('Game Records'!$D:$D,r)&amp;""),endDate,INDEX('Game Records'!$C:$C,r),IF(mode="estimate",IF(endDate="","Estimate — End Date missing",IF(NOT(ISNUMBER(endDate)),"Estimate — Check End Date",IF(INT(endDate)&gt;=TODAY(),"In Progress — ends "&amp;TEXT(endDate,"mmm d, yyyy"),"Ready to Finalize"))),IF($F52="","No Highlighted Fields","Highlighted Fields Present"))))</f>
        <v/>
      </c>
      <c r="F52" s="23" t="str">
        <f t="array" ref="F52">IF($H52="","",IF(OR(NOT(_xlfn.ISFORMULA(INDEX('Game Records'!$N:$N,$H52))),NOT(_xlfn.ISFORMULA(INDEX('Game Records'!$O:$O,$H52))),NOT(_xlfn.ISFORMULA(INDEX('Game Records'!$P:$P,$H52))),NOT(_xlfn.ISFORMULA(INDEX('Game Records'!$Q:$Q,$H52))),NOT(_xlfn.ISFORMULA(INDEX('Game Records'!$R:$R,$H52))),NOT(_xlfn.ISFORMULA(INDEX('Game Records'!$S:$S,$H52))),NOT(_xlfn.ISFORMULA(INDEX('Game Records'!$T:$T,$H52))),NOT(_xlfn.ISFORMULA(INDEX('Game Records'!$U:$U,$H52))),NOT(_xlfn.ISFORMULA(INDEX('Game Records'!$V:$V,$H52))),NOT(_xlfn.ISFORMULA(INDEX('Game Records'!$W:$W,$H52))),NOT(_xlfn.ISFORMULA(INDEX('Game Records'!$X:$X,$H52))),NOT(_xlfn.ISFORMULA(INDEX('Game Records'!$Y:$Y,$H52))),NOT(_xlfn.ISFORMULA(INDEX('Game Records'!$Z:$Z,$H52)))),"","")&amp;IF(INDEX('Game Records'!$B:$B,$H52)="","Start Date; ","")&amp;IF(INDEX('Game Records'!$C:$C,$H52)="","End Date; ","")&amp;IF(AND(INDEX('Game Records'!$U:$U,$H52)&lt;&gt;"Subscription",INDEX('Game Records'!$U:$U,$H52)&lt;&gt;"Free Game",INDEX('Game Records'!$U:$U,$H52)&lt;&gt;"Disqualified — Free Game",OR(INDEX('Game Records'!$D:$D,$H52)="",LOWER(INDEX('Game Records'!$D:$D,$H52)&amp;"")="n/a")),"Entry Mode; ","")&amp;IF(AND(INDEX('Game Records'!$U:$U,$H52)&lt;&gt;"Subscription",INDEX('Game Records'!$U:$U,$H52)&lt;&gt;"Free Game",INDEX('Game Records'!$U:$U,$H52)&lt;&gt;"Disqualified — Free Game",OR(INDEX('Game Records'!$E:$E,$H52)="",LOWER(INDEX('Game Records'!$E:$E,$H52)&amp;"")="n/a")),"Game Type; ","")&amp;IF(INDEX('Game Records'!$F:$F,$H52)="","Payment Type; ","")&amp;IF(AND(INDEX('Game Records'!$U:$U,$H52)&lt;&gt;"Subscription",INDEX('Game Records'!$U:$U,$H52)&lt;&gt;"Free Game",INDEX('Game Records'!$U:$U,$H52)&lt;&gt;"Disqualified — Free Game",INDEX('Game Records'!$G:$G,$H52)=""),"Gross Pot; ","")&amp;IF(AND(INDEX('Game Records'!$U:$U,$H52)&lt;&gt;"Free Game",INDEX('Game Records'!$U:$U,$H52)&lt;&gt;"Disqualified — Free Game",INDEX('Game Records'!$H:$H,$H52)=""),"Entry Fee; ","")&amp;IF(AND(INDEX('Game Records'!$U:$U,$H52)&lt;&gt;"Subscription",INDEX('Game Records'!$U:$U,$H52)&lt;&gt;"Free Game",INDEX('Game Records'!$U:$U,$H52)&lt;&gt;"Disqualified — Free Game",INDEX('Game Records'!$I:$I,$H52)=""),"Eligible Players; ","")&amp;IF(AND(INDEX('Game Records'!$U:$U,$H52)&lt;&gt;"Subscription",INDEX('Game Records'!$U:$U,$H52)&lt;&gt;"Free Game",INDEX('Game Records'!$U:$U,$H52)&lt;&gt;"Disqualified — Free Game",INDEX('Game Records'!$J:$J,$H52)=""),"Total Players; ","")&amp;IF(AND(LOWER(INDEX('Game Records'!$D:$D,$H52)&amp;"")="finalized",LOWER(INDEX('Game Records'!$L:$L,$H52)&amp;"")&lt;&gt;"yes",INDEX('Game Records'!$U:$U,$H52)&lt;&gt;"Subscription",INDEX('Game Records'!$U:$U,$H52)&lt;&gt;"Free Game",INDEX('Game Records'!$U:$U,$H52)&lt;&gt;"Disqualified — Free Game",INDEX('Game Records'!$K:$K,$H52)=""),"Final Payout; ","")&amp;IF(AND(LOWER(INDEX('Game Records'!$D:$D,$H52)&amp;"")="finalized",INDEX('Game Records'!$U:$U,$H52)&lt;&gt;"Subscription",INDEX('Game Records'!$U:$U,$H52)&lt;&gt;"Free Game",INDEX('Game Records'!$U:$U,$H52)&lt;&gt;"Disqualified — Free Game",OR(INDEX('Game Records'!$L:$L,$H52)="",LOWER(INDEX('Game Records'!$L:$L,$H52)&amp;"")="n/a")),"Disqualified Status; ",""))</f>
        <v/>
      </c>
      <c r="G52" s="23" t="str">
        <f t="array" ref="G52">IF($H52="","",IFERROR(INDEX('Game Records'!$M:$M,$H52),""))</f>
        <v/>
      </c>
      <c r="H52" s="3"/>
      <c r="I52" s="3"/>
      <c r="J52" s="3"/>
    </row>
    <row r="53" ht="24.0" customHeight="1">
      <c r="A53" s="18" t="str">
        <f t="shared" si="1"/>
        <v/>
      </c>
      <c r="B53" s="18" t="str">
        <f t="shared" si="2"/>
        <v/>
      </c>
      <c r="C53" s="23" t="str">
        <f t="array" ref="C53">IF($H53="","",IFERROR(INDEX('Game Records'!$A:$A,$H53),""))</f>
        <v/>
      </c>
      <c r="D53" s="23" t="str">
        <f t="array" ref="D53">IF($H53="","",IFERROR(INDEX('Game Records'!$U:$U,$H53),""))</f>
        <v/>
      </c>
      <c r="E53" s="23" t="str">
        <f t="array" ref="E53">IF($H53="","",LET(r,$H53,mode,LOWER(INDEX('Game Records'!$D:$D,r)&amp;""),endDate,INDEX('Game Records'!$C:$C,r),IF(mode="estimate",IF(endDate="","Estimate — End Date missing",IF(NOT(ISNUMBER(endDate)),"Estimate — Check End Date",IF(INT(endDate)&gt;=TODAY(),"In Progress — ends "&amp;TEXT(endDate,"mmm d, yyyy"),"Ready to Finalize"))),IF($F53="","No Highlighted Fields","Highlighted Fields Present"))))</f>
        <v/>
      </c>
      <c r="F53" s="23" t="str">
        <f t="array" ref="F53">IF($H53="","",IF(OR(NOT(_xlfn.ISFORMULA(INDEX('Game Records'!$N:$N,$H53))),NOT(_xlfn.ISFORMULA(INDEX('Game Records'!$O:$O,$H53))),NOT(_xlfn.ISFORMULA(INDEX('Game Records'!$P:$P,$H53))),NOT(_xlfn.ISFORMULA(INDEX('Game Records'!$Q:$Q,$H53))),NOT(_xlfn.ISFORMULA(INDEX('Game Records'!$R:$R,$H53))),NOT(_xlfn.ISFORMULA(INDEX('Game Records'!$S:$S,$H53))),NOT(_xlfn.ISFORMULA(INDEX('Game Records'!$T:$T,$H53))),NOT(_xlfn.ISFORMULA(INDEX('Game Records'!$U:$U,$H53))),NOT(_xlfn.ISFORMULA(INDEX('Game Records'!$V:$V,$H53))),NOT(_xlfn.ISFORMULA(INDEX('Game Records'!$W:$W,$H53))),NOT(_xlfn.ISFORMULA(INDEX('Game Records'!$X:$X,$H53))),NOT(_xlfn.ISFORMULA(INDEX('Game Records'!$Y:$Y,$H53))),NOT(_xlfn.ISFORMULA(INDEX('Game Records'!$Z:$Z,$H53)))),"","")&amp;IF(INDEX('Game Records'!$B:$B,$H53)="","Start Date; ","")&amp;IF(INDEX('Game Records'!$C:$C,$H53)="","End Date; ","")&amp;IF(AND(INDEX('Game Records'!$U:$U,$H53)&lt;&gt;"Subscription",INDEX('Game Records'!$U:$U,$H53)&lt;&gt;"Free Game",INDEX('Game Records'!$U:$U,$H53)&lt;&gt;"Disqualified — Free Game",OR(INDEX('Game Records'!$D:$D,$H53)="",LOWER(INDEX('Game Records'!$D:$D,$H53)&amp;"")="n/a")),"Entry Mode; ","")&amp;IF(AND(INDEX('Game Records'!$U:$U,$H53)&lt;&gt;"Subscription",INDEX('Game Records'!$U:$U,$H53)&lt;&gt;"Free Game",INDEX('Game Records'!$U:$U,$H53)&lt;&gt;"Disqualified — Free Game",OR(INDEX('Game Records'!$E:$E,$H53)="",LOWER(INDEX('Game Records'!$E:$E,$H53)&amp;"")="n/a")),"Game Type; ","")&amp;IF(INDEX('Game Records'!$F:$F,$H53)="","Payment Type; ","")&amp;IF(AND(INDEX('Game Records'!$U:$U,$H53)&lt;&gt;"Subscription",INDEX('Game Records'!$U:$U,$H53)&lt;&gt;"Free Game",INDEX('Game Records'!$U:$U,$H53)&lt;&gt;"Disqualified — Free Game",INDEX('Game Records'!$G:$G,$H53)=""),"Gross Pot; ","")&amp;IF(AND(INDEX('Game Records'!$U:$U,$H53)&lt;&gt;"Free Game",INDEX('Game Records'!$U:$U,$H53)&lt;&gt;"Disqualified — Free Game",INDEX('Game Records'!$H:$H,$H53)=""),"Entry Fee; ","")&amp;IF(AND(INDEX('Game Records'!$U:$U,$H53)&lt;&gt;"Subscription",INDEX('Game Records'!$U:$U,$H53)&lt;&gt;"Free Game",INDEX('Game Records'!$U:$U,$H53)&lt;&gt;"Disqualified — Free Game",INDEX('Game Records'!$I:$I,$H53)=""),"Eligible Players; ","")&amp;IF(AND(INDEX('Game Records'!$U:$U,$H53)&lt;&gt;"Subscription",INDEX('Game Records'!$U:$U,$H53)&lt;&gt;"Free Game",INDEX('Game Records'!$U:$U,$H53)&lt;&gt;"Disqualified — Free Game",INDEX('Game Records'!$J:$J,$H53)=""),"Total Players; ","")&amp;IF(AND(LOWER(INDEX('Game Records'!$D:$D,$H53)&amp;"")="finalized",LOWER(INDEX('Game Records'!$L:$L,$H53)&amp;"")&lt;&gt;"yes",INDEX('Game Records'!$U:$U,$H53)&lt;&gt;"Subscription",INDEX('Game Records'!$U:$U,$H53)&lt;&gt;"Free Game",INDEX('Game Records'!$U:$U,$H53)&lt;&gt;"Disqualified — Free Game",INDEX('Game Records'!$K:$K,$H53)=""),"Final Payout; ","")&amp;IF(AND(LOWER(INDEX('Game Records'!$D:$D,$H53)&amp;"")="finalized",INDEX('Game Records'!$U:$U,$H53)&lt;&gt;"Subscription",INDEX('Game Records'!$U:$U,$H53)&lt;&gt;"Free Game",INDEX('Game Records'!$U:$U,$H53)&lt;&gt;"Disqualified — Free Game",OR(INDEX('Game Records'!$L:$L,$H53)="",LOWER(INDEX('Game Records'!$L:$L,$H53)&amp;"")="n/a")),"Disqualified Status; ",""))</f>
        <v/>
      </c>
      <c r="G53" s="23" t="str">
        <f t="array" ref="G53">IF($H53="","",IFERROR(INDEX('Game Records'!$M:$M,$H53),""))</f>
        <v/>
      </c>
      <c r="H53" s="3"/>
      <c r="I53" s="3"/>
      <c r="J53" s="3"/>
    </row>
    <row r="54" ht="24.0" customHeight="1">
      <c r="A54" s="18" t="str">
        <f t="shared" si="1"/>
        <v/>
      </c>
      <c r="B54" s="18" t="str">
        <f t="shared" si="2"/>
        <v/>
      </c>
      <c r="C54" s="23" t="str">
        <f t="array" ref="C54">IF($H54="","",IFERROR(INDEX('Game Records'!$A:$A,$H54),""))</f>
        <v/>
      </c>
      <c r="D54" s="23" t="str">
        <f t="array" ref="D54">IF($H54="","",IFERROR(INDEX('Game Records'!$U:$U,$H54),""))</f>
        <v/>
      </c>
      <c r="E54" s="23" t="str">
        <f t="array" ref="E54">IF($H54="","",LET(r,$H54,mode,LOWER(INDEX('Game Records'!$D:$D,r)&amp;""),endDate,INDEX('Game Records'!$C:$C,r),IF(mode="estimate",IF(endDate="","Estimate — End Date missing",IF(NOT(ISNUMBER(endDate)),"Estimate — Check End Date",IF(INT(endDate)&gt;=TODAY(),"In Progress — ends "&amp;TEXT(endDate,"mmm d, yyyy"),"Ready to Finalize"))),IF($F54="","No Highlighted Fields","Highlighted Fields Present"))))</f>
        <v/>
      </c>
      <c r="F54" s="23" t="str">
        <f t="array" ref="F54">IF($H54="","",IF(OR(NOT(_xlfn.ISFORMULA(INDEX('Game Records'!$N:$N,$H54))),NOT(_xlfn.ISFORMULA(INDEX('Game Records'!$O:$O,$H54))),NOT(_xlfn.ISFORMULA(INDEX('Game Records'!$P:$P,$H54))),NOT(_xlfn.ISFORMULA(INDEX('Game Records'!$Q:$Q,$H54))),NOT(_xlfn.ISFORMULA(INDEX('Game Records'!$R:$R,$H54))),NOT(_xlfn.ISFORMULA(INDEX('Game Records'!$S:$S,$H54))),NOT(_xlfn.ISFORMULA(INDEX('Game Records'!$T:$T,$H54))),NOT(_xlfn.ISFORMULA(INDEX('Game Records'!$U:$U,$H54))),NOT(_xlfn.ISFORMULA(INDEX('Game Records'!$V:$V,$H54))),NOT(_xlfn.ISFORMULA(INDEX('Game Records'!$W:$W,$H54))),NOT(_xlfn.ISFORMULA(INDEX('Game Records'!$X:$X,$H54))),NOT(_xlfn.ISFORMULA(INDEX('Game Records'!$Y:$Y,$H54))),NOT(_xlfn.ISFORMULA(INDEX('Game Records'!$Z:$Z,$H54)))),"","")&amp;IF(INDEX('Game Records'!$B:$B,$H54)="","Start Date; ","")&amp;IF(INDEX('Game Records'!$C:$C,$H54)="","End Date; ","")&amp;IF(AND(INDEX('Game Records'!$U:$U,$H54)&lt;&gt;"Subscription",INDEX('Game Records'!$U:$U,$H54)&lt;&gt;"Free Game",INDEX('Game Records'!$U:$U,$H54)&lt;&gt;"Disqualified — Free Game",OR(INDEX('Game Records'!$D:$D,$H54)="",LOWER(INDEX('Game Records'!$D:$D,$H54)&amp;"")="n/a")),"Entry Mode; ","")&amp;IF(AND(INDEX('Game Records'!$U:$U,$H54)&lt;&gt;"Subscription",INDEX('Game Records'!$U:$U,$H54)&lt;&gt;"Free Game",INDEX('Game Records'!$U:$U,$H54)&lt;&gt;"Disqualified — Free Game",OR(INDEX('Game Records'!$E:$E,$H54)="",LOWER(INDEX('Game Records'!$E:$E,$H54)&amp;"")="n/a")),"Game Type; ","")&amp;IF(INDEX('Game Records'!$F:$F,$H54)="","Payment Type; ","")&amp;IF(AND(INDEX('Game Records'!$U:$U,$H54)&lt;&gt;"Subscription",INDEX('Game Records'!$U:$U,$H54)&lt;&gt;"Free Game",INDEX('Game Records'!$U:$U,$H54)&lt;&gt;"Disqualified — Free Game",INDEX('Game Records'!$G:$G,$H54)=""),"Gross Pot; ","")&amp;IF(AND(INDEX('Game Records'!$U:$U,$H54)&lt;&gt;"Free Game",INDEX('Game Records'!$U:$U,$H54)&lt;&gt;"Disqualified — Free Game",INDEX('Game Records'!$H:$H,$H54)=""),"Entry Fee; ","")&amp;IF(AND(INDEX('Game Records'!$U:$U,$H54)&lt;&gt;"Subscription",INDEX('Game Records'!$U:$U,$H54)&lt;&gt;"Free Game",INDEX('Game Records'!$U:$U,$H54)&lt;&gt;"Disqualified — Free Game",INDEX('Game Records'!$I:$I,$H54)=""),"Eligible Players; ","")&amp;IF(AND(INDEX('Game Records'!$U:$U,$H54)&lt;&gt;"Subscription",INDEX('Game Records'!$U:$U,$H54)&lt;&gt;"Free Game",INDEX('Game Records'!$U:$U,$H54)&lt;&gt;"Disqualified — Free Game",INDEX('Game Records'!$J:$J,$H54)=""),"Total Players; ","")&amp;IF(AND(LOWER(INDEX('Game Records'!$D:$D,$H54)&amp;"")="finalized",LOWER(INDEX('Game Records'!$L:$L,$H54)&amp;"")&lt;&gt;"yes",INDEX('Game Records'!$U:$U,$H54)&lt;&gt;"Subscription",INDEX('Game Records'!$U:$U,$H54)&lt;&gt;"Free Game",INDEX('Game Records'!$U:$U,$H54)&lt;&gt;"Disqualified — Free Game",INDEX('Game Records'!$K:$K,$H54)=""),"Final Payout; ","")&amp;IF(AND(LOWER(INDEX('Game Records'!$D:$D,$H54)&amp;"")="finalized",INDEX('Game Records'!$U:$U,$H54)&lt;&gt;"Subscription",INDEX('Game Records'!$U:$U,$H54)&lt;&gt;"Free Game",INDEX('Game Records'!$U:$U,$H54)&lt;&gt;"Disqualified — Free Game",OR(INDEX('Game Records'!$L:$L,$H54)="",LOWER(INDEX('Game Records'!$L:$L,$H54)&amp;"")="n/a")),"Disqualified Status; ",""))</f>
        <v/>
      </c>
      <c r="G54" s="23" t="str">
        <f t="array" ref="G54">IF($H54="","",IFERROR(INDEX('Game Records'!$M:$M,$H54),""))</f>
        <v/>
      </c>
      <c r="H54" s="3"/>
      <c r="I54" s="3"/>
      <c r="J54" s="3"/>
    </row>
    <row r="55" ht="24.0" customHeight="1">
      <c r="A55" s="18" t="str">
        <f t="shared" si="1"/>
        <v/>
      </c>
      <c r="B55" s="18" t="str">
        <f t="shared" si="2"/>
        <v/>
      </c>
      <c r="C55" s="23" t="str">
        <f t="array" ref="C55">IF($H55="","",IFERROR(INDEX('Game Records'!$A:$A,$H55),""))</f>
        <v/>
      </c>
      <c r="D55" s="23" t="str">
        <f t="array" ref="D55">IF($H55="","",IFERROR(INDEX('Game Records'!$U:$U,$H55),""))</f>
        <v/>
      </c>
      <c r="E55" s="23" t="str">
        <f t="array" ref="E55">IF($H55="","",LET(r,$H55,mode,LOWER(INDEX('Game Records'!$D:$D,r)&amp;""),endDate,INDEX('Game Records'!$C:$C,r),IF(mode="estimate",IF(endDate="","Estimate — End Date missing",IF(NOT(ISNUMBER(endDate)),"Estimate — Check End Date",IF(INT(endDate)&gt;=TODAY(),"In Progress — ends "&amp;TEXT(endDate,"mmm d, yyyy"),"Ready to Finalize"))),IF($F55="","No Highlighted Fields","Highlighted Fields Present"))))</f>
        <v/>
      </c>
      <c r="F55" s="23" t="str">
        <f t="array" ref="F55">IF($H55="","",IF(OR(NOT(_xlfn.ISFORMULA(INDEX('Game Records'!$N:$N,$H55))),NOT(_xlfn.ISFORMULA(INDEX('Game Records'!$O:$O,$H55))),NOT(_xlfn.ISFORMULA(INDEX('Game Records'!$P:$P,$H55))),NOT(_xlfn.ISFORMULA(INDEX('Game Records'!$Q:$Q,$H55))),NOT(_xlfn.ISFORMULA(INDEX('Game Records'!$R:$R,$H55))),NOT(_xlfn.ISFORMULA(INDEX('Game Records'!$S:$S,$H55))),NOT(_xlfn.ISFORMULA(INDEX('Game Records'!$T:$T,$H55))),NOT(_xlfn.ISFORMULA(INDEX('Game Records'!$U:$U,$H55))),NOT(_xlfn.ISFORMULA(INDEX('Game Records'!$V:$V,$H55))),NOT(_xlfn.ISFORMULA(INDEX('Game Records'!$W:$W,$H55))),NOT(_xlfn.ISFORMULA(INDEX('Game Records'!$X:$X,$H55))),NOT(_xlfn.ISFORMULA(INDEX('Game Records'!$Y:$Y,$H55))),NOT(_xlfn.ISFORMULA(INDEX('Game Records'!$Z:$Z,$H55)))),"","")&amp;IF(INDEX('Game Records'!$B:$B,$H55)="","Start Date; ","")&amp;IF(INDEX('Game Records'!$C:$C,$H55)="","End Date; ","")&amp;IF(AND(INDEX('Game Records'!$U:$U,$H55)&lt;&gt;"Subscription",INDEX('Game Records'!$U:$U,$H55)&lt;&gt;"Free Game",INDEX('Game Records'!$U:$U,$H55)&lt;&gt;"Disqualified — Free Game",OR(INDEX('Game Records'!$D:$D,$H55)="",LOWER(INDEX('Game Records'!$D:$D,$H55)&amp;"")="n/a")),"Entry Mode; ","")&amp;IF(AND(INDEX('Game Records'!$U:$U,$H55)&lt;&gt;"Subscription",INDEX('Game Records'!$U:$U,$H55)&lt;&gt;"Free Game",INDEX('Game Records'!$U:$U,$H55)&lt;&gt;"Disqualified — Free Game",OR(INDEX('Game Records'!$E:$E,$H55)="",LOWER(INDEX('Game Records'!$E:$E,$H55)&amp;"")="n/a")),"Game Type; ","")&amp;IF(INDEX('Game Records'!$F:$F,$H55)="","Payment Type; ","")&amp;IF(AND(INDEX('Game Records'!$U:$U,$H55)&lt;&gt;"Subscription",INDEX('Game Records'!$U:$U,$H55)&lt;&gt;"Free Game",INDEX('Game Records'!$U:$U,$H55)&lt;&gt;"Disqualified — Free Game",INDEX('Game Records'!$G:$G,$H55)=""),"Gross Pot; ","")&amp;IF(AND(INDEX('Game Records'!$U:$U,$H55)&lt;&gt;"Free Game",INDEX('Game Records'!$U:$U,$H55)&lt;&gt;"Disqualified — Free Game",INDEX('Game Records'!$H:$H,$H55)=""),"Entry Fee; ","")&amp;IF(AND(INDEX('Game Records'!$U:$U,$H55)&lt;&gt;"Subscription",INDEX('Game Records'!$U:$U,$H55)&lt;&gt;"Free Game",INDEX('Game Records'!$U:$U,$H55)&lt;&gt;"Disqualified — Free Game",INDEX('Game Records'!$I:$I,$H55)=""),"Eligible Players; ","")&amp;IF(AND(INDEX('Game Records'!$U:$U,$H55)&lt;&gt;"Subscription",INDEX('Game Records'!$U:$U,$H55)&lt;&gt;"Free Game",INDEX('Game Records'!$U:$U,$H55)&lt;&gt;"Disqualified — Free Game",INDEX('Game Records'!$J:$J,$H55)=""),"Total Players; ","")&amp;IF(AND(LOWER(INDEX('Game Records'!$D:$D,$H55)&amp;"")="finalized",LOWER(INDEX('Game Records'!$L:$L,$H55)&amp;"")&lt;&gt;"yes",INDEX('Game Records'!$U:$U,$H55)&lt;&gt;"Subscription",INDEX('Game Records'!$U:$U,$H55)&lt;&gt;"Free Game",INDEX('Game Records'!$U:$U,$H55)&lt;&gt;"Disqualified — Free Game",INDEX('Game Records'!$K:$K,$H55)=""),"Final Payout; ","")&amp;IF(AND(LOWER(INDEX('Game Records'!$D:$D,$H55)&amp;"")="finalized",INDEX('Game Records'!$U:$U,$H55)&lt;&gt;"Subscription",INDEX('Game Records'!$U:$U,$H55)&lt;&gt;"Free Game",INDEX('Game Records'!$U:$U,$H55)&lt;&gt;"Disqualified — Free Game",OR(INDEX('Game Records'!$L:$L,$H55)="",LOWER(INDEX('Game Records'!$L:$L,$H55)&amp;"")="n/a")),"Disqualified Status; ",""))</f>
        <v/>
      </c>
      <c r="G55" s="23" t="str">
        <f t="array" ref="G55">IF($H55="","",IFERROR(INDEX('Game Records'!$M:$M,$H55),""))</f>
        <v/>
      </c>
      <c r="H55" s="3"/>
      <c r="I55" s="3"/>
      <c r="J55" s="3"/>
    </row>
    <row r="56" ht="24.0" customHeight="1">
      <c r="A56" s="18" t="str">
        <f t="shared" si="1"/>
        <v/>
      </c>
      <c r="B56" s="18" t="str">
        <f t="shared" si="2"/>
        <v/>
      </c>
      <c r="C56" s="23" t="str">
        <f t="array" ref="C56">IF($H56="","",IFERROR(INDEX('Game Records'!$A:$A,$H56),""))</f>
        <v/>
      </c>
      <c r="D56" s="23" t="str">
        <f t="array" ref="D56">IF($H56="","",IFERROR(INDEX('Game Records'!$U:$U,$H56),""))</f>
        <v/>
      </c>
      <c r="E56" s="23" t="str">
        <f t="array" ref="E56">IF($H56="","",LET(r,$H56,mode,LOWER(INDEX('Game Records'!$D:$D,r)&amp;""),endDate,INDEX('Game Records'!$C:$C,r),IF(mode="estimate",IF(endDate="","Estimate — End Date missing",IF(NOT(ISNUMBER(endDate)),"Estimate — Check End Date",IF(INT(endDate)&gt;=TODAY(),"In Progress — ends "&amp;TEXT(endDate,"mmm d, yyyy"),"Ready to Finalize"))),IF($F56="","No Highlighted Fields","Highlighted Fields Present"))))</f>
        <v/>
      </c>
      <c r="F56" s="23" t="str">
        <f t="array" ref="F56">IF($H56="","",IF(OR(NOT(_xlfn.ISFORMULA(INDEX('Game Records'!$N:$N,$H56))),NOT(_xlfn.ISFORMULA(INDEX('Game Records'!$O:$O,$H56))),NOT(_xlfn.ISFORMULA(INDEX('Game Records'!$P:$P,$H56))),NOT(_xlfn.ISFORMULA(INDEX('Game Records'!$Q:$Q,$H56))),NOT(_xlfn.ISFORMULA(INDEX('Game Records'!$R:$R,$H56))),NOT(_xlfn.ISFORMULA(INDEX('Game Records'!$S:$S,$H56))),NOT(_xlfn.ISFORMULA(INDEX('Game Records'!$T:$T,$H56))),NOT(_xlfn.ISFORMULA(INDEX('Game Records'!$U:$U,$H56))),NOT(_xlfn.ISFORMULA(INDEX('Game Records'!$V:$V,$H56))),NOT(_xlfn.ISFORMULA(INDEX('Game Records'!$W:$W,$H56))),NOT(_xlfn.ISFORMULA(INDEX('Game Records'!$X:$X,$H56))),NOT(_xlfn.ISFORMULA(INDEX('Game Records'!$Y:$Y,$H56))),NOT(_xlfn.ISFORMULA(INDEX('Game Records'!$Z:$Z,$H56)))),"","")&amp;IF(INDEX('Game Records'!$B:$B,$H56)="","Start Date; ","")&amp;IF(INDEX('Game Records'!$C:$C,$H56)="","End Date; ","")&amp;IF(AND(INDEX('Game Records'!$U:$U,$H56)&lt;&gt;"Subscription",INDEX('Game Records'!$U:$U,$H56)&lt;&gt;"Free Game",INDEX('Game Records'!$U:$U,$H56)&lt;&gt;"Disqualified — Free Game",OR(INDEX('Game Records'!$D:$D,$H56)="",LOWER(INDEX('Game Records'!$D:$D,$H56)&amp;"")="n/a")),"Entry Mode; ","")&amp;IF(AND(INDEX('Game Records'!$U:$U,$H56)&lt;&gt;"Subscription",INDEX('Game Records'!$U:$U,$H56)&lt;&gt;"Free Game",INDEX('Game Records'!$U:$U,$H56)&lt;&gt;"Disqualified — Free Game",OR(INDEX('Game Records'!$E:$E,$H56)="",LOWER(INDEX('Game Records'!$E:$E,$H56)&amp;"")="n/a")),"Game Type; ","")&amp;IF(INDEX('Game Records'!$F:$F,$H56)="","Payment Type; ","")&amp;IF(AND(INDEX('Game Records'!$U:$U,$H56)&lt;&gt;"Subscription",INDEX('Game Records'!$U:$U,$H56)&lt;&gt;"Free Game",INDEX('Game Records'!$U:$U,$H56)&lt;&gt;"Disqualified — Free Game",INDEX('Game Records'!$G:$G,$H56)=""),"Gross Pot; ","")&amp;IF(AND(INDEX('Game Records'!$U:$U,$H56)&lt;&gt;"Free Game",INDEX('Game Records'!$U:$U,$H56)&lt;&gt;"Disqualified — Free Game",INDEX('Game Records'!$H:$H,$H56)=""),"Entry Fee; ","")&amp;IF(AND(INDEX('Game Records'!$U:$U,$H56)&lt;&gt;"Subscription",INDEX('Game Records'!$U:$U,$H56)&lt;&gt;"Free Game",INDEX('Game Records'!$U:$U,$H56)&lt;&gt;"Disqualified — Free Game",INDEX('Game Records'!$I:$I,$H56)=""),"Eligible Players; ","")&amp;IF(AND(INDEX('Game Records'!$U:$U,$H56)&lt;&gt;"Subscription",INDEX('Game Records'!$U:$U,$H56)&lt;&gt;"Free Game",INDEX('Game Records'!$U:$U,$H56)&lt;&gt;"Disqualified — Free Game",INDEX('Game Records'!$J:$J,$H56)=""),"Total Players; ","")&amp;IF(AND(LOWER(INDEX('Game Records'!$D:$D,$H56)&amp;"")="finalized",LOWER(INDEX('Game Records'!$L:$L,$H56)&amp;"")&lt;&gt;"yes",INDEX('Game Records'!$U:$U,$H56)&lt;&gt;"Subscription",INDEX('Game Records'!$U:$U,$H56)&lt;&gt;"Free Game",INDEX('Game Records'!$U:$U,$H56)&lt;&gt;"Disqualified — Free Game",INDEX('Game Records'!$K:$K,$H56)=""),"Final Payout; ","")&amp;IF(AND(LOWER(INDEX('Game Records'!$D:$D,$H56)&amp;"")="finalized",INDEX('Game Records'!$U:$U,$H56)&lt;&gt;"Subscription",INDEX('Game Records'!$U:$U,$H56)&lt;&gt;"Free Game",INDEX('Game Records'!$U:$U,$H56)&lt;&gt;"Disqualified — Free Game",OR(INDEX('Game Records'!$L:$L,$H56)="",LOWER(INDEX('Game Records'!$L:$L,$H56)&amp;"")="n/a")),"Disqualified Status; ",""))</f>
        <v/>
      </c>
      <c r="G56" s="23" t="str">
        <f t="array" ref="G56">IF($H56="","",IFERROR(INDEX('Game Records'!$M:$M,$H56),""))</f>
        <v/>
      </c>
      <c r="H56" s="3"/>
      <c r="I56" s="3"/>
      <c r="J56" s="3"/>
    </row>
    <row r="57" ht="24.0" customHeight="1">
      <c r="A57" s="18" t="str">
        <f t="shared" si="1"/>
        <v/>
      </c>
      <c r="B57" s="18" t="str">
        <f t="shared" si="2"/>
        <v/>
      </c>
      <c r="C57" s="23" t="str">
        <f t="array" ref="C57">IF($H57="","",IFERROR(INDEX('Game Records'!$A:$A,$H57),""))</f>
        <v/>
      </c>
      <c r="D57" s="23" t="str">
        <f t="array" ref="D57">IF($H57="","",IFERROR(INDEX('Game Records'!$U:$U,$H57),""))</f>
        <v/>
      </c>
      <c r="E57" s="23" t="str">
        <f t="array" ref="E57">IF($H57="","",LET(r,$H57,mode,LOWER(INDEX('Game Records'!$D:$D,r)&amp;""),endDate,INDEX('Game Records'!$C:$C,r),IF(mode="estimate",IF(endDate="","Estimate — End Date missing",IF(NOT(ISNUMBER(endDate)),"Estimate — Check End Date",IF(INT(endDate)&gt;=TODAY(),"In Progress — ends "&amp;TEXT(endDate,"mmm d, yyyy"),"Ready to Finalize"))),IF($F57="","No Highlighted Fields","Highlighted Fields Present"))))</f>
        <v/>
      </c>
      <c r="F57" s="23" t="str">
        <f t="array" ref="F57">IF($H57="","",IF(OR(NOT(_xlfn.ISFORMULA(INDEX('Game Records'!$N:$N,$H57))),NOT(_xlfn.ISFORMULA(INDEX('Game Records'!$O:$O,$H57))),NOT(_xlfn.ISFORMULA(INDEX('Game Records'!$P:$P,$H57))),NOT(_xlfn.ISFORMULA(INDEX('Game Records'!$Q:$Q,$H57))),NOT(_xlfn.ISFORMULA(INDEX('Game Records'!$R:$R,$H57))),NOT(_xlfn.ISFORMULA(INDEX('Game Records'!$S:$S,$H57))),NOT(_xlfn.ISFORMULA(INDEX('Game Records'!$T:$T,$H57))),NOT(_xlfn.ISFORMULA(INDEX('Game Records'!$U:$U,$H57))),NOT(_xlfn.ISFORMULA(INDEX('Game Records'!$V:$V,$H57))),NOT(_xlfn.ISFORMULA(INDEX('Game Records'!$W:$W,$H57))),NOT(_xlfn.ISFORMULA(INDEX('Game Records'!$X:$X,$H57))),NOT(_xlfn.ISFORMULA(INDEX('Game Records'!$Y:$Y,$H57))),NOT(_xlfn.ISFORMULA(INDEX('Game Records'!$Z:$Z,$H57)))),"","")&amp;IF(INDEX('Game Records'!$B:$B,$H57)="","Start Date; ","")&amp;IF(INDEX('Game Records'!$C:$C,$H57)="","End Date; ","")&amp;IF(AND(INDEX('Game Records'!$U:$U,$H57)&lt;&gt;"Subscription",INDEX('Game Records'!$U:$U,$H57)&lt;&gt;"Free Game",INDEX('Game Records'!$U:$U,$H57)&lt;&gt;"Disqualified — Free Game",OR(INDEX('Game Records'!$D:$D,$H57)="",LOWER(INDEX('Game Records'!$D:$D,$H57)&amp;"")="n/a")),"Entry Mode; ","")&amp;IF(AND(INDEX('Game Records'!$U:$U,$H57)&lt;&gt;"Subscription",INDEX('Game Records'!$U:$U,$H57)&lt;&gt;"Free Game",INDEX('Game Records'!$U:$U,$H57)&lt;&gt;"Disqualified — Free Game",OR(INDEX('Game Records'!$E:$E,$H57)="",LOWER(INDEX('Game Records'!$E:$E,$H57)&amp;"")="n/a")),"Game Type; ","")&amp;IF(INDEX('Game Records'!$F:$F,$H57)="","Payment Type; ","")&amp;IF(AND(INDEX('Game Records'!$U:$U,$H57)&lt;&gt;"Subscription",INDEX('Game Records'!$U:$U,$H57)&lt;&gt;"Free Game",INDEX('Game Records'!$U:$U,$H57)&lt;&gt;"Disqualified — Free Game",INDEX('Game Records'!$G:$G,$H57)=""),"Gross Pot; ","")&amp;IF(AND(INDEX('Game Records'!$U:$U,$H57)&lt;&gt;"Free Game",INDEX('Game Records'!$U:$U,$H57)&lt;&gt;"Disqualified — Free Game",INDEX('Game Records'!$H:$H,$H57)=""),"Entry Fee; ","")&amp;IF(AND(INDEX('Game Records'!$U:$U,$H57)&lt;&gt;"Subscription",INDEX('Game Records'!$U:$U,$H57)&lt;&gt;"Free Game",INDEX('Game Records'!$U:$U,$H57)&lt;&gt;"Disqualified — Free Game",INDEX('Game Records'!$I:$I,$H57)=""),"Eligible Players; ","")&amp;IF(AND(INDEX('Game Records'!$U:$U,$H57)&lt;&gt;"Subscription",INDEX('Game Records'!$U:$U,$H57)&lt;&gt;"Free Game",INDEX('Game Records'!$U:$U,$H57)&lt;&gt;"Disqualified — Free Game",INDEX('Game Records'!$J:$J,$H57)=""),"Total Players; ","")&amp;IF(AND(LOWER(INDEX('Game Records'!$D:$D,$H57)&amp;"")="finalized",LOWER(INDEX('Game Records'!$L:$L,$H57)&amp;"")&lt;&gt;"yes",INDEX('Game Records'!$U:$U,$H57)&lt;&gt;"Subscription",INDEX('Game Records'!$U:$U,$H57)&lt;&gt;"Free Game",INDEX('Game Records'!$U:$U,$H57)&lt;&gt;"Disqualified — Free Game",INDEX('Game Records'!$K:$K,$H57)=""),"Final Payout; ","")&amp;IF(AND(LOWER(INDEX('Game Records'!$D:$D,$H57)&amp;"")="finalized",INDEX('Game Records'!$U:$U,$H57)&lt;&gt;"Subscription",INDEX('Game Records'!$U:$U,$H57)&lt;&gt;"Free Game",INDEX('Game Records'!$U:$U,$H57)&lt;&gt;"Disqualified — Free Game",OR(INDEX('Game Records'!$L:$L,$H57)="",LOWER(INDEX('Game Records'!$L:$L,$H57)&amp;"")="n/a")),"Disqualified Status; ",""))</f>
        <v/>
      </c>
      <c r="G57" s="23" t="str">
        <f t="array" ref="G57">IF($H57="","",IFERROR(INDEX('Game Records'!$M:$M,$H57),""))</f>
        <v/>
      </c>
      <c r="H57" s="3"/>
      <c r="I57" s="3"/>
      <c r="J57" s="3"/>
    </row>
    <row r="58" ht="24.0" customHeight="1">
      <c r="A58" s="18" t="str">
        <f t="shared" si="1"/>
        <v/>
      </c>
      <c r="B58" s="18" t="str">
        <f t="shared" si="2"/>
        <v/>
      </c>
      <c r="C58" s="23" t="str">
        <f t="array" ref="C58">IF($H58="","",IFERROR(INDEX('Game Records'!$A:$A,$H58),""))</f>
        <v/>
      </c>
      <c r="D58" s="23" t="str">
        <f t="array" ref="D58">IF($H58="","",IFERROR(INDEX('Game Records'!$U:$U,$H58),""))</f>
        <v/>
      </c>
      <c r="E58" s="23" t="str">
        <f t="array" ref="E58">IF($H58="","",LET(r,$H58,mode,LOWER(INDEX('Game Records'!$D:$D,r)&amp;""),endDate,INDEX('Game Records'!$C:$C,r),IF(mode="estimate",IF(endDate="","Estimate — End Date missing",IF(NOT(ISNUMBER(endDate)),"Estimate — Check End Date",IF(INT(endDate)&gt;=TODAY(),"In Progress — ends "&amp;TEXT(endDate,"mmm d, yyyy"),"Ready to Finalize"))),IF($F58="","No Highlighted Fields","Highlighted Fields Present"))))</f>
        <v/>
      </c>
      <c r="F58" s="23" t="str">
        <f t="array" ref="F58">IF($H58="","",IF(OR(NOT(_xlfn.ISFORMULA(INDEX('Game Records'!$N:$N,$H58))),NOT(_xlfn.ISFORMULA(INDEX('Game Records'!$O:$O,$H58))),NOT(_xlfn.ISFORMULA(INDEX('Game Records'!$P:$P,$H58))),NOT(_xlfn.ISFORMULA(INDEX('Game Records'!$Q:$Q,$H58))),NOT(_xlfn.ISFORMULA(INDEX('Game Records'!$R:$R,$H58))),NOT(_xlfn.ISFORMULA(INDEX('Game Records'!$S:$S,$H58))),NOT(_xlfn.ISFORMULA(INDEX('Game Records'!$T:$T,$H58))),NOT(_xlfn.ISFORMULA(INDEX('Game Records'!$U:$U,$H58))),NOT(_xlfn.ISFORMULA(INDEX('Game Records'!$V:$V,$H58))),NOT(_xlfn.ISFORMULA(INDEX('Game Records'!$W:$W,$H58))),NOT(_xlfn.ISFORMULA(INDEX('Game Records'!$X:$X,$H58))),NOT(_xlfn.ISFORMULA(INDEX('Game Records'!$Y:$Y,$H58))),NOT(_xlfn.ISFORMULA(INDEX('Game Records'!$Z:$Z,$H58)))),"","")&amp;IF(INDEX('Game Records'!$B:$B,$H58)="","Start Date; ","")&amp;IF(INDEX('Game Records'!$C:$C,$H58)="","End Date; ","")&amp;IF(AND(INDEX('Game Records'!$U:$U,$H58)&lt;&gt;"Subscription",INDEX('Game Records'!$U:$U,$H58)&lt;&gt;"Free Game",INDEX('Game Records'!$U:$U,$H58)&lt;&gt;"Disqualified — Free Game",OR(INDEX('Game Records'!$D:$D,$H58)="",LOWER(INDEX('Game Records'!$D:$D,$H58)&amp;"")="n/a")),"Entry Mode; ","")&amp;IF(AND(INDEX('Game Records'!$U:$U,$H58)&lt;&gt;"Subscription",INDEX('Game Records'!$U:$U,$H58)&lt;&gt;"Free Game",INDEX('Game Records'!$U:$U,$H58)&lt;&gt;"Disqualified — Free Game",OR(INDEX('Game Records'!$E:$E,$H58)="",LOWER(INDEX('Game Records'!$E:$E,$H58)&amp;"")="n/a")),"Game Type; ","")&amp;IF(INDEX('Game Records'!$F:$F,$H58)="","Payment Type; ","")&amp;IF(AND(INDEX('Game Records'!$U:$U,$H58)&lt;&gt;"Subscription",INDEX('Game Records'!$U:$U,$H58)&lt;&gt;"Free Game",INDEX('Game Records'!$U:$U,$H58)&lt;&gt;"Disqualified — Free Game",INDEX('Game Records'!$G:$G,$H58)=""),"Gross Pot; ","")&amp;IF(AND(INDEX('Game Records'!$U:$U,$H58)&lt;&gt;"Free Game",INDEX('Game Records'!$U:$U,$H58)&lt;&gt;"Disqualified — Free Game",INDEX('Game Records'!$H:$H,$H58)=""),"Entry Fee; ","")&amp;IF(AND(INDEX('Game Records'!$U:$U,$H58)&lt;&gt;"Subscription",INDEX('Game Records'!$U:$U,$H58)&lt;&gt;"Free Game",INDEX('Game Records'!$U:$U,$H58)&lt;&gt;"Disqualified — Free Game",INDEX('Game Records'!$I:$I,$H58)=""),"Eligible Players; ","")&amp;IF(AND(INDEX('Game Records'!$U:$U,$H58)&lt;&gt;"Subscription",INDEX('Game Records'!$U:$U,$H58)&lt;&gt;"Free Game",INDEX('Game Records'!$U:$U,$H58)&lt;&gt;"Disqualified — Free Game",INDEX('Game Records'!$J:$J,$H58)=""),"Total Players; ","")&amp;IF(AND(LOWER(INDEX('Game Records'!$D:$D,$H58)&amp;"")="finalized",LOWER(INDEX('Game Records'!$L:$L,$H58)&amp;"")&lt;&gt;"yes",INDEX('Game Records'!$U:$U,$H58)&lt;&gt;"Subscription",INDEX('Game Records'!$U:$U,$H58)&lt;&gt;"Free Game",INDEX('Game Records'!$U:$U,$H58)&lt;&gt;"Disqualified — Free Game",INDEX('Game Records'!$K:$K,$H58)=""),"Final Payout; ","")&amp;IF(AND(LOWER(INDEX('Game Records'!$D:$D,$H58)&amp;"")="finalized",INDEX('Game Records'!$U:$U,$H58)&lt;&gt;"Subscription",INDEX('Game Records'!$U:$U,$H58)&lt;&gt;"Free Game",INDEX('Game Records'!$U:$U,$H58)&lt;&gt;"Disqualified — Free Game",OR(INDEX('Game Records'!$L:$L,$H58)="",LOWER(INDEX('Game Records'!$L:$L,$H58)&amp;"")="n/a")),"Disqualified Status; ",""))</f>
        <v/>
      </c>
      <c r="G58" s="23" t="str">
        <f t="array" ref="G58">IF($H58="","",IFERROR(INDEX('Game Records'!$M:$M,$H58),""))</f>
        <v/>
      </c>
      <c r="H58" s="3"/>
      <c r="I58" s="3"/>
      <c r="J58" s="3"/>
    </row>
    <row r="59" ht="24.0" customHeight="1">
      <c r="A59" s="18" t="str">
        <f t="shared" si="1"/>
        <v/>
      </c>
      <c r="B59" s="18" t="str">
        <f t="shared" si="2"/>
        <v/>
      </c>
      <c r="C59" s="23" t="str">
        <f t="array" ref="C59">IF($H59="","",IFERROR(INDEX('Game Records'!$A:$A,$H59),""))</f>
        <v/>
      </c>
      <c r="D59" s="23" t="str">
        <f t="array" ref="D59">IF($H59="","",IFERROR(INDEX('Game Records'!$U:$U,$H59),""))</f>
        <v/>
      </c>
      <c r="E59" s="23" t="str">
        <f t="array" ref="E59">IF($H59="","",LET(r,$H59,mode,LOWER(INDEX('Game Records'!$D:$D,r)&amp;""),endDate,INDEX('Game Records'!$C:$C,r),IF(mode="estimate",IF(endDate="","Estimate — End Date missing",IF(NOT(ISNUMBER(endDate)),"Estimate — Check End Date",IF(INT(endDate)&gt;=TODAY(),"In Progress — ends "&amp;TEXT(endDate,"mmm d, yyyy"),"Ready to Finalize"))),IF($F59="","No Highlighted Fields","Highlighted Fields Present"))))</f>
        <v/>
      </c>
      <c r="F59" s="23" t="str">
        <f t="array" ref="F59">IF($H59="","",IF(OR(NOT(_xlfn.ISFORMULA(INDEX('Game Records'!$N:$N,$H59))),NOT(_xlfn.ISFORMULA(INDEX('Game Records'!$O:$O,$H59))),NOT(_xlfn.ISFORMULA(INDEX('Game Records'!$P:$P,$H59))),NOT(_xlfn.ISFORMULA(INDEX('Game Records'!$Q:$Q,$H59))),NOT(_xlfn.ISFORMULA(INDEX('Game Records'!$R:$R,$H59))),NOT(_xlfn.ISFORMULA(INDEX('Game Records'!$S:$S,$H59))),NOT(_xlfn.ISFORMULA(INDEX('Game Records'!$T:$T,$H59))),NOT(_xlfn.ISFORMULA(INDEX('Game Records'!$U:$U,$H59))),NOT(_xlfn.ISFORMULA(INDEX('Game Records'!$V:$V,$H59))),NOT(_xlfn.ISFORMULA(INDEX('Game Records'!$W:$W,$H59))),NOT(_xlfn.ISFORMULA(INDEX('Game Records'!$X:$X,$H59))),NOT(_xlfn.ISFORMULA(INDEX('Game Records'!$Y:$Y,$H59))),NOT(_xlfn.ISFORMULA(INDEX('Game Records'!$Z:$Z,$H59)))),"","")&amp;IF(INDEX('Game Records'!$B:$B,$H59)="","Start Date; ","")&amp;IF(INDEX('Game Records'!$C:$C,$H59)="","End Date; ","")&amp;IF(AND(INDEX('Game Records'!$U:$U,$H59)&lt;&gt;"Subscription",INDEX('Game Records'!$U:$U,$H59)&lt;&gt;"Free Game",INDEX('Game Records'!$U:$U,$H59)&lt;&gt;"Disqualified — Free Game",OR(INDEX('Game Records'!$D:$D,$H59)="",LOWER(INDEX('Game Records'!$D:$D,$H59)&amp;"")="n/a")),"Entry Mode; ","")&amp;IF(AND(INDEX('Game Records'!$U:$U,$H59)&lt;&gt;"Subscription",INDEX('Game Records'!$U:$U,$H59)&lt;&gt;"Free Game",INDEX('Game Records'!$U:$U,$H59)&lt;&gt;"Disqualified — Free Game",OR(INDEX('Game Records'!$E:$E,$H59)="",LOWER(INDEX('Game Records'!$E:$E,$H59)&amp;"")="n/a")),"Game Type; ","")&amp;IF(INDEX('Game Records'!$F:$F,$H59)="","Payment Type; ","")&amp;IF(AND(INDEX('Game Records'!$U:$U,$H59)&lt;&gt;"Subscription",INDEX('Game Records'!$U:$U,$H59)&lt;&gt;"Free Game",INDEX('Game Records'!$U:$U,$H59)&lt;&gt;"Disqualified — Free Game",INDEX('Game Records'!$G:$G,$H59)=""),"Gross Pot; ","")&amp;IF(AND(INDEX('Game Records'!$U:$U,$H59)&lt;&gt;"Free Game",INDEX('Game Records'!$U:$U,$H59)&lt;&gt;"Disqualified — Free Game",INDEX('Game Records'!$H:$H,$H59)=""),"Entry Fee; ","")&amp;IF(AND(INDEX('Game Records'!$U:$U,$H59)&lt;&gt;"Subscription",INDEX('Game Records'!$U:$U,$H59)&lt;&gt;"Free Game",INDEX('Game Records'!$U:$U,$H59)&lt;&gt;"Disqualified — Free Game",INDEX('Game Records'!$I:$I,$H59)=""),"Eligible Players; ","")&amp;IF(AND(INDEX('Game Records'!$U:$U,$H59)&lt;&gt;"Subscription",INDEX('Game Records'!$U:$U,$H59)&lt;&gt;"Free Game",INDEX('Game Records'!$U:$U,$H59)&lt;&gt;"Disqualified — Free Game",INDEX('Game Records'!$J:$J,$H59)=""),"Total Players; ","")&amp;IF(AND(LOWER(INDEX('Game Records'!$D:$D,$H59)&amp;"")="finalized",LOWER(INDEX('Game Records'!$L:$L,$H59)&amp;"")&lt;&gt;"yes",INDEX('Game Records'!$U:$U,$H59)&lt;&gt;"Subscription",INDEX('Game Records'!$U:$U,$H59)&lt;&gt;"Free Game",INDEX('Game Records'!$U:$U,$H59)&lt;&gt;"Disqualified — Free Game",INDEX('Game Records'!$K:$K,$H59)=""),"Final Payout; ","")&amp;IF(AND(LOWER(INDEX('Game Records'!$D:$D,$H59)&amp;"")="finalized",INDEX('Game Records'!$U:$U,$H59)&lt;&gt;"Subscription",INDEX('Game Records'!$U:$U,$H59)&lt;&gt;"Free Game",INDEX('Game Records'!$U:$U,$H59)&lt;&gt;"Disqualified — Free Game",OR(INDEX('Game Records'!$L:$L,$H59)="",LOWER(INDEX('Game Records'!$L:$L,$H59)&amp;"")="n/a")),"Disqualified Status; ",""))</f>
        <v/>
      </c>
      <c r="G59" s="23" t="str">
        <f t="array" ref="G59">IF($H59="","",IFERROR(INDEX('Game Records'!$M:$M,$H59),""))</f>
        <v/>
      </c>
      <c r="H59" s="3"/>
      <c r="I59" s="3"/>
      <c r="J59" s="3"/>
    </row>
    <row r="60" ht="24.0" customHeight="1">
      <c r="A60" s="18" t="str">
        <f t="shared" si="1"/>
        <v/>
      </c>
      <c r="B60" s="18" t="str">
        <f t="shared" si="2"/>
        <v/>
      </c>
      <c r="C60" s="23" t="str">
        <f t="array" ref="C60">IF($H60="","",IFERROR(INDEX('Game Records'!$A:$A,$H60),""))</f>
        <v/>
      </c>
      <c r="D60" s="23" t="str">
        <f t="array" ref="D60">IF($H60="","",IFERROR(INDEX('Game Records'!$U:$U,$H60),""))</f>
        <v/>
      </c>
      <c r="E60" s="23" t="str">
        <f t="array" ref="E60">IF($H60="","",LET(r,$H60,mode,LOWER(INDEX('Game Records'!$D:$D,r)&amp;""),endDate,INDEX('Game Records'!$C:$C,r),IF(mode="estimate",IF(endDate="","Estimate — End Date missing",IF(NOT(ISNUMBER(endDate)),"Estimate — Check End Date",IF(INT(endDate)&gt;=TODAY(),"In Progress — ends "&amp;TEXT(endDate,"mmm d, yyyy"),"Ready to Finalize"))),IF($F60="","No Highlighted Fields","Highlighted Fields Present"))))</f>
        <v/>
      </c>
      <c r="F60" s="23" t="str">
        <f t="array" ref="F60">IF($H60="","",IF(OR(NOT(_xlfn.ISFORMULA(INDEX('Game Records'!$N:$N,$H60))),NOT(_xlfn.ISFORMULA(INDEX('Game Records'!$O:$O,$H60))),NOT(_xlfn.ISFORMULA(INDEX('Game Records'!$P:$P,$H60))),NOT(_xlfn.ISFORMULA(INDEX('Game Records'!$Q:$Q,$H60))),NOT(_xlfn.ISFORMULA(INDEX('Game Records'!$R:$R,$H60))),NOT(_xlfn.ISFORMULA(INDEX('Game Records'!$S:$S,$H60))),NOT(_xlfn.ISFORMULA(INDEX('Game Records'!$T:$T,$H60))),NOT(_xlfn.ISFORMULA(INDEX('Game Records'!$U:$U,$H60))),NOT(_xlfn.ISFORMULA(INDEX('Game Records'!$V:$V,$H60))),NOT(_xlfn.ISFORMULA(INDEX('Game Records'!$W:$W,$H60))),NOT(_xlfn.ISFORMULA(INDEX('Game Records'!$X:$X,$H60))),NOT(_xlfn.ISFORMULA(INDEX('Game Records'!$Y:$Y,$H60))),NOT(_xlfn.ISFORMULA(INDEX('Game Records'!$Z:$Z,$H60)))),"","")&amp;IF(INDEX('Game Records'!$B:$B,$H60)="","Start Date; ","")&amp;IF(INDEX('Game Records'!$C:$C,$H60)="","End Date; ","")&amp;IF(AND(INDEX('Game Records'!$U:$U,$H60)&lt;&gt;"Subscription",INDEX('Game Records'!$U:$U,$H60)&lt;&gt;"Free Game",INDEX('Game Records'!$U:$U,$H60)&lt;&gt;"Disqualified — Free Game",OR(INDEX('Game Records'!$D:$D,$H60)="",LOWER(INDEX('Game Records'!$D:$D,$H60)&amp;"")="n/a")),"Entry Mode; ","")&amp;IF(AND(INDEX('Game Records'!$U:$U,$H60)&lt;&gt;"Subscription",INDEX('Game Records'!$U:$U,$H60)&lt;&gt;"Free Game",INDEX('Game Records'!$U:$U,$H60)&lt;&gt;"Disqualified — Free Game",OR(INDEX('Game Records'!$E:$E,$H60)="",LOWER(INDEX('Game Records'!$E:$E,$H60)&amp;"")="n/a")),"Game Type; ","")&amp;IF(INDEX('Game Records'!$F:$F,$H60)="","Payment Type; ","")&amp;IF(AND(INDEX('Game Records'!$U:$U,$H60)&lt;&gt;"Subscription",INDEX('Game Records'!$U:$U,$H60)&lt;&gt;"Free Game",INDEX('Game Records'!$U:$U,$H60)&lt;&gt;"Disqualified — Free Game",INDEX('Game Records'!$G:$G,$H60)=""),"Gross Pot; ","")&amp;IF(AND(INDEX('Game Records'!$U:$U,$H60)&lt;&gt;"Free Game",INDEX('Game Records'!$U:$U,$H60)&lt;&gt;"Disqualified — Free Game",INDEX('Game Records'!$H:$H,$H60)=""),"Entry Fee; ","")&amp;IF(AND(INDEX('Game Records'!$U:$U,$H60)&lt;&gt;"Subscription",INDEX('Game Records'!$U:$U,$H60)&lt;&gt;"Free Game",INDEX('Game Records'!$U:$U,$H60)&lt;&gt;"Disqualified — Free Game",INDEX('Game Records'!$I:$I,$H60)=""),"Eligible Players; ","")&amp;IF(AND(INDEX('Game Records'!$U:$U,$H60)&lt;&gt;"Subscription",INDEX('Game Records'!$U:$U,$H60)&lt;&gt;"Free Game",INDEX('Game Records'!$U:$U,$H60)&lt;&gt;"Disqualified — Free Game",INDEX('Game Records'!$J:$J,$H60)=""),"Total Players; ","")&amp;IF(AND(LOWER(INDEX('Game Records'!$D:$D,$H60)&amp;"")="finalized",LOWER(INDEX('Game Records'!$L:$L,$H60)&amp;"")&lt;&gt;"yes",INDEX('Game Records'!$U:$U,$H60)&lt;&gt;"Subscription",INDEX('Game Records'!$U:$U,$H60)&lt;&gt;"Free Game",INDEX('Game Records'!$U:$U,$H60)&lt;&gt;"Disqualified — Free Game",INDEX('Game Records'!$K:$K,$H60)=""),"Final Payout; ","")&amp;IF(AND(LOWER(INDEX('Game Records'!$D:$D,$H60)&amp;"")="finalized",INDEX('Game Records'!$U:$U,$H60)&lt;&gt;"Subscription",INDEX('Game Records'!$U:$U,$H60)&lt;&gt;"Free Game",INDEX('Game Records'!$U:$U,$H60)&lt;&gt;"Disqualified — Free Game",OR(INDEX('Game Records'!$L:$L,$H60)="",LOWER(INDEX('Game Records'!$L:$L,$H60)&amp;"")="n/a")),"Disqualified Status; ",""))</f>
        <v/>
      </c>
      <c r="G60" s="23" t="str">
        <f t="array" ref="G60">IF($H60="","",IFERROR(INDEX('Game Records'!$M:$M,$H60),""))</f>
        <v/>
      </c>
      <c r="H60" s="3"/>
      <c r="I60" s="3"/>
      <c r="J60" s="3"/>
    </row>
    <row r="61" ht="24.0" customHeight="1">
      <c r="A61" s="18" t="str">
        <f t="shared" si="1"/>
        <v/>
      </c>
      <c r="B61" s="18" t="str">
        <f t="shared" si="2"/>
        <v/>
      </c>
      <c r="C61" s="23" t="str">
        <f t="array" ref="C61">IF($H61="","",IFERROR(INDEX('Game Records'!$A:$A,$H61),""))</f>
        <v/>
      </c>
      <c r="D61" s="23" t="str">
        <f t="array" ref="D61">IF($H61="","",IFERROR(INDEX('Game Records'!$U:$U,$H61),""))</f>
        <v/>
      </c>
      <c r="E61" s="23" t="str">
        <f t="array" ref="E61">IF($H61="","",LET(r,$H61,mode,LOWER(INDEX('Game Records'!$D:$D,r)&amp;""),endDate,INDEX('Game Records'!$C:$C,r),IF(mode="estimate",IF(endDate="","Estimate — End Date missing",IF(NOT(ISNUMBER(endDate)),"Estimate — Check End Date",IF(INT(endDate)&gt;=TODAY(),"In Progress — ends "&amp;TEXT(endDate,"mmm d, yyyy"),"Ready to Finalize"))),IF($F61="","No Highlighted Fields","Highlighted Fields Present"))))</f>
        <v/>
      </c>
      <c r="F61" s="23" t="str">
        <f t="array" ref="F61">IF($H61="","",IF(OR(NOT(_xlfn.ISFORMULA(INDEX('Game Records'!$N:$N,$H61))),NOT(_xlfn.ISFORMULA(INDEX('Game Records'!$O:$O,$H61))),NOT(_xlfn.ISFORMULA(INDEX('Game Records'!$P:$P,$H61))),NOT(_xlfn.ISFORMULA(INDEX('Game Records'!$Q:$Q,$H61))),NOT(_xlfn.ISFORMULA(INDEX('Game Records'!$R:$R,$H61))),NOT(_xlfn.ISFORMULA(INDEX('Game Records'!$S:$S,$H61))),NOT(_xlfn.ISFORMULA(INDEX('Game Records'!$T:$T,$H61))),NOT(_xlfn.ISFORMULA(INDEX('Game Records'!$U:$U,$H61))),NOT(_xlfn.ISFORMULA(INDEX('Game Records'!$V:$V,$H61))),NOT(_xlfn.ISFORMULA(INDEX('Game Records'!$W:$W,$H61))),NOT(_xlfn.ISFORMULA(INDEX('Game Records'!$X:$X,$H61))),NOT(_xlfn.ISFORMULA(INDEX('Game Records'!$Y:$Y,$H61))),NOT(_xlfn.ISFORMULA(INDEX('Game Records'!$Z:$Z,$H61)))),"","")&amp;IF(INDEX('Game Records'!$B:$B,$H61)="","Start Date; ","")&amp;IF(INDEX('Game Records'!$C:$C,$H61)="","End Date; ","")&amp;IF(AND(INDEX('Game Records'!$U:$U,$H61)&lt;&gt;"Subscription",INDEX('Game Records'!$U:$U,$H61)&lt;&gt;"Free Game",INDEX('Game Records'!$U:$U,$H61)&lt;&gt;"Disqualified — Free Game",OR(INDEX('Game Records'!$D:$D,$H61)="",LOWER(INDEX('Game Records'!$D:$D,$H61)&amp;"")="n/a")),"Entry Mode; ","")&amp;IF(AND(INDEX('Game Records'!$U:$U,$H61)&lt;&gt;"Subscription",INDEX('Game Records'!$U:$U,$H61)&lt;&gt;"Free Game",INDEX('Game Records'!$U:$U,$H61)&lt;&gt;"Disqualified — Free Game",OR(INDEX('Game Records'!$E:$E,$H61)="",LOWER(INDEX('Game Records'!$E:$E,$H61)&amp;"")="n/a")),"Game Type; ","")&amp;IF(INDEX('Game Records'!$F:$F,$H61)="","Payment Type; ","")&amp;IF(AND(INDEX('Game Records'!$U:$U,$H61)&lt;&gt;"Subscription",INDEX('Game Records'!$U:$U,$H61)&lt;&gt;"Free Game",INDEX('Game Records'!$U:$U,$H61)&lt;&gt;"Disqualified — Free Game",INDEX('Game Records'!$G:$G,$H61)=""),"Gross Pot; ","")&amp;IF(AND(INDEX('Game Records'!$U:$U,$H61)&lt;&gt;"Free Game",INDEX('Game Records'!$U:$U,$H61)&lt;&gt;"Disqualified — Free Game",INDEX('Game Records'!$H:$H,$H61)=""),"Entry Fee; ","")&amp;IF(AND(INDEX('Game Records'!$U:$U,$H61)&lt;&gt;"Subscription",INDEX('Game Records'!$U:$U,$H61)&lt;&gt;"Free Game",INDEX('Game Records'!$U:$U,$H61)&lt;&gt;"Disqualified — Free Game",INDEX('Game Records'!$I:$I,$H61)=""),"Eligible Players; ","")&amp;IF(AND(INDEX('Game Records'!$U:$U,$H61)&lt;&gt;"Subscription",INDEX('Game Records'!$U:$U,$H61)&lt;&gt;"Free Game",INDEX('Game Records'!$U:$U,$H61)&lt;&gt;"Disqualified — Free Game",INDEX('Game Records'!$J:$J,$H61)=""),"Total Players; ","")&amp;IF(AND(LOWER(INDEX('Game Records'!$D:$D,$H61)&amp;"")="finalized",LOWER(INDEX('Game Records'!$L:$L,$H61)&amp;"")&lt;&gt;"yes",INDEX('Game Records'!$U:$U,$H61)&lt;&gt;"Subscription",INDEX('Game Records'!$U:$U,$H61)&lt;&gt;"Free Game",INDEX('Game Records'!$U:$U,$H61)&lt;&gt;"Disqualified — Free Game",INDEX('Game Records'!$K:$K,$H61)=""),"Final Payout; ","")&amp;IF(AND(LOWER(INDEX('Game Records'!$D:$D,$H61)&amp;"")="finalized",INDEX('Game Records'!$U:$U,$H61)&lt;&gt;"Subscription",INDEX('Game Records'!$U:$U,$H61)&lt;&gt;"Free Game",INDEX('Game Records'!$U:$U,$H61)&lt;&gt;"Disqualified — Free Game",OR(INDEX('Game Records'!$L:$L,$H61)="",LOWER(INDEX('Game Records'!$L:$L,$H61)&amp;"")="n/a")),"Disqualified Status; ",""))</f>
        <v/>
      </c>
      <c r="G61" s="23" t="str">
        <f t="array" ref="G61">IF($H61="","",IFERROR(INDEX('Game Records'!$M:$M,$H61),""))</f>
        <v/>
      </c>
      <c r="H61" s="3"/>
      <c r="I61" s="3"/>
      <c r="J61" s="3"/>
    </row>
    <row r="62" ht="24.0" customHeight="1">
      <c r="A62" s="18" t="str">
        <f t="shared" si="1"/>
        <v/>
      </c>
      <c r="B62" s="18" t="str">
        <f t="shared" si="2"/>
        <v/>
      </c>
      <c r="C62" s="23" t="str">
        <f t="array" ref="C62">IF($H62="","",IFERROR(INDEX('Game Records'!$A:$A,$H62),""))</f>
        <v/>
      </c>
      <c r="D62" s="23" t="str">
        <f t="array" ref="D62">IF($H62="","",IFERROR(INDEX('Game Records'!$U:$U,$H62),""))</f>
        <v/>
      </c>
      <c r="E62" s="23" t="str">
        <f t="array" ref="E62">IF($H62="","",LET(r,$H62,mode,LOWER(INDEX('Game Records'!$D:$D,r)&amp;""),endDate,INDEX('Game Records'!$C:$C,r),IF(mode="estimate",IF(endDate="","Estimate — End Date missing",IF(NOT(ISNUMBER(endDate)),"Estimate — Check End Date",IF(INT(endDate)&gt;=TODAY(),"In Progress — ends "&amp;TEXT(endDate,"mmm d, yyyy"),"Ready to Finalize"))),IF($F62="","No Highlighted Fields","Highlighted Fields Present"))))</f>
        <v/>
      </c>
      <c r="F62" s="23" t="str">
        <f t="array" ref="F62">IF($H62="","",IF(OR(NOT(_xlfn.ISFORMULA(INDEX('Game Records'!$N:$N,$H62))),NOT(_xlfn.ISFORMULA(INDEX('Game Records'!$O:$O,$H62))),NOT(_xlfn.ISFORMULA(INDEX('Game Records'!$P:$P,$H62))),NOT(_xlfn.ISFORMULA(INDEX('Game Records'!$Q:$Q,$H62))),NOT(_xlfn.ISFORMULA(INDEX('Game Records'!$R:$R,$H62))),NOT(_xlfn.ISFORMULA(INDEX('Game Records'!$S:$S,$H62))),NOT(_xlfn.ISFORMULA(INDEX('Game Records'!$T:$T,$H62))),NOT(_xlfn.ISFORMULA(INDEX('Game Records'!$U:$U,$H62))),NOT(_xlfn.ISFORMULA(INDEX('Game Records'!$V:$V,$H62))),NOT(_xlfn.ISFORMULA(INDEX('Game Records'!$W:$W,$H62))),NOT(_xlfn.ISFORMULA(INDEX('Game Records'!$X:$X,$H62))),NOT(_xlfn.ISFORMULA(INDEX('Game Records'!$Y:$Y,$H62))),NOT(_xlfn.ISFORMULA(INDEX('Game Records'!$Z:$Z,$H62)))),"","")&amp;IF(INDEX('Game Records'!$B:$B,$H62)="","Start Date; ","")&amp;IF(INDEX('Game Records'!$C:$C,$H62)="","End Date; ","")&amp;IF(AND(INDEX('Game Records'!$U:$U,$H62)&lt;&gt;"Subscription",INDEX('Game Records'!$U:$U,$H62)&lt;&gt;"Free Game",INDEX('Game Records'!$U:$U,$H62)&lt;&gt;"Disqualified — Free Game",OR(INDEX('Game Records'!$D:$D,$H62)="",LOWER(INDEX('Game Records'!$D:$D,$H62)&amp;"")="n/a")),"Entry Mode; ","")&amp;IF(AND(INDEX('Game Records'!$U:$U,$H62)&lt;&gt;"Subscription",INDEX('Game Records'!$U:$U,$H62)&lt;&gt;"Free Game",INDEX('Game Records'!$U:$U,$H62)&lt;&gt;"Disqualified — Free Game",OR(INDEX('Game Records'!$E:$E,$H62)="",LOWER(INDEX('Game Records'!$E:$E,$H62)&amp;"")="n/a")),"Game Type; ","")&amp;IF(INDEX('Game Records'!$F:$F,$H62)="","Payment Type; ","")&amp;IF(AND(INDEX('Game Records'!$U:$U,$H62)&lt;&gt;"Subscription",INDEX('Game Records'!$U:$U,$H62)&lt;&gt;"Free Game",INDEX('Game Records'!$U:$U,$H62)&lt;&gt;"Disqualified — Free Game",INDEX('Game Records'!$G:$G,$H62)=""),"Gross Pot; ","")&amp;IF(AND(INDEX('Game Records'!$U:$U,$H62)&lt;&gt;"Free Game",INDEX('Game Records'!$U:$U,$H62)&lt;&gt;"Disqualified — Free Game",INDEX('Game Records'!$H:$H,$H62)=""),"Entry Fee; ","")&amp;IF(AND(INDEX('Game Records'!$U:$U,$H62)&lt;&gt;"Subscription",INDEX('Game Records'!$U:$U,$H62)&lt;&gt;"Free Game",INDEX('Game Records'!$U:$U,$H62)&lt;&gt;"Disqualified — Free Game",INDEX('Game Records'!$I:$I,$H62)=""),"Eligible Players; ","")&amp;IF(AND(INDEX('Game Records'!$U:$U,$H62)&lt;&gt;"Subscription",INDEX('Game Records'!$U:$U,$H62)&lt;&gt;"Free Game",INDEX('Game Records'!$U:$U,$H62)&lt;&gt;"Disqualified — Free Game",INDEX('Game Records'!$J:$J,$H62)=""),"Total Players; ","")&amp;IF(AND(LOWER(INDEX('Game Records'!$D:$D,$H62)&amp;"")="finalized",LOWER(INDEX('Game Records'!$L:$L,$H62)&amp;"")&lt;&gt;"yes",INDEX('Game Records'!$U:$U,$H62)&lt;&gt;"Subscription",INDEX('Game Records'!$U:$U,$H62)&lt;&gt;"Free Game",INDEX('Game Records'!$U:$U,$H62)&lt;&gt;"Disqualified — Free Game",INDEX('Game Records'!$K:$K,$H62)=""),"Final Payout; ","")&amp;IF(AND(LOWER(INDEX('Game Records'!$D:$D,$H62)&amp;"")="finalized",INDEX('Game Records'!$U:$U,$H62)&lt;&gt;"Subscription",INDEX('Game Records'!$U:$U,$H62)&lt;&gt;"Free Game",INDEX('Game Records'!$U:$U,$H62)&lt;&gt;"Disqualified — Free Game",OR(INDEX('Game Records'!$L:$L,$H62)="",LOWER(INDEX('Game Records'!$L:$L,$H62)&amp;"")="n/a")),"Disqualified Status; ",""))</f>
        <v/>
      </c>
      <c r="G62" s="23" t="str">
        <f t="array" ref="G62">IF($H62="","",IFERROR(INDEX('Game Records'!$M:$M,$H62),""))</f>
        <v/>
      </c>
      <c r="H62" s="3"/>
      <c r="I62" s="3"/>
      <c r="J62" s="3"/>
    </row>
    <row r="63" ht="24.0" customHeight="1">
      <c r="A63" s="18" t="str">
        <f t="shared" si="1"/>
        <v/>
      </c>
      <c r="B63" s="18" t="str">
        <f t="shared" si="2"/>
        <v/>
      </c>
      <c r="C63" s="23" t="str">
        <f t="array" ref="C63">IF($H63="","",IFERROR(INDEX('Game Records'!$A:$A,$H63),""))</f>
        <v/>
      </c>
      <c r="D63" s="23" t="str">
        <f t="array" ref="D63">IF($H63="","",IFERROR(INDEX('Game Records'!$U:$U,$H63),""))</f>
        <v/>
      </c>
      <c r="E63" s="23" t="str">
        <f t="array" ref="E63">IF($H63="","",LET(r,$H63,mode,LOWER(INDEX('Game Records'!$D:$D,r)&amp;""),endDate,INDEX('Game Records'!$C:$C,r),IF(mode="estimate",IF(endDate="","Estimate — End Date missing",IF(NOT(ISNUMBER(endDate)),"Estimate — Check End Date",IF(INT(endDate)&gt;=TODAY(),"In Progress — ends "&amp;TEXT(endDate,"mmm d, yyyy"),"Ready to Finalize"))),IF($F63="","No Highlighted Fields","Highlighted Fields Present"))))</f>
        <v/>
      </c>
      <c r="F63" s="23" t="str">
        <f t="array" ref="F63">IF($H63="","",IF(OR(NOT(_xlfn.ISFORMULA(INDEX('Game Records'!$N:$N,$H63))),NOT(_xlfn.ISFORMULA(INDEX('Game Records'!$O:$O,$H63))),NOT(_xlfn.ISFORMULA(INDEX('Game Records'!$P:$P,$H63))),NOT(_xlfn.ISFORMULA(INDEX('Game Records'!$Q:$Q,$H63))),NOT(_xlfn.ISFORMULA(INDEX('Game Records'!$R:$R,$H63))),NOT(_xlfn.ISFORMULA(INDEX('Game Records'!$S:$S,$H63))),NOT(_xlfn.ISFORMULA(INDEX('Game Records'!$T:$T,$H63))),NOT(_xlfn.ISFORMULA(INDEX('Game Records'!$U:$U,$H63))),NOT(_xlfn.ISFORMULA(INDEX('Game Records'!$V:$V,$H63))),NOT(_xlfn.ISFORMULA(INDEX('Game Records'!$W:$W,$H63))),NOT(_xlfn.ISFORMULA(INDEX('Game Records'!$X:$X,$H63))),NOT(_xlfn.ISFORMULA(INDEX('Game Records'!$Y:$Y,$H63))),NOT(_xlfn.ISFORMULA(INDEX('Game Records'!$Z:$Z,$H63)))),"","")&amp;IF(INDEX('Game Records'!$B:$B,$H63)="","Start Date; ","")&amp;IF(INDEX('Game Records'!$C:$C,$H63)="","End Date; ","")&amp;IF(AND(INDEX('Game Records'!$U:$U,$H63)&lt;&gt;"Subscription",INDEX('Game Records'!$U:$U,$H63)&lt;&gt;"Free Game",INDEX('Game Records'!$U:$U,$H63)&lt;&gt;"Disqualified — Free Game",OR(INDEX('Game Records'!$D:$D,$H63)="",LOWER(INDEX('Game Records'!$D:$D,$H63)&amp;"")="n/a")),"Entry Mode; ","")&amp;IF(AND(INDEX('Game Records'!$U:$U,$H63)&lt;&gt;"Subscription",INDEX('Game Records'!$U:$U,$H63)&lt;&gt;"Free Game",INDEX('Game Records'!$U:$U,$H63)&lt;&gt;"Disqualified — Free Game",OR(INDEX('Game Records'!$E:$E,$H63)="",LOWER(INDEX('Game Records'!$E:$E,$H63)&amp;"")="n/a")),"Game Type; ","")&amp;IF(INDEX('Game Records'!$F:$F,$H63)="","Payment Type; ","")&amp;IF(AND(INDEX('Game Records'!$U:$U,$H63)&lt;&gt;"Subscription",INDEX('Game Records'!$U:$U,$H63)&lt;&gt;"Free Game",INDEX('Game Records'!$U:$U,$H63)&lt;&gt;"Disqualified — Free Game",INDEX('Game Records'!$G:$G,$H63)=""),"Gross Pot; ","")&amp;IF(AND(INDEX('Game Records'!$U:$U,$H63)&lt;&gt;"Free Game",INDEX('Game Records'!$U:$U,$H63)&lt;&gt;"Disqualified — Free Game",INDEX('Game Records'!$H:$H,$H63)=""),"Entry Fee; ","")&amp;IF(AND(INDEX('Game Records'!$U:$U,$H63)&lt;&gt;"Subscription",INDEX('Game Records'!$U:$U,$H63)&lt;&gt;"Free Game",INDEX('Game Records'!$U:$U,$H63)&lt;&gt;"Disqualified — Free Game",INDEX('Game Records'!$I:$I,$H63)=""),"Eligible Players; ","")&amp;IF(AND(INDEX('Game Records'!$U:$U,$H63)&lt;&gt;"Subscription",INDEX('Game Records'!$U:$U,$H63)&lt;&gt;"Free Game",INDEX('Game Records'!$U:$U,$H63)&lt;&gt;"Disqualified — Free Game",INDEX('Game Records'!$J:$J,$H63)=""),"Total Players; ","")&amp;IF(AND(LOWER(INDEX('Game Records'!$D:$D,$H63)&amp;"")="finalized",LOWER(INDEX('Game Records'!$L:$L,$H63)&amp;"")&lt;&gt;"yes",INDEX('Game Records'!$U:$U,$H63)&lt;&gt;"Subscription",INDEX('Game Records'!$U:$U,$H63)&lt;&gt;"Free Game",INDEX('Game Records'!$U:$U,$H63)&lt;&gt;"Disqualified — Free Game",INDEX('Game Records'!$K:$K,$H63)=""),"Final Payout; ","")&amp;IF(AND(LOWER(INDEX('Game Records'!$D:$D,$H63)&amp;"")="finalized",INDEX('Game Records'!$U:$U,$H63)&lt;&gt;"Subscription",INDEX('Game Records'!$U:$U,$H63)&lt;&gt;"Free Game",INDEX('Game Records'!$U:$U,$H63)&lt;&gt;"Disqualified — Free Game",OR(INDEX('Game Records'!$L:$L,$H63)="",LOWER(INDEX('Game Records'!$L:$L,$H63)&amp;"")="n/a")),"Disqualified Status; ",""))</f>
        <v/>
      </c>
      <c r="G63" s="23" t="str">
        <f t="array" ref="G63">IF($H63="","",IFERROR(INDEX('Game Records'!$M:$M,$H63),""))</f>
        <v/>
      </c>
      <c r="H63" s="3"/>
      <c r="I63" s="3"/>
      <c r="J63" s="3"/>
    </row>
    <row r="64" ht="24.0" customHeight="1">
      <c r="A64" s="18" t="str">
        <f t="shared" si="1"/>
        <v/>
      </c>
      <c r="B64" s="18" t="str">
        <f t="shared" si="2"/>
        <v/>
      </c>
      <c r="C64" s="23" t="str">
        <f t="array" ref="C64">IF($H64="","",IFERROR(INDEX('Game Records'!$A:$A,$H64),""))</f>
        <v/>
      </c>
      <c r="D64" s="23" t="str">
        <f t="array" ref="D64">IF($H64="","",IFERROR(INDEX('Game Records'!$U:$U,$H64),""))</f>
        <v/>
      </c>
      <c r="E64" s="23" t="str">
        <f t="array" ref="E64">IF($H64="","",LET(r,$H64,mode,LOWER(INDEX('Game Records'!$D:$D,r)&amp;""),endDate,INDEX('Game Records'!$C:$C,r),IF(mode="estimate",IF(endDate="","Estimate — End Date missing",IF(NOT(ISNUMBER(endDate)),"Estimate — Check End Date",IF(INT(endDate)&gt;=TODAY(),"In Progress — ends "&amp;TEXT(endDate,"mmm d, yyyy"),"Ready to Finalize"))),IF($F64="","No Highlighted Fields","Highlighted Fields Present"))))</f>
        <v/>
      </c>
      <c r="F64" s="23" t="str">
        <f t="array" ref="F64">IF($H64="","",IF(OR(NOT(_xlfn.ISFORMULA(INDEX('Game Records'!$N:$N,$H64))),NOT(_xlfn.ISFORMULA(INDEX('Game Records'!$O:$O,$H64))),NOT(_xlfn.ISFORMULA(INDEX('Game Records'!$P:$P,$H64))),NOT(_xlfn.ISFORMULA(INDEX('Game Records'!$Q:$Q,$H64))),NOT(_xlfn.ISFORMULA(INDEX('Game Records'!$R:$R,$H64))),NOT(_xlfn.ISFORMULA(INDEX('Game Records'!$S:$S,$H64))),NOT(_xlfn.ISFORMULA(INDEX('Game Records'!$T:$T,$H64))),NOT(_xlfn.ISFORMULA(INDEX('Game Records'!$U:$U,$H64))),NOT(_xlfn.ISFORMULA(INDEX('Game Records'!$V:$V,$H64))),NOT(_xlfn.ISFORMULA(INDEX('Game Records'!$W:$W,$H64))),NOT(_xlfn.ISFORMULA(INDEX('Game Records'!$X:$X,$H64))),NOT(_xlfn.ISFORMULA(INDEX('Game Records'!$Y:$Y,$H64))),NOT(_xlfn.ISFORMULA(INDEX('Game Records'!$Z:$Z,$H64)))),"","")&amp;IF(INDEX('Game Records'!$B:$B,$H64)="","Start Date; ","")&amp;IF(INDEX('Game Records'!$C:$C,$H64)="","End Date; ","")&amp;IF(AND(INDEX('Game Records'!$U:$U,$H64)&lt;&gt;"Subscription",INDEX('Game Records'!$U:$U,$H64)&lt;&gt;"Free Game",INDEX('Game Records'!$U:$U,$H64)&lt;&gt;"Disqualified — Free Game",OR(INDEX('Game Records'!$D:$D,$H64)="",LOWER(INDEX('Game Records'!$D:$D,$H64)&amp;"")="n/a")),"Entry Mode; ","")&amp;IF(AND(INDEX('Game Records'!$U:$U,$H64)&lt;&gt;"Subscription",INDEX('Game Records'!$U:$U,$H64)&lt;&gt;"Free Game",INDEX('Game Records'!$U:$U,$H64)&lt;&gt;"Disqualified — Free Game",OR(INDEX('Game Records'!$E:$E,$H64)="",LOWER(INDEX('Game Records'!$E:$E,$H64)&amp;"")="n/a")),"Game Type; ","")&amp;IF(INDEX('Game Records'!$F:$F,$H64)="","Payment Type; ","")&amp;IF(AND(INDEX('Game Records'!$U:$U,$H64)&lt;&gt;"Subscription",INDEX('Game Records'!$U:$U,$H64)&lt;&gt;"Free Game",INDEX('Game Records'!$U:$U,$H64)&lt;&gt;"Disqualified — Free Game",INDEX('Game Records'!$G:$G,$H64)=""),"Gross Pot; ","")&amp;IF(AND(INDEX('Game Records'!$U:$U,$H64)&lt;&gt;"Free Game",INDEX('Game Records'!$U:$U,$H64)&lt;&gt;"Disqualified — Free Game",INDEX('Game Records'!$H:$H,$H64)=""),"Entry Fee; ","")&amp;IF(AND(INDEX('Game Records'!$U:$U,$H64)&lt;&gt;"Subscription",INDEX('Game Records'!$U:$U,$H64)&lt;&gt;"Free Game",INDEX('Game Records'!$U:$U,$H64)&lt;&gt;"Disqualified — Free Game",INDEX('Game Records'!$I:$I,$H64)=""),"Eligible Players; ","")&amp;IF(AND(INDEX('Game Records'!$U:$U,$H64)&lt;&gt;"Subscription",INDEX('Game Records'!$U:$U,$H64)&lt;&gt;"Free Game",INDEX('Game Records'!$U:$U,$H64)&lt;&gt;"Disqualified — Free Game",INDEX('Game Records'!$J:$J,$H64)=""),"Total Players; ","")&amp;IF(AND(LOWER(INDEX('Game Records'!$D:$D,$H64)&amp;"")="finalized",LOWER(INDEX('Game Records'!$L:$L,$H64)&amp;"")&lt;&gt;"yes",INDEX('Game Records'!$U:$U,$H64)&lt;&gt;"Subscription",INDEX('Game Records'!$U:$U,$H64)&lt;&gt;"Free Game",INDEX('Game Records'!$U:$U,$H64)&lt;&gt;"Disqualified — Free Game",INDEX('Game Records'!$K:$K,$H64)=""),"Final Payout; ","")&amp;IF(AND(LOWER(INDEX('Game Records'!$D:$D,$H64)&amp;"")="finalized",INDEX('Game Records'!$U:$U,$H64)&lt;&gt;"Subscription",INDEX('Game Records'!$U:$U,$H64)&lt;&gt;"Free Game",INDEX('Game Records'!$U:$U,$H64)&lt;&gt;"Disqualified — Free Game",OR(INDEX('Game Records'!$L:$L,$H64)="",LOWER(INDEX('Game Records'!$L:$L,$H64)&amp;"")="n/a")),"Disqualified Status; ",""))</f>
        <v/>
      </c>
      <c r="G64" s="23" t="str">
        <f t="array" ref="G64">IF($H64="","",IFERROR(INDEX('Game Records'!$M:$M,$H64),""))</f>
        <v/>
      </c>
      <c r="H64" s="3"/>
      <c r="I64" s="3"/>
      <c r="J64" s="3"/>
    </row>
    <row r="65" ht="24.0" customHeight="1">
      <c r="A65" s="18" t="str">
        <f t="shared" si="1"/>
        <v/>
      </c>
      <c r="B65" s="18" t="str">
        <f t="shared" si="2"/>
        <v/>
      </c>
      <c r="C65" s="23" t="str">
        <f t="array" ref="C65">IF($H65="","",IFERROR(INDEX('Game Records'!$A:$A,$H65),""))</f>
        <v/>
      </c>
      <c r="D65" s="23" t="str">
        <f t="array" ref="D65">IF($H65="","",IFERROR(INDEX('Game Records'!$U:$U,$H65),""))</f>
        <v/>
      </c>
      <c r="E65" s="23" t="str">
        <f t="array" ref="E65">IF($H65="","",LET(r,$H65,mode,LOWER(INDEX('Game Records'!$D:$D,r)&amp;""),endDate,INDEX('Game Records'!$C:$C,r),IF(mode="estimate",IF(endDate="","Estimate — End Date missing",IF(NOT(ISNUMBER(endDate)),"Estimate — Check End Date",IF(INT(endDate)&gt;=TODAY(),"In Progress — ends "&amp;TEXT(endDate,"mmm d, yyyy"),"Ready to Finalize"))),IF($F65="","No Highlighted Fields","Highlighted Fields Present"))))</f>
        <v/>
      </c>
      <c r="F65" s="23" t="str">
        <f t="array" ref="F65">IF($H65="","",IF(OR(NOT(_xlfn.ISFORMULA(INDEX('Game Records'!$N:$N,$H65))),NOT(_xlfn.ISFORMULA(INDEX('Game Records'!$O:$O,$H65))),NOT(_xlfn.ISFORMULA(INDEX('Game Records'!$P:$P,$H65))),NOT(_xlfn.ISFORMULA(INDEX('Game Records'!$Q:$Q,$H65))),NOT(_xlfn.ISFORMULA(INDEX('Game Records'!$R:$R,$H65))),NOT(_xlfn.ISFORMULA(INDEX('Game Records'!$S:$S,$H65))),NOT(_xlfn.ISFORMULA(INDEX('Game Records'!$T:$T,$H65))),NOT(_xlfn.ISFORMULA(INDEX('Game Records'!$U:$U,$H65))),NOT(_xlfn.ISFORMULA(INDEX('Game Records'!$V:$V,$H65))),NOT(_xlfn.ISFORMULA(INDEX('Game Records'!$W:$W,$H65))),NOT(_xlfn.ISFORMULA(INDEX('Game Records'!$X:$X,$H65))),NOT(_xlfn.ISFORMULA(INDEX('Game Records'!$Y:$Y,$H65))),NOT(_xlfn.ISFORMULA(INDEX('Game Records'!$Z:$Z,$H65)))),"","")&amp;IF(INDEX('Game Records'!$B:$B,$H65)="","Start Date; ","")&amp;IF(INDEX('Game Records'!$C:$C,$H65)="","End Date; ","")&amp;IF(AND(INDEX('Game Records'!$U:$U,$H65)&lt;&gt;"Subscription",INDEX('Game Records'!$U:$U,$H65)&lt;&gt;"Free Game",INDEX('Game Records'!$U:$U,$H65)&lt;&gt;"Disqualified — Free Game",OR(INDEX('Game Records'!$D:$D,$H65)="",LOWER(INDEX('Game Records'!$D:$D,$H65)&amp;"")="n/a")),"Entry Mode; ","")&amp;IF(AND(INDEX('Game Records'!$U:$U,$H65)&lt;&gt;"Subscription",INDEX('Game Records'!$U:$U,$H65)&lt;&gt;"Free Game",INDEX('Game Records'!$U:$U,$H65)&lt;&gt;"Disqualified — Free Game",OR(INDEX('Game Records'!$E:$E,$H65)="",LOWER(INDEX('Game Records'!$E:$E,$H65)&amp;"")="n/a")),"Game Type; ","")&amp;IF(INDEX('Game Records'!$F:$F,$H65)="","Payment Type; ","")&amp;IF(AND(INDEX('Game Records'!$U:$U,$H65)&lt;&gt;"Subscription",INDEX('Game Records'!$U:$U,$H65)&lt;&gt;"Free Game",INDEX('Game Records'!$U:$U,$H65)&lt;&gt;"Disqualified — Free Game",INDEX('Game Records'!$G:$G,$H65)=""),"Gross Pot; ","")&amp;IF(AND(INDEX('Game Records'!$U:$U,$H65)&lt;&gt;"Free Game",INDEX('Game Records'!$U:$U,$H65)&lt;&gt;"Disqualified — Free Game",INDEX('Game Records'!$H:$H,$H65)=""),"Entry Fee; ","")&amp;IF(AND(INDEX('Game Records'!$U:$U,$H65)&lt;&gt;"Subscription",INDEX('Game Records'!$U:$U,$H65)&lt;&gt;"Free Game",INDEX('Game Records'!$U:$U,$H65)&lt;&gt;"Disqualified — Free Game",INDEX('Game Records'!$I:$I,$H65)=""),"Eligible Players; ","")&amp;IF(AND(INDEX('Game Records'!$U:$U,$H65)&lt;&gt;"Subscription",INDEX('Game Records'!$U:$U,$H65)&lt;&gt;"Free Game",INDEX('Game Records'!$U:$U,$H65)&lt;&gt;"Disqualified — Free Game",INDEX('Game Records'!$J:$J,$H65)=""),"Total Players; ","")&amp;IF(AND(LOWER(INDEX('Game Records'!$D:$D,$H65)&amp;"")="finalized",LOWER(INDEX('Game Records'!$L:$L,$H65)&amp;"")&lt;&gt;"yes",INDEX('Game Records'!$U:$U,$H65)&lt;&gt;"Subscription",INDEX('Game Records'!$U:$U,$H65)&lt;&gt;"Free Game",INDEX('Game Records'!$U:$U,$H65)&lt;&gt;"Disqualified — Free Game",INDEX('Game Records'!$K:$K,$H65)=""),"Final Payout; ","")&amp;IF(AND(LOWER(INDEX('Game Records'!$D:$D,$H65)&amp;"")="finalized",INDEX('Game Records'!$U:$U,$H65)&lt;&gt;"Subscription",INDEX('Game Records'!$U:$U,$H65)&lt;&gt;"Free Game",INDEX('Game Records'!$U:$U,$H65)&lt;&gt;"Disqualified — Free Game",OR(INDEX('Game Records'!$L:$L,$H65)="",LOWER(INDEX('Game Records'!$L:$L,$H65)&amp;"")="n/a")),"Disqualified Status; ",""))</f>
        <v/>
      </c>
      <c r="G65" s="23" t="str">
        <f t="array" ref="G65">IF($H65="","",IFERROR(INDEX('Game Records'!$M:$M,$H65),""))</f>
        <v/>
      </c>
      <c r="H65" s="3"/>
      <c r="I65" s="3"/>
      <c r="J65" s="3"/>
    </row>
    <row r="66" ht="24.0" customHeight="1">
      <c r="A66" s="18" t="str">
        <f t="shared" si="1"/>
        <v/>
      </c>
      <c r="B66" s="18" t="str">
        <f t="shared" si="2"/>
        <v/>
      </c>
      <c r="C66" s="23" t="str">
        <f t="array" ref="C66">IF($H66="","",IFERROR(INDEX('Game Records'!$A:$A,$H66),""))</f>
        <v/>
      </c>
      <c r="D66" s="23" t="str">
        <f t="array" ref="D66">IF($H66="","",IFERROR(INDEX('Game Records'!$U:$U,$H66),""))</f>
        <v/>
      </c>
      <c r="E66" s="23" t="str">
        <f t="array" ref="E66">IF($H66="","",LET(r,$H66,mode,LOWER(INDEX('Game Records'!$D:$D,r)&amp;""),endDate,INDEX('Game Records'!$C:$C,r),IF(mode="estimate",IF(endDate="","Estimate — End Date missing",IF(NOT(ISNUMBER(endDate)),"Estimate — Check End Date",IF(INT(endDate)&gt;=TODAY(),"In Progress — ends "&amp;TEXT(endDate,"mmm d, yyyy"),"Ready to Finalize"))),IF($F66="","No Highlighted Fields","Highlighted Fields Present"))))</f>
        <v/>
      </c>
      <c r="F66" s="23" t="str">
        <f t="array" ref="F66">IF($H66="","",IF(OR(NOT(_xlfn.ISFORMULA(INDEX('Game Records'!$N:$N,$H66))),NOT(_xlfn.ISFORMULA(INDEX('Game Records'!$O:$O,$H66))),NOT(_xlfn.ISFORMULA(INDEX('Game Records'!$P:$P,$H66))),NOT(_xlfn.ISFORMULA(INDEX('Game Records'!$Q:$Q,$H66))),NOT(_xlfn.ISFORMULA(INDEX('Game Records'!$R:$R,$H66))),NOT(_xlfn.ISFORMULA(INDEX('Game Records'!$S:$S,$H66))),NOT(_xlfn.ISFORMULA(INDEX('Game Records'!$T:$T,$H66))),NOT(_xlfn.ISFORMULA(INDEX('Game Records'!$U:$U,$H66))),NOT(_xlfn.ISFORMULA(INDEX('Game Records'!$V:$V,$H66))),NOT(_xlfn.ISFORMULA(INDEX('Game Records'!$W:$W,$H66))),NOT(_xlfn.ISFORMULA(INDEX('Game Records'!$X:$X,$H66))),NOT(_xlfn.ISFORMULA(INDEX('Game Records'!$Y:$Y,$H66))),NOT(_xlfn.ISFORMULA(INDEX('Game Records'!$Z:$Z,$H66)))),"","")&amp;IF(INDEX('Game Records'!$B:$B,$H66)="","Start Date; ","")&amp;IF(INDEX('Game Records'!$C:$C,$H66)="","End Date; ","")&amp;IF(AND(INDEX('Game Records'!$U:$U,$H66)&lt;&gt;"Subscription",INDEX('Game Records'!$U:$U,$H66)&lt;&gt;"Free Game",INDEX('Game Records'!$U:$U,$H66)&lt;&gt;"Disqualified — Free Game",OR(INDEX('Game Records'!$D:$D,$H66)="",LOWER(INDEX('Game Records'!$D:$D,$H66)&amp;"")="n/a")),"Entry Mode; ","")&amp;IF(AND(INDEX('Game Records'!$U:$U,$H66)&lt;&gt;"Subscription",INDEX('Game Records'!$U:$U,$H66)&lt;&gt;"Free Game",INDEX('Game Records'!$U:$U,$H66)&lt;&gt;"Disqualified — Free Game",OR(INDEX('Game Records'!$E:$E,$H66)="",LOWER(INDEX('Game Records'!$E:$E,$H66)&amp;"")="n/a")),"Game Type; ","")&amp;IF(INDEX('Game Records'!$F:$F,$H66)="","Payment Type; ","")&amp;IF(AND(INDEX('Game Records'!$U:$U,$H66)&lt;&gt;"Subscription",INDEX('Game Records'!$U:$U,$H66)&lt;&gt;"Free Game",INDEX('Game Records'!$U:$U,$H66)&lt;&gt;"Disqualified — Free Game",INDEX('Game Records'!$G:$G,$H66)=""),"Gross Pot; ","")&amp;IF(AND(INDEX('Game Records'!$U:$U,$H66)&lt;&gt;"Free Game",INDEX('Game Records'!$U:$U,$H66)&lt;&gt;"Disqualified — Free Game",INDEX('Game Records'!$H:$H,$H66)=""),"Entry Fee; ","")&amp;IF(AND(INDEX('Game Records'!$U:$U,$H66)&lt;&gt;"Subscription",INDEX('Game Records'!$U:$U,$H66)&lt;&gt;"Free Game",INDEX('Game Records'!$U:$U,$H66)&lt;&gt;"Disqualified — Free Game",INDEX('Game Records'!$I:$I,$H66)=""),"Eligible Players; ","")&amp;IF(AND(INDEX('Game Records'!$U:$U,$H66)&lt;&gt;"Subscription",INDEX('Game Records'!$U:$U,$H66)&lt;&gt;"Free Game",INDEX('Game Records'!$U:$U,$H66)&lt;&gt;"Disqualified — Free Game",INDEX('Game Records'!$J:$J,$H66)=""),"Total Players; ","")&amp;IF(AND(LOWER(INDEX('Game Records'!$D:$D,$H66)&amp;"")="finalized",LOWER(INDEX('Game Records'!$L:$L,$H66)&amp;"")&lt;&gt;"yes",INDEX('Game Records'!$U:$U,$H66)&lt;&gt;"Subscription",INDEX('Game Records'!$U:$U,$H66)&lt;&gt;"Free Game",INDEX('Game Records'!$U:$U,$H66)&lt;&gt;"Disqualified — Free Game",INDEX('Game Records'!$K:$K,$H66)=""),"Final Payout; ","")&amp;IF(AND(LOWER(INDEX('Game Records'!$D:$D,$H66)&amp;"")="finalized",INDEX('Game Records'!$U:$U,$H66)&lt;&gt;"Subscription",INDEX('Game Records'!$U:$U,$H66)&lt;&gt;"Free Game",INDEX('Game Records'!$U:$U,$H66)&lt;&gt;"Disqualified — Free Game",OR(INDEX('Game Records'!$L:$L,$H66)="",LOWER(INDEX('Game Records'!$L:$L,$H66)&amp;"")="n/a")),"Disqualified Status; ",""))</f>
        <v/>
      </c>
      <c r="G66" s="23" t="str">
        <f t="array" ref="G66">IF($H66="","",IFERROR(INDEX('Game Records'!$M:$M,$H66),""))</f>
        <v/>
      </c>
      <c r="H66" s="3"/>
      <c r="I66" s="3"/>
      <c r="J66" s="3"/>
    </row>
    <row r="67" ht="24.0" customHeight="1">
      <c r="A67" s="18" t="str">
        <f t="shared" si="1"/>
        <v/>
      </c>
      <c r="B67" s="18" t="str">
        <f t="shared" si="2"/>
        <v/>
      </c>
      <c r="C67" s="23" t="str">
        <f t="array" ref="C67">IF($H67="","",IFERROR(INDEX('Game Records'!$A:$A,$H67),""))</f>
        <v/>
      </c>
      <c r="D67" s="23" t="str">
        <f t="array" ref="D67">IF($H67="","",IFERROR(INDEX('Game Records'!$U:$U,$H67),""))</f>
        <v/>
      </c>
      <c r="E67" s="23" t="str">
        <f t="array" ref="E67">IF($H67="","",LET(r,$H67,mode,LOWER(INDEX('Game Records'!$D:$D,r)&amp;""),endDate,INDEX('Game Records'!$C:$C,r),IF(mode="estimate",IF(endDate="","Estimate — End Date missing",IF(NOT(ISNUMBER(endDate)),"Estimate — Check End Date",IF(INT(endDate)&gt;=TODAY(),"In Progress — ends "&amp;TEXT(endDate,"mmm d, yyyy"),"Ready to Finalize"))),IF($F67="","No Highlighted Fields","Highlighted Fields Present"))))</f>
        <v/>
      </c>
      <c r="F67" s="23" t="str">
        <f t="array" ref="F67">IF($H67="","",IF(OR(NOT(_xlfn.ISFORMULA(INDEX('Game Records'!$N:$N,$H67))),NOT(_xlfn.ISFORMULA(INDEX('Game Records'!$O:$O,$H67))),NOT(_xlfn.ISFORMULA(INDEX('Game Records'!$P:$P,$H67))),NOT(_xlfn.ISFORMULA(INDEX('Game Records'!$Q:$Q,$H67))),NOT(_xlfn.ISFORMULA(INDEX('Game Records'!$R:$R,$H67))),NOT(_xlfn.ISFORMULA(INDEX('Game Records'!$S:$S,$H67))),NOT(_xlfn.ISFORMULA(INDEX('Game Records'!$T:$T,$H67))),NOT(_xlfn.ISFORMULA(INDEX('Game Records'!$U:$U,$H67))),NOT(_xlfn.ISFORMULA(INDEX('Game Records'!$V:$V,$H67))),NOT(_xlfn.ISFORMULA(INDEX('Game Records'!$W:$W,$H67))),NOT(_xlfn.ISFORMULA(INDEX('Game Records'!$X:$X,$H67))),NOT(_xlfn.ISFORMULA(INDEX('Game Records'!$Y:$Y,$H67))),NOT(_xlfn.ISFORMULA(INDEX('Game Records'!$Z:$Z,$H67)))),"","")&amp;IF(INDEX('Game Records'!$B:$B,$H67)="","Start Date; ","")&amp;IF(INDEX('Game Records'!$C:$C,$H67)="","End Date; ","")&amp;IF(AND(INDEX('Game Records'!$U:$U,$H67)&lt;&gt;"Subscription",INDEX('Game Records'!$U:$U,$H67)&lt;&gt;"Free Game",INDEX('Game Records'!$U:$U,$H67)&lt;&gt;"Disqualified — Free Game",OR(INDEX('Game Records'!$D:$D,$H67)="",LOWER(INDEX('Game Records'!$D:$D,$H67)&amp;"")="n/a")),"Entry Mode; ","")&amp;IF(AND(INDEX('Game Records'!$U:$U,$H67)&lt;&gt;"Subscription",INDEX('Game Records'!$U:$U,$H67)&lt;&gt;"Free Game",INDEX('Game Records'!$U:$U,$H67)&lt;&gt;"Disqualified — Free Game",OR(INDEX('Game Records'!$E:$E,$H67)="",LOWER(INDEX('Game Records'!$E:$E,$H67)&amp;"")="n/a")),"Game Type; ","")&amp;IF(INDEX('Game Records'!$F:$F,$H67)="","Payment Type; ","")&amp;IF(AND(INDEX('Game Records'!$U:$U,$H67)&lt;&gt;"Subscription",INDEX('Game Records'!$U:$U,$H67)&lt;&gt;"Free Game",INDEX('Game Records'!$U:$U,$H67)&lt;&gt;"Disqualified — Free Game",INDEX('Game Records'!$G:$G,$H67)=""),"Gross Pot; ","")&amp;IF(AND(INDEX('Game Records'!$U:$U,$H67)&lt;&gt;"Free Game",INDEX('Game Records'!$U:$U,$H67)&lt;&gt;"Disqualified — Free Game",INDEX('Game Records'!$H:$H,$H67)=""),"Entry Fee; ","")&amp;IF(AND(INDEX('Game Records'!$U:$U,$H67)&lt;&gt;"Subscription",INDEX('Game Records'!$U:$U,$H67)&lt;&gt;"Free Game",INDEX('Game Records'!$U:$U,$H67)&lt;&gt;"Disqualified — Free Game",INDEX('Game Records'!$I:$I,$H67)=""),"Eligible Players; ","")&amp;IF(AND(INDEX('Game Records'!$U:$U,$H67)&lt;&gt;"Subscription",INDEX('Game Records'!$U:$U,$H67)&lt;&gt;"Free Game",INDEX('Game Records'!$U:$U,$H67)&lt;&gt;"Disqualified — Free Game",INDEX('Game Records'!$J:$J,$H67)=""),"Total Players; ","")&amp;IF(AND(LOWER(INDEX('Game Records'!$D:$D,$H67)&amp;"")="finalized",LOWER(INDEX('Game Records'!$L:$L,$H67)&amp;"")&lt;&gt;"yes",INDEX('Game Records'!$U:$U,$H67)&lt;&gt;"Subscription",INDEX('Game Records'!$U:$U,$H67)&lt;&gt;"Free Game",INDEX('Game Records'!$U:$U,$H67)&lt;&gt;"Disqualified — Free Game",INDEX('Game Records'!$K:$K,$H67)=""),"Final Payout; ","")&amp;IF(AND(LOWER(INDEX('Game Records'!$D:$D,$H67)&amp;"")="finalized",INDEX('Game Records'!$U:$U,$H67)&lt;&gt;"Subscription",INDEX('Game Records'!$U:$U,$H67)&lt;&gt;"Free Game",INDEX('Game Records'!$U:$U,$H67)&lt;&gt;"Disqualified — Free Game",OR(INDEX('Game Records'!$L:$L,$H67)="",LOWER(INDEX('Game Records'!$L:$L,$H67)&amp;"")="n/a")),"Disqualified Status; ",""))</f>
        <v/>
      </c>
      <c r="G67" s="23" t="str">
        <f t="array" ref="G67">IF($H67="","",IFERROR(INDEX('Game Records'!$M:$M,$H67),""))</f>
        <v/>
      </c>
      <c r="H67" s="3"/>
      <c r="I67" s="3"/>
      <c r="J67" s="3"/>
    </row>
    <row r="68" ht="24.0" customHeight="1">
      <c r="A68" s="18" t="str">
        <f t="shared" si="1"/>
        <v/>
      </c>
      <c r="B68" s="18" t="str">
        <f t="shared" si="2"/>
        <v/>
      </c>
      <c r="C68" s="23" t="str">
        <f t="array" ref="C68">IF($H68="","",IFERROR(INDEX('Game Records'!$A:$A,$H68),""))</f>
        <v/>
      </c>
      <c r="D68" s="23" t="str">
        <f t="array" ref="D68">IF($H68="","",IFERROR(INDEX('Game Records'!$U:$U,$H68),""))</f>
        <v/>
      </c>
      <c r="E68" s="23" t="str">
        <f t="array" ref="E68">IF($H68="","",LET(r,$H68,mode,LOWER(INDEX('Game Records'!$D:$D,r)&amp;""),endDate,INDEX('Game Records'!$C:$C,r),IF(mode="estimate",IF(endDate="","Estimate — End Date missing",IF(NOT(ISNUMBER(endDate)),"Estimate — Check End Date",IF(INT(endDate)&gt;=TODAY(),"In Progress — ends "&amp;TEXT(endDate,"mmm d, yyyy"),"Ready to Finalize"))),IF($F68="","No Highlighted Fields","Highlighted Fields Present"))))</f>
        <v/>
      </c>
      <c r="F68" s="23" t="str">
        <f t="array" ref="F68">IF($H68="","",IF(OR(NOT(_xlfn.ISFORMULA(INDEX('Game Records'!$N:$N,$H68))),NOT(_xlfn.ISFORMULA(INDEX('Game Records'!$O:$O,$H68))),NOT(_xlfn.ISFORMULA(INDEX('Game Records'!$P:$P,$H68))),NOT(_xlfn.ISFORMULA(INDEX('Game Records'!$Q:$Q,$H68))),NOT(_xlfn.ISFORMULA(INDEX('Game Records'!$R:$R,$H68))),NOT(_xlfn.ISFORMULA(INDEX('Game Records'!$S:$S,$H68))),NOT(_xlfn.ISFORMULA(INDEX('Game Records'!$T:$T,$H68))),NOT(_xlfn.ISFORMULA(INDEX('Game Records'!$U:$U,$H68))),NOT(_xlfn.ISFORMULA(INDEX('Game Records'!$V:$V,$H68))),NOT(_xlfn.ISFORMULA(INDEX('Game Records'!$W:$W,$H68))),NOT(_xlfn.ISFORMULA(INDEX('Game Records'!$X:$X,$H68))),NOT(_xlfn.ISFORMULA(INDEX('Game Records'!$Y:$Y,$H68))),NOT(_xlfn.ISFORMULA(INDEX('Game Records'!$Z:$Z,$H68)))),"","")&amp;IF(INDEX('Game Records'!$B:$B,$H68)="","Start Date; ","")&amp;IF(INDEX('Game Records'!$C:$C,$H68)="","End Date; ","")&amp;IF(AND(INDEX('Game Records'!$U:$U,$H68)&lt;&gt;"Subscription",INDEX('Game Records'!$U:$U,$H68)&lt;&gt;"Free Game",INDEX('Game Records'!$U:$U,$H68)&lt;&gt;"Disqualified — Free Game",OR(INDEX('Game Records'!$D:$D,$H68)="",LOWER(INDEX('Game Records'!$D:$D,$H68)&amp;"")="n/a")),"Entry Mode; ","")&amp;IF(AND(INDEX('Game Records'!$U:$U,$H68)&lt;&gt;"Subscription",INDEX('Game Records'!$U:$U,$H68)&lt;&gt;"Free Game",INDEX('Game Records'!$U:$U,$H68)&lt;&gt;"Disqualified — Free Game",OR(INDEX('Game Records'!$E:$E,$H68)="",LOWER(INDEX('Game Records'!$E:$E,$H68)&amp;"")="n/a")),"Game Type; ","")&amp;IF(INDEX('Game Records'!$F:$F,$H68)="","Payment Type; ","")&amp;IF(AND(INDEX('Game Records'!$U:$U,$H68)&lt;&gt;"Subscription",INDEX('Game Records'!$U:$U,$H68)&lt;&gt;"Free Game",INDEX('Game Records'!$U:$U,$H68)&lt;&gt;"Disqualified — Free Game",INDEX('Game Records'!$G:$G,$H68)=""),"Gross Pot; ","")&amp;IF(AND(INDEX('Game Records'!$U:$U,$H68)&lt;&gt;"Free Game",INDEX('Game Records'!$U:$U,$H68)&lt;&gt;"Disqualified — Free Game",INDEX('Game Records'!$H:$H,$H68)=""),"Entry Fee; ","")&amp;IF(AND(INDEX('Game Records'!$U:$U,$H68)&lt;&gt;"Subscription",INDEX('Game Records'!$U:$U,$H68)&lt;&gt;"Free Game",INDEX('Game Records'!$U:$U,$H68)&lt;&gt;"Disqualified — Free Game",INDEX('Game Records'!$I:$I,$H68)=""),"Eligible Players; ","")&amp;IF(AND(INDEX('Game Records'!$U:$U,$H68)&lt;&gt;"Subscription",INDEX('Game Records'!$U:$U,$H68)&lt;&gt;"Free Game",INDEX('Game Records'!$U:$U,$H68)&lt;&gt;"Disqualified — Free Game",INDEX('Game Records'!$J:$J,$H68)=""),"Total Players; ","")&amp;IF(AND(LOWER(INDEX('Game Records'!$D:$D,$H68)&amp;"")="finalized",LOWER(INDEX('Game Records'!$L:$L,$H68)&amp;"")&lt;&gt;"yes",INDEX('Game Records'!$U:$U,$H68)&lt;&gt;"Subscription",INDEX('Game Records'!$U:$U,$H68)&lt;&gt;"Free Game",INDEX('Game Records'!$U:$U,$H68)&lt;&gt;"Disqualified — Free Game",INDEX('Game Records'!$K:$K,$H68)=""),"Final Payout; ","")&amp;IF(AND(LOWER(INDEX('Game Records'!$D:$D,$H68)&amp;"")="finalized",INDEX('Game Records'!$U:$U,$H68)&lt;&gt;"Subscription",INDEX('Game Records'!$U:$U,$H68)&lt;&gt;"Free Game",INDEX('Game Records'!$U:$U,$H68)&lt;&gt;"Disqualified — Free Game",OR(INDEX('Game Records'!$L:$L,$H68)="",LOWER(INDEX('Game Records'!$L:$L,$H68)&amp;"")="n/a")),"Disqualified Status; ",""))</f>
        <v/>
      </c>
      <c r="G68" s="23" t="str">
        <f t="array" ref="G68">IF($H68="","",IFERROR(INDEX('Game Records'!$M:$M,$H68),""))</f>
        <v/>
      </c>
      <c r="H68" s="3"/>
      <c r="I68" s="3"/>
      <c r="J68" s="3"/>
    </row>
    <row r="69" ht="24.0" customHeight="1">
      <c r="A69" s="18" t="str">
        <f t="shared" si="1"/>
        <v/>
      </c>
      <c r="B69" s="18" t="str">
        <f t="shared" si="2"/>
        <v/>
      </c>
      <c r="C69" s="23" t="str">
        <f t="array" ref="C69">IF($H69="","",IFERROR(INDEX('Game Records'!$A:$A,$H69),""))</f>
        <v/>
      </c>
      <c r="D69" s="23" t="str">
        <f t="array" ref="D69">IF($H69="","",IFERROR(INDEX('Game Records'!$U:$U,$H69),""))</f>
        <v/>
      </c>
      <c r="E69" s="23" t="str">
        <f t="array" ref="E69">IF($H69="","",LET(r,$H69,mode,LOWER(INDEX('Game Records'!$D:$D,r)&amp;""),endDate,INDEX('Game Records'!$C:$C,r),IF(mode="estimate",IF(endDate="","Estimate — End Date missing",IF(NOT(ISNUMBER(endDate)),"Estimate — Check End Date",IF(INT(endDate)&gt;=TODAY(),"In Progress — ends "&amp;TEXT(endDate,"mmm d, yyyy"),"Ready to Finalize"))),IF($F69="","No Highlighted Fields","Highlighted Fields Present"))))</f>
        <v/>
      </c>
      <c r="F69" s="23" t="str">
        <f t="array" ref="F69">IF($H69="","",IF(OR(NOT(_xlfn.ISFORMULA(INDEX('Game Records'!$N:$N,$H69))),NOT(_xlfn.ISFORMULA(INDEX('Game Records'!$O:$O,$H69))),NOT(_xlfn.ISFORMULA(INDEX('Game Records'!$P:$P,$H69))),NOT(_xlfn.ISFORMULA(INDEX('Game Records'!$Q:$Q,$H69))),NOT(_xlfn.ISFORMULA(INDEX('Game Records'!$R:$R,$H69))),NOT(_xlfn.ISFORMULA(INDEX('Game Records'!$S:$S,$H69))),NOT(_xlfn.ISFORMULA(INDEX('Game Records'!$T:$T,$H69))),NOT(_xlfn.ISFORMULA(INDEX('Game Records'!$U:$U,$H69))),NOT(_xlfn.ISFORMULA(INDEX('Game Records'!$V:$V,$H69))),NOT(_xlfn.ISFORMULA(INDEX('Game Records'!$W:$W,$H69))),NOT(_xlfn.ISFORMULA(INDEX('Game Records'!$X:$X,$H69))),NOT(_xlfn.ISFORMULA(INDEX('Game Records'!$Y:$Y,$H69))),NOT(_xlfn.ISFORMULA(INDEX('Game Records'!$Z:$Z,$H69)))),"","")&amp;IF(INDEX('Game Records'!$B:$B,$H69)="","Start Date; ","")&amp;IF(INDEX('Game Records'!$C:$C,$H69)="","End Date; ","")&amp;IF(AND(INDEX('Game Records'!$U:$U,$H69)&lt;&gt;"Subscription",INDEX('Game Records'!$U:$U,$H69)&lt;&gt;"Free Game",INDEX('Game Records'!$U:$U,$H69)&lt;&gt;"Disqualified — Free Game",OR(INDEX('Game Records'!$D:$D,$H69)="",LOWER(INDEX('Game Records'!$D:$D,$H69)&amp;"")="n/a")),"Entry Mode; ","")&amp;IF(AND(INDEX('Game Records'!$U:$U,$H69)&lt;&gt;"Subscription",INDEX('Game Records'!$U:$U,$H69)&lt;&gt;"Free Game",INDEX('Game Records'!$U:$U,$H69)&lt;&gt;"Disqualified — Free Game",OR(INDEX('Game Records'!$E:$E,$H69)="",LOWER(INDEX('Game Records'!$E:$E,$H69)&amp;"")="n/a")),"Game Type; ","")&amp;IF(INDEX('Game Records'!$F:$F,$H69)="","Payment Type; ","")&amp;IF(AND(INDEX('Game Records'!$U:$U,$H69)&lt;&gt;"Subscription",INDEX('Game Records'!$U:$U,$H69)&lt;&gt;"Free Game",INDEX('Game Records'!$U:$U,$H69)&lt;&gt;"Disqualified — Free Game",INDEX('Game Records'!$G:$G,$H69)=""),"Gross Pot; ","")&amp;IF(AND(INDEX('Game Records'!$U:$U,$H69)&lt;&gt;"Free Game",INDEX('Game Records'!$U:$U,$H69)&lt;&gt;"Disqualified — Free Game",INDEX('Game Records'!$H:$H,$H69)=""),"Entry Fee; ","")&amp;IF(AND(INDEX('Game Records'!$U:$U,$H69)&lt;&gt;"Subscription",INDEX('Game Records'!$U:$U,$H69)&lt;&gt;"Free Game",INDEX('Game Records'!$U:$U,$H69)&lt;&gt;"Disqualified — Free Game",INDEX('Game Records'!$I:$I,$H69)=""),"Eligible Players; ","")&amp;IF(AND(INDEX('Game Records'!$U:$U,$H69)&lt;&gt;"Subscription",INDEX('Game Records'!$U:$U,$H69)&lt;&gt;"Free Game",INDEX('Game Records'!$U:$U,$H69)&lt;&gt;"Disqualified — Free Game",INDEX('Game Records'!$J:$J,$H69)=""),"Total Players; ","")&amp;IF(AND(LOWER(INDEX('Game Records'!$D:$D,$H69)&amp;"")="finalized",LOWER(INDEX('Game Records'!$L:$L,$H69)&amp;"")&lt;&gt;"yes",INDEX('Game Records'!$U:$U,$H69)&lt;&gt;"Subscription",INDEX('Game Records'!$U:$U,$H69)&lt;&gt;"Free Game",INDEX('Game Records'!$U:$U,$H69)&lt;&gt;"Disqualified — Free Game",INDEX('Game Records'!$K:$K,$H69)=""),"Final Payout; ","")&amp;IF(AND(LOWER(INDEX('Game Records'!$D:$D,$H69)&amp;"")="finalized",INDEX('Game Records'!$U:$U,$H69)&lt;&gt;"Subscription",INDEX('Game Records'!$U:$U,$H69)&lt;&gt;"Free Game",INDEX('Game Records'!$U:$U,$H69)&lt;&gt;"Disqualified — Free Game",OR(INDEX('Game Records'!$L:$L,$H69)="",LOWER(INDEX('Game Records'!$L:$L,$H69)&amp;"")="n/a")),"Disqualified Status; ",""))</f>
        <v/>
      </c>
      <c r="G69" s="23" t="str">
        <f t="array" ref="G69">IF($H69="","",IFERROR(INDEX('Game Records'!$M:$M,$H69),""))</f>
        <v/>
      </c>
      <c r="H69" s="3"/>
      <c r="I69" s="3"/>
      <c r="J69" s="3"/>
    </row>
    <row r="70" ht="24.0" customHeight="1">
      <c r="A70" s="18" t="str">
        <f t="shared" si="1"/>
        <v/>
      </c>
      <c r="B70" s="18" t="str">
        <f t="shared" si="2"/>
        <v/>
      </c>
      <c r="C70" s="23" t="str">
        <f t="array" ref="C70">IF($H70="","",IFERROR(INDEX('Game Records'!$A:$A,$H70),""))</f>
        <v/>
      </c>
      <c r="D70" s="23" t="str">
        <f t="array" ref="D70">IF($H70="","",IFERROR(INDEX('Game Records'!$U:$U,$H70),""))</f>
        <v/>
      </c>
      <c r="E70" s="23" t="str">
        <f t="array" ref="E70">IF($H70="","",LET(r,$H70,mode,LOWER(INDEX('Game Records'!$D:$D,r)&amp;""),endDate,INDEX('Game Records'!$C:$C,r),IF(mode="estimate",IF(endDate="","Estimate — End Date missing",IF(NOT(ISNUMBER(endDate)),"Estimate — Check End Date",IF(INT(endDate)&gt;=TODAY(),"In Progress — ends "&amp;TEXT(endDate,"mmm d, yyyy"),"Ready to Finalize"))),IF($F70="","No Highlighted Fields","Highlighted Fields Present"))))</f>
        <v/>
      </c>
      <c r="F70" s="23" t="str">
        <f t="array" ref="F70">IF($H70="","",IF(OR(NOT(_xlfn.ISFORMULA(INDEX('Game Records'!$N:$N,$H70))),NOT(_xlfn.ISFORMULA(INDEX('Game Records'!$O:$O,$H70))),NOT(_xlfn.ISFORMULA(INDEX('Game Records'!$P:$P,$H70))),NOT(_xlfn.ISFORMULA(INDEX('Game Records'!$Q:$Q,$H70))),NOT(_xlfn.ISFORMULA(INDEX('Game Records'!$R:$R,$H70))),NOT(_xlfn.ISFORMULA(INDEX('Game Records'!$S:$S,$H70))),NOT(_xlfn.ISFORMULA(INDEX('Game Records'!$T:$T,$H70))),NOT(_xlfn.ISFORMULA(INDEX('Game Records'!$U:$U,$H70))),NOT(_xlfn.ISFORMULA(INDEX('Game Records'!$V:$V,$H70))),NOT(_xlfn.ISFORMULA(INDEX('Game Records'!$W:$W,$H70))),NOT(_xlfn.ISFORMULA(INDEX('Game Records'!$X:$X,$H70))),NOT(_xlfn.ISFORMULA(INDEX('Game Records'!$Y:$Y,$H70))),NOT(_xlfn.ISFORMULA(INDEX('Game Records'!$Z:$Z,$H70)))),"","")&amp;IF(INDEX('Game Records'!$B:$B,$H70)="","Start Date; ","")&amp;IF(INDEX('Game Records'!$C:$C,$H70)="","End Date; ","")&amp;IF(AND(INDEX('Game Records'!$U:$U,$H70)&lt;&gt;"Subscription",INDEX('Game Records'!$U:$U,$H70)&lt;&gt;"Free Game",INDEX('Game Records'!$U:$U,$H70)&lt;&gt;"Disqualified — Free Game",OR(INDEX('Game Records'!$D:$D,$H70)="",LOWER(INDEX('Game Records'!$D:$D,$H70)&amp;"")="n/a")),"Entry Mode; ","")&amp;IF(AND(INDEX('Game Records'!$U:$U,$H70)&lt;&gt;"Subscription",INDEX('Game Records'!$U:$U,$H70)&lt;&gt;"Free Game",INDEX('Game Records'!$U:$U,$H70)&lt;&gt;"Disqualified — Free Game",OR(INDEX('Game Records'!$E:$E,$H70)="",LOWER(INDEX('Game Records'!$E:$E,$H70)&amp;"")="n/a")),"Game Type; ","")&amp;IF(INDEX('Game Records'!$F:$F,$H70)="","Payment Type; ","")&amp;IF(AND(INDEX('Game Records'!$U:$U,$H70)&lt;&gt;"Subscription",INDEX('Game Records'!$U:$U,$H70)&lt;&gt;"Free Game",INDEX('Game Records'!$U:$U,$H70)&lt;&gt;"Disqualified — Free Game",INDEX('Game Records'!$G:$G,$H70)=""),"Gross Pot; ","")&amp;IF(AND(INDEX('Game Records'!$U:$U,$H70)&lt;&gt;"Free Game",INDEX('Game Records'!$U:$U,$H70)&lt;&gt;"Disqualified — Free Game",INDEX('Game Records'!$H:$H,$H70)=""),"Entry Fee; ","")&amp;IF(AND(INDEX('Game Records'!$U:$U,$H70)&lt;&gt;"Subscription",INDEX('Game Records'!$U:$U,$H70)&lt;&gt;"Free Game",INDEX('Game Records'!$U:$U,$H70)&lt;&gt;"Disqualified — Free Game",INDEX('Game Records'!$I:$I,$H70)=""),"Eligible Players; ","")&amp;IF(AND(INDEX('Game Records'!$U:$U,$H70)&lt;&gt;"Subscription",INDEX('Game Records'!$U:$U,$H70)&lt;&gt;"Free Game",INDEX('Game Records'!$U:$U,$H70)&lt;&gt;"Disqualified — Free Game",INDEX('Game Records'!$J:$J,$H70)=""),"Total Players; ","")&amp;IF(AND(LOWER(INDEX('Game Records'!$D:$D,$H70)&amp;"")="finalized",LOWER(INDEX('Game Records'!$L:$L,$H70)&amp;"")&lt;&gt;"yes",INDEX('Game Records'!$U:$U,$H70)&lt;&gt;"Subscription",INDEX('Game Records'!$U:$U,$H70)&lt;&gt;"Free Game",INDEX('Game Records'!$U:$U,$H70)&lt;&gt;"Disqualified — Free Game",INDEX('Game Records'!$K:$K,$H70)=""),"Final Payout; ","")&amp;IF(AND(LOWER(INDEX('Game Records'!$D:$D,$H70)&amp;"")="finalized",INDEX('Game Records'!$U:$U,$H70)&lt;&gt;"Subscription",INDEX('Game Records'!$U:$U,$H70)&lt;&gt;"Free Game",INDEX('Game Records'!$U:$U,$H70)&lt;&gt;"Disqualified — Free Game",OR(INDEX('Game Records'!$L:$L,$H70)="",LOWER(INDEX('Game Records'!$L:$L,$H70)&amp;"")="n/a")),"Disqualified Status; ",""))</f>
        <v/>
      </c>
      <c r="G70" s="23" t="str">
        <f t="array" ref="G70">IF($H70="","",IFERROR(INDEX('Game Records'!$M:$M,$H70),""))</f>
        <v/>
      </c>
      <c r="H70" s="3"/>
      <c r="I70" s="3"/>
      <c r="J70" s="3"/>
    </row>
    <row r="71" ht="24.0" customHeight="1">
      <c r="A71" s="18" t="str">
        <f t="shared" si="1"/>
        <v/>
      </c>
      <c r="B71" s="18" t="str">
        <f t="shared" si="2"/>
        <v/>
      </c>
      <c r="C71" s="23" t="str">
        <f t="array" ref="C71">IF($H71="","",IFERROR(INDEX('Game Records'!$A:$A,$H71),""))</f>
        <v/>
      </c>
      <c r="D71" s="23" t="str">
        <f t="array" ref="D71">IF($H71="","",IFERROR(INDEX('Game Records'!$U:$U,$H71),""))</f>
        <v/>
      </c>
      <c r="E71" s="23" t="str">
        <f t="array" ref="E71">IF($H71="","",LET(r,$H71,mode,LOWER(INDEX('Game Records'!$D:$D,r)&amp;""),endDate,INDEX('Game Records'!$C:$C,r),IF(mode="estimate",IF(endDate="","Estimate — End Date missing",IF(NOT(ISNUMBER(endDate)),"Estimate — Check End Date",IF(INT(endDate)&gt;=TODAY(),"In Progress — ends "&amp;TEXT(endDate,"mmm d, yyyy"),"Ready to Finalize"))),IF($F71="","No Highlighted Fields","Highlighted Fields Present"))))</f>
        <v/>
      </c>
      <c r="F71" s="23" t="str">
        <f t="array" ref="F71">IF($H71="","",IF(OR(NOT(_xlfn.ISFORMULA(INDEX('Game Records'!$N:$N,$H71))),NOT(_xlfn.ISFORMULA(INDEX('Game Records'!$O:$O,$H71))),NOT(_xlfn.ISFORMULA(INDEX('Game Records'!$P:$P,$H71))),NOT(_xlfn.ISFORMULA(INDEX('Game Records'!$Q:$Q,$H71))),NOT(_xlfn.ISFORMULA(INDEX('Game Records'!$R:$R,$H71))),NOT(_xlfn.ISFORMULA(INDEX('Game Records'!$S:$S,$H71))),NOT(_xlfn.ISFORMULA(INDEX('Game Records'!$T:$T,$H71))),NOT(_xlfn.ISFORMULA(INDEX('Game Records'!$U:$U,$H71))),NOT(_xlfn.ISFORMULA(INDEX('Game Records'!$V:$V,$H71))),NOT(_xlfn.ISFORMULA(INDEX('Game Records'!$W:$W,$H71))),NOT(_xlfn.ISFORMULA(INDEX('Game Records'!$X:$X,$H71))),NOT(_xlfn.ISFORMULA(INDEX('Game Records'!$Y:$Y,$H71))),NOT(_xlfn.ISFORMULA(INDEX('Game Records'!$Z:$Z,$H71)))),"","")&amp;IF(INDEX('Game Records'!$B:$B,$H71)="","Start Date; ","")&amp;IF(INDEX('Game Records'!$C:$C,$H71)="","End Date; ","")&amp;IF(AND(INDEX('Game Records'!$U:$U,$H71)&lt;&gt;"Subscription",INDEX('Game Records'!$U:$U,$H71)&lt;&gt;"Free Game",INDEX('Game Records'!$U:$U,$H71)&lt;&gt;"Disqualified — Free Game",OR(INDEX('Game Records'!$D:$D,$H71)="",LOWER(INDEX('Game Records'!$D:$D,$H71)&amp;"")="n/a")),"Entry Mode; ","")&amp;IF(AND(INDEX('Game Records'!$U:$U,$H71)&lt;&gt;"Subscription",INDEX('Game Records'!$U:$U,$H71)&lt;&gt;"Free Game",INDEX('Game Records'!$U:$U,$H71)&lt;&gt;"Disqualified — Free Game",OR(INDEX('Game Records'!$E:$E,$H71)="",LOWER(INDEX('Game Records'!$E:$E,$H71)&amp;"")="n/a")),"Game Type; ","")&amp;IF(INDEX('Game Records'!$F:$F,$H71)="","Payment Type; ","")&amp;IF(AND(INDEX('Game Records'!$U:$U,$H71)&lt;&gt;"Subscription",INDEX('Game Records'!$U:$U,$H71)&lt;&gt;"Free Game",INDEX('Game Records'!$U:$U,$H71)&lt;&gt;"Disqualified — Free Game",INDEX('Game Records'!$G:$G,$H71)=""),"Gross Pot; ","")&amp;IF(AND(INDEX('Game Records'!$U:$U,$H71)&lt;&gt;"Free Game",INDEX('Game Records'!$U:$U,$H71)&lt;&gt;"Disqualified — Free Game",INDEX('Game Records'!$H:$H,$H71)=""),"Entry Fee; ","")&amp;IF(AND(INDEX('Game Records'!$U:$U,$H71)&lt;&gt;"Subscription",INDEX('Game Records'!$U:$U,$H71)&lt;&gt;"Free Game",INDEX('Game Records'!$U:$U,$H71)&lt;&gt;"Disqualified — Free Game",INDEX('Game Records'!$I:$I,$H71)=""),"Eligible Players; ","")&amp;IF(AND(INDEX('Game Records'!$U:$U,$H71)&lt;&gt;"Subscription",INDEX('Game Records'!$U:$U,$H71)&lt;&gt;"Free Game",INDEX('Game Records'!$U:$U,$H71)&lt;&gt;"Disqualified — Free Game",INDEX('Game Records'!$J:$J,$H71)=""),"Total Players; ","")&amp;IF(AND(LOWER(INDEX('Game Records'!$D:$D,$H71)&amp;"")="finalized",LOWER(INDEX('Game Records'!$L:$L,$H71)&amp;"")&lt;&gt;"yes",INDEX('Game Records'!$U:$U,$H71)&lt;&gt;"Subscription",INDEX('Game Records'!$U:$U,$H71)&lt;&gt;"Free Game",INDEX('Game Records'!$U:$U,$H71)&lt;&gt;"Disqualified — Free Game",INDEX('Game Records'!$K:$K,$H71)=""),"Final Payout; ","")&amp;IF(AND(LOWER(INDEX('Game Records'!$D:$D,$H71)&amp;"")="finalized",INDEX('Game Records'!$U:$U,$H71)&lt;&gt;"Subscription",INDEX('Game Records'!$U:$U,$H71)&lt;&gt;"Free Game",INDEX('Game Records'!$U:$U,$H71)&lt;&gt;"Disqualified — Free Game",OR(INDEX('Game Records'!$L:$L,$H71)="",LOWER(INDEX('Game Records'!$L:$L,$H71)&amp;"")="n/a")),"Disqualified Status; ",""))</f>
        <v/>
      </c>
      <c r="G71" s="23" t="str">
        <f t="array" ref="G71">IF($H71="","",IFERROR(INDEX('Game Records'!$M:$M,$H71),""))</f>
        <v/>
      </c>
      <c r="H71" s="3"/>
      <c r="I71" s="3"/>
      <c r="J71" s="3"/>
    </row>
    <row r="72" ht="24.0" customHeight="1">
      <c r="A72" s="18" t="str">
        <f t="shared" si="1"/>
        <v/>
      </c>
      <c r="B72" s="18" t="str">
        <f t="shared" si="2"/>
        <v/>
      </c>
      <c r="C72" s="23" t="str">
        <f t="array" ref="C72">IF($H72="","",IFERROR(INDEX('Game Records'!$A:$A,$H72),""))</f>
        <v/>
      </c>
      <c r="D72" s="23" t="str">
        <f t="array" ref="D72">IF($H72="","",IFERROR(INDEX('Game Records'!$U:$U,$H72),""))</f>
        <v/>
      </c>
      <c r="E72" s="23" t="str">
        <f t="array" ref="E72">IF($H72="","",LET(r,$H72,mode,LOWER(INDEX('Game Records'!$D:$D,r)&amp;""),endDate,INDEX('Game Records'!$C:$C,r),IF(mode="estimate",IF(endDate="","Estimate — End Date missing",IF(NOT(ISNUMBER(endDate)),"Estimate — Check End Date",IF(INT(endDate)&gt;=TODAY(),"In Progress — ends "&amp;TEXT(endDate,"mmm d, yyyy"),"Ready to Finalize"))),IF($F72="","No Highlighted Fields","Highlighted Fields Present"))))</f>
        <v/>
      </c>
      <c r="F72" s="23" t="str">
        <f t="array" ref="F72">IF($H72="","",IF(OR(NOT(_xlfn.ISFORMULA(INDEX('Game Records'!$N:$N,$H72))),NOT(_xlfn.ISFORMULA(INDEX('Game Records'!$O:$O,$H72))),NOT(_xlfn.ISFORMULA(INDEX('Game Records'!$P:$P,$H72))),NOT(_xlfn.ISFORMULA(INDEX('Game Records'!$Q:$Q,$H72))),NOT(_xlfn.ISFORMULA(INDEX('Game Records'!$R:$R,$H72))),NOT(_xlfn.ISFORMULA(INDEX('Game Records'!$S:$S,$H72))),NOT(_xlfn.ISFORMULA(INDEX('Game Records'!$T:$T,$H72))),NOT(_xlfn.ISFORMULA(INDEX('Game Records'!$U:$U,$H72))),NOT(_xlfn.ISFORMULA(INDEX('Game Records'!$V:$V,$H72))),NOT(_xlfn.ISFORMULA(INDEX('Game Records'!$W:$W,$H72))),NOT(_xlfn.ISFORMULA(INDEX('Game Records'!$X:$X,$H72))),NOT(_xlfn.ISFORMULA(INDEX('Game Records'!$Y:$Y,$H72))),NOT(_xlfn.ISFORMULA(INDEX('Game Records'!$Z:$Z,$H72)))),"","")&amp;IF(INDEX('Game Records'!$B:$B,$H72)="","Start Date; ","")&amp;IF(INDEX('Game Records'!$C:$C,$H72)="","End Date; ","")&amp;IF(AND(INDEX('Game Records'!$U:$U,$H72)&lt;&gt;"Subscription",INDEX('Game Records'!$U:$U,$H72)&lt;&gt;"Free Game",INDEX('Game Records'!$U:$U,$H72)&lt;&gt;"Disqualified — Free Game",OR(INDEX('Game Records'!$D:$D,$H72)="",LOWER(INDEX('Game Records'!$D:$D,$H72)&amp;"")="n/a")),"Entry Mode; ","")&amp;IF(AND(INDEX('Game Records'!$U:$U,$H72)&lt;&gt;"Subscription",INDEX('Game Records'!$U:$U,$H72)&lt;&gt;"Free Game",INDEX('Game Records'!$U:$U,$H72)&lt;&gt;"Disqualified — Free Game",OR(INDEX('Game Records'!$E:$E,$H72)="",LOWER(INDEX('Game Records'!$E:$E,$H72)&amp;"")="n/a")),"Game Type; ","")&amp;IF(INDEX('Game Records'!$F:$F,$H72)="","Payment Type; ","")&amp;IF(AND(INDEX('Game Records'!$U:$U,$H72)&lt;&gt;"Subscription",INDEX('Game Records'!$U:$U,$H72)&lt;&gt;"Free Game",INDEX('Game Records'!$U:$U,$H72)&lt;&gt;"Disqualified — Free Game",INDEX('Game Records'!$G:$G,$H72)=""),"Gross Pot; ","")&amp;IF(AND(INDEX('Game Records'!$U:$U,$H72)&lt;&gt;"Free Game",INDEX('Game Records'!$U:$U,$H72)&lt;&gt;"Disqualified — Free Game",INDEX('Game Records'!$H:$H,$H72)=""),"Entry Fee; ","")&amp;IF(AND(INDEX('Game Records'!$U:$U,$H72)&lt;&gt;"Subscription",INDEX('Game Records'!$U:$U,$H72)&lt;&gt;"Free Game",INDEX('Game Records'!$U:$U,$H72)&lt;&gt;"Disqualified — Free Game",INDEX('Game Records'!$I:$I,$H72)=""),"Eligible Players; ","")&amp;IF(AND(INDEX('Game Records'!$U:$U,$H72)&lt;&gt;"Subscription",INDEX('Game Records'!$U:$U,$H72)&lt;&gt;"Free Game",INDEX('Game Records'!$U:$U,$H72)&lt;&gt;"Disqualified — Free Game",INDEX('Game Records'!$J:$J,$H72)=""),"Total Players; ","")&amp;IF(AND(LOWER(INDEX('Game Records'!$D:$D,$H72)&amp;"")="finalized",LOWER(INDEX('Game Records'!$L:$L,$H72)&amp;"")&lt;&gt;"yes",INDEX('Game Records'!$U:$U,$H72)&lt;&gt;"Subscription",INDEX('Game Records'!$U:$U,$H72)&lt;&gt;"Free Game",INDEX('Game Records'!$U:$U,$H72)&lt;&gt;"Disqualified — Free Game",INDEX('Game Records'!$K:$K,$H72)=""),"Final Payout; ","")&amp;IF(AND(LOWER(INDEX('Game Records'!$D:$D,$H72)&amp;"")="finalized",INDEX('Game Records'!$U:$U,$H72)&lt;&gt;"Subscription",INDEX('Game Records'!$U:$U,$H72)&lt;&gt;"Free Game",INDEX('Game Records'!$U:$U,$H72)&lt;&gt;"Disqualified — Free Game",OR(INDEX('Game Records'!$L:$L,$H72)="",LOWER(INDEX('Game Records'!$L:$L,$H72)&amp;"")="n/a")),"Disqualified Status; ",""))</f>
        <v/>
      </c>
      <c r="G72" s="23" t="str">
        <f t="array" ref="G72">IF($H72="","",IFERROR(INDEX('Game Records'!$M:$M,$H72),""))</f>
        <v/>
      </c>
      <c r="H72" s="3"/>
      <c r="I72" s="3"/>
      <c r="J72" s="3"/>
    </row>
    <row r="73" ht="24.0" customHeight="1">
      <c r="A73" s="18" t="str">
        <f t="shared" si="1"/>
        <v/>
      </c>
      <c r="B73" s="18" t="str">
        <f t="shared" si="2"/>
        <v/>
      </c>
      <c r="C73" s="23" t="str">
        <f t="array" ref="C73">IF($H73="","",IFERROR(INDEX('Game Records'!$A:$A,$H73),""))</f>
        <v/>
      </c>
      <c r="D73" s="23" t="str">
        <f t="array" ref="D73">IF($H73="","",IFERROR(INDEX('Game Records'!$U:$U,$H73),""))</f>
        <v/>
      </c>
      <c r="E73" s="23" t="str">
        <f t="array" ref="E73">IF($H73="","",LET(r,$H73,mode,LOWER(INDEX('Game Records'!$D:$D,r)&amp;""),endDate,INDEX('Game Records'!$C:$C,r),IF(mode="estimate",IF(endDate="","Estimate — End Date missing",IF(NOT(ISNUMBER(endDate)),"Estimate — Check End Date",IF(INT(endDate)&gt;=TODAY(),"In Progress — ends "&amp;TEXT(endDate,"mmm d, yyyy"),"Ready to Finalize"))),IF($F73="","No Highlighted Fields","Highlighted Fields Present"))))</f>
        <v/>
      </c>
      <c r="F73" s="23" t="str">
        <f t="array" ref="F73">IF($H73="","",IF(OR(NOT(_xlfn.ISFORMULA(INDEX('Game Records'!$N:$N,$H73))),NOT(_xlfn.ISFORMULA(INDEX('Game Records'!$O:$O,$H73))),NOT(_xlfn.ISFORMULA(INDEX('Game Records'!$P:$P,$H73))),NOT(_xlfn.ISFORMULA(INDEX('Game Records'!$Q:$Q,$H73))),NOT(_xlfn.ISFORMULA(INDEX('Game Records'!$R:$R,$H73))),NOT(_xlfn.ISFORMULA(INDEX('Game Records'!$S:$S,$H73))),NOT(_xlfn.ISFORMULA(INDEX('Game Records'!$T:$T,$H73))),NOT(_xlfn.ISFORMULA(INDEX('Game Records'!$U:$U,$H73))),NOT(_xlfn.ISFORMULA(INDEX('Game Records'!$V:$V,$H73))),NOT(_xlfn.ISFORMULA(INDEX('Game Records'!$W:$W,$H73))),NOT(_xlfn.ISFORMULA(INDEX('Game Records'!$X:$X,$H73))),NOT(_xlfn.ISFORMULA(INDEX('Game Records'!$Y:$Y,$H73))),NOT(_xlfn.ISFORMULA(INDEX('Game Records'!$Z:$Z,$H73)))),"","")&amp;IF(INDEX('Game Records'!$B:$B,$H73)="","Start Date; ","")&amp;IF(INDEX('Game Records'!$C:$C,$H73)="","End Date; ","")&amp;IF(AND(INDEX('Game Records'!$U:$U,$H73)&lt;&gt;"Subscription",INDEX('Game Records'!$U:$U,$H73)&lt;&gt;"Free Game",INDEX('Game Records'!$U:$U,$H73)&lt;&gt;"Disqualified — Free Game",OR(INDEX('Game Records'!$D:$D,$H73)="",LOWER(INDEX('Game Records'!$D:$D,$H73)&amp;"")="n/a")),"Entry Mode; ","")&amp;IF(AND(INDEX('Game Records'!$U:$U,$H73)&lt;&gt;"Subscription",INDEX('Game Records'!$U:$U,$H73)&lt;&gt;"Free Game",INDEX('Game Records'!$U:$U,$H73)&lt;&gt;"Disqualified — Free Game",OR(INDEX('Game Records'!$E:$E,$H73)="",LOWER(INDEX('Game Records'!$E:$E,$H73)&amp;"")="n/a")),"Game Type; ","")&amp;IF(INDEX('Game Records'!$F:$F,$H73)="","Payment Type; ","")&amp;IF(AND(INDEX('Game Records'!$U:$U,$H73)&lt;&gt;"Subscription",INDEX('Game Records'!$U:$U,$H73)&lt;&gt;"Free Game",INDEX('Game Records'!$U:$U,$H73)&lt;&gt;"Disqualified — Free Game",INDEX('Game Records'!$G:$G,$H73)=""),"Gross Pot; ","")&amp;IF(AND(INDEX('Game Records'!$U:$U,$H73)&lt;&gt;"Free Game",INDEX('Game Records'!$U:$U,$H73)&lt;&gt;"Disqualified — Free Game",INDEX('Game Records'!$H:$H,$H73)=""),"Entry Fee; ","")&amp;IF(AND(INDEX('Game Records'!$U:$U,$H73)&lt;&gt;"Subscription",INDEX('Game Records'!$U:$U,$H73)&lt;&gt;"Free Game",INDEX('Game Records'!$U:$U,$H73)&lt;&gt;"Disqualified — Free Game",INDEX('Game Records'!$I:$I,$H73)=""),"Eligible Players; ","")&amp;IF(AND(INDEX('Game Records'!$U:$U,$H73)&lt;&gt;"Subscription",INDEX('Game Records'!$U:$U,$H73)&lt;&gt;"Free Game",INDEX('Game Records'!$U:$U,$H73)&lt;&gt;"Disqualified — Free Game",INDEX('Game Records'!$J:$J,$H73)=""),"Total Players; ","")&amp;IF(AND(LOWER(INDEX('Game Records'!$D:$D,$H73)&amp;"")="finalized",LOWER(INDEX('Game Records'!$L:$L,$H73)&amp;"")&lt;&gt;"yes",INDEX('Game Records'!$U:$U,$H73)&lt;&gt;"Subscription",INDEX('Game Records'!$U:$U,$H73)&lt;&gt;"Free Game",INDEX('Game Records'!$U:$U,$H73)&lt;&gt;"Disqualified — Free Game",INDEX('Game Records'!$K:$K,$H73)=""),"Final Payout; ","")&amp;IF(AND(LOWER(INDEX('Game Records'!$D:$D,$H73)&amp;"")="finalized",INDEX('Game Records'!$U:$U,$H73)&lt;&gt;"Subscription",INDEX('Game Records'!$U:$U,$H73)&lt;&gt;"Free Game",INDEX('Game Records'!$U:$U,$H73)&lt;&gt;"Disqualified — Free Game",OR(INDEX('Game Records'!$L:$L,$H73)="",LOWER(INDEX('Game Records'!$L:$L,$H73)&amp;"")="n/a")),"Disqualified Status; ",""))</f>
        <v/>
      </c>
      <c r="G73" s="23" t="str">
        <f t="array" ref="G73">IF($H73="","",IFERROR(INDEX('Game Records'!$M:$M,$H73),""))</f>
        <v/>
      </c>
      <c r="H73" s="3"/>
      <c r="I73" s="3"/>
      <c r="J73" s="3"/>
    </row>
    <row r="74" ht="24.0" customHeight="1">
      <c r="A74" s="18" t="str">
        <f t="shared" si="1"/>
        <v/>
      </c>
      <c r="B74" s="18" t="str">
        <f t="shared" si="2"/>
        <v/>
      </c>
      <c r="C74" s="23" t="str">
        <f t="array" ref="C74">IF($H74="","",IFERROR(INDEX('Game Records'!$A:$A,$H74),""))</f>
        <v/>
      </c>
      <c r="D74" s="23" t="str">
        <f t="array" ref="D74">IF($H74="","",IFERROR(INDEX('Game Records'!$U:$U,$H74),""))</f>
        <v/>
      </c>
      <c r="E74" s="23" t="str">
        <f t="array" ref="E74">IF($H74="","",LET(r,$H74,mode,LOWER(INDEX('Game Records'!$D:$D,r)&amp;""),endDate,INDEX('Game Records'!$C:$C,r),IF(mode="estimate",IF(endDate="","Estimate — End Date missing",IF(NOT(ISNUMBER(endDate)),"Estimate — Check End Date",IF(INT(endDate)&gt;=TODAY(),"In Progress — ends "&amp;TEXT(endDate,"mmm d, yyyy"),"Ready to Finalize"))),IF($F74="","No Highlighted Fields","Highlighted Fields Present"))))</f>
        <v/>
      </c>
      <c r="F74" s="23" t="str">
        <f t="array" ref="F74">IF($H74="","",IF(OR(NOT(_xlfn.ISFORMULA(INDEX('Game Records'!$N:$N,$H74))),NOT(_xlfn.ISFORMULA(INDEX('Game Records'!$O:$O,$H74))),NOT(_xlfn.ISFORMULA(INDEX('Game Records'!$P:$P,$H74))),NOT(_xlfn.ISFORMULA(INDEX('Game Records'!$Q:$Q,$H74))),NOT(_xlfn.ISFORMULA(INDEX('Game Records'!$R:$R,$H74))),NOT(_xlfn.ISFORMULA(INDEX('Game Records'!$S:$S,$H74))),NOT(_xlfn.ISFORMULA(INDEX('Game Records'!$T:$T,$H74))),NOT(_xlfn.ISFORMULA(INDEX('Game Records'!$U:$U,$H74))),NOT(_xlfn.ISFORMULA(INDEX('Game Records'!$V:$V,$H74))),NOT(_xlfn.ISFORMULA(INDEX('Game Records'!$W:$W,$H74))),NOT(_xlfn.ISFORMULA(INDEX('Game Records'!$X:$X,$H74))),NOT(_xlfn.ISFORMULA(INDEX('Game Records'!$Y:$Y,$H74))),NOT(_xlfn.ISFORMULA(INDEX('Game Records'!$Z:$Z,$H74)))),"","")&amp;IF(INDEX('Game Records'!$B:$B,$H74)="","Start Date; ","")&amp;IF(INDEX('Game Records'!$C:$C,$H74)="","End Date; ","")&amp;IF(AND(INDEX('Game Records'!$U:$U,$H74)&lt;&gt;"Subscription",INDEX('Game Records'!$U:$U,$H74)&lt;&gt;"Free Game",INDEX('Game Records'!$U:$U,$H74)&lt;&gt;"Disqualified — Free Game",OR(INDEX('Game Records'!$D:$D,$H74)="",LOWER(INDEX('Game Records'!$D:$D,$H74)&amp;"")="n/a")),"Entry Mode; ","")&amp;IF(AND(INDEX('Game Records'!$U:$U,$H74)&lt;&gt;"Subscription",INDEX('Game Records'!$U:$U,$H74)&lt;&gt;"Free Game",INDEX('Game Records'!$U:$U,$H74)&lt;&gt;"Disqualified — Free Game",OR(INDEX('Game Records'!$E:$E,$H74)="",LOWER(INDEX('Game Records'!$E:$E,$H74)&amp;"")="n/a")),"Game Type; ","")&amp;IF(INDEX('Game Records'!$F:$F,$H74)="","Payment Type; ","")&amp;IF(AND(INDEX('Game Records'!$U:$U,$H74)&lt;&gt;"Subscription",INDEX('Game Records'!$U:$U,$H74)&lt;&gt;"Free Game",INDEX('Game Records'!$U:$U,$H74)&lt;&gt;"Disqualified — Free Game",INDEX('Game Records'!$G:$G,$H74)=""),"Gross Pot; ","")&amp;IF(AND(INDEX('Game Records'!$U:$U,$H74)&lt;&gt;"Free Game",INDEX('Game Records'!$U:$U,$H74)&lt;&gt;"Disqualified — Free Game",INDEX('Game Records'!$H:$H,$H74)=""),"Entry Fee; ","")&amp;IF(AND(INDEX('Game Records'!$U:$U,$H74)&lt;&gt;"Subscription",INDEX('Game Records'!$U:$U,$H74)&lt;&gt;"Free Game",INDEX('Game Records'!$U:$U,$H74)&lt;&gt;"Disqualified — Free Game",INDEX('Game Records'!$I:$I,$H74)=""),"Eligible Players; ","")&amp;IF(AND(INDEX('Game Records'!$U:$U,$H74)&lt;&gt;"Subscription",INDEX('Game Records'!$U:$U,$H74)&lt;&gt;"Free Game",INDEX('Game Records'!$U:$U,$H74)&lt;&gt;"Disqualified — Free Game",INDEX('Game Records'!$J:$J,$H74)=""),"Total Players; ","")&amp;IF(AND(LOWER(INDEX('Game Records'!$D:$D,$H74)&amp;"")="finalized",LOWER(INDEX('Game Records'!$L:$L,$H74)&amp;"")&lt;&gt;"yes",INDEX('Game Records'!$U:$U,$H74)&lt;&gt;"Subscription",INDEX('Game Records'!$U:$U,$H74)&lt;&gt;"Free Game",INDEX('Game Records'!$U:$U,$H74)&lt;&gt;"Disqualified — Free Game",INDEX('Game Records'!$K:$K,$H74)=""),"Final Payout; ","")&amp;IF(AND(LOWER(INDEX('Game Records'!$D:$D,$H74)&amp;"")="finalized",INDEX('Game Records'!$U:$U,$H74)&lt;&gt;"Subscription",INDEX('Game Records'!$U:$U,$H74)&lt;&gt;"Free Game",INDEX('Game Records'!$U:$U,$H74)&lt;&gt;"Disqualified — Free Game",OR(INDEX('Game Records'!$L:$L,$H74)="",LOWER(INDEX('Game Records'!$L:$L,$H74)&amp;"")="n/a")),"Disqualified Status; ",""))</f>
        <v/>
      </c>
      <c r="G74" s="23" t="str">
        <f t="array" ref="G74">IF($H74="","",IFERROR(INDEX('Game Records'!$M:$M,$H74),""))</f>
        <v/>
      </c>
      <c r="H74" s="3"/>
      <c r="I74" s="3"/>
      <c r="J74" s="3"/>
    </row>
    <row r="75" ht="24.0" customHeight="1">
      <c r="A75" s="18" t="str">
        <f t="shared" si="1"/>
        <v/>
      </c>
      <c r="B75" s="18" t="str">
        <f t="shared" si="2"/>
        <v/>
      </c>
      <c r="C75" s="23" t="str">
        <f t="array" ref="C75">IF($H75="","",IFERROR(INDEX('Game Records'!$A:$A,$H75),""))</f>
        <v/>
      </c>
      <c r="D75" s="23" t="str">
        <f t="array" ref="D75">IF($H75="","",IFERROR(INDEX('Game Records'!$U:$U,$H75),""))</f>
        <v/>
      </c>
      <c r="E75" s="23" t="str">
        <f t="array" ref="E75">IF($H75="","",LET(r,$H75,mode,LOWER(INDEX('Game Records'!$D:$D,r)&amp;""),endDate,INDEX('Game Records'!$C:$C,r),IF(mode="estimate",IF(endDate="","Estimate — End Date missing",IF(NOT(ISNUMBER(endDate)),"Estimate — Check End Date",IF(INT(endDate)&gt;=TODAY(),"In Progress — ends "&amp;TEXT(endDate,"mmm d, yyyy"),"Ready to Finalize"))),IF($F75="","No Highlighted Fields","Highlighted Fields Present"))))</f>
        <v/>
      </c>
      <c r="F75" s="23" t="str">
        <f t="array" ref="F75">IF($H75="","",IF(OR(NOT(_xlfn.ISFORMULA(INDEX('Game Records'!$N:$N,$H75))),NOT(_xlfn.ISFORMULA(INDEX('Game Records'!$O:$O,$H75))),NOT(_xlfn.ISFORMULA(INDEX('Game Records'!$P:$P,$H75))),NOT(_xlfn.ISFORMULA(INDEX('Game Records'!$Q:$Q,$H75))),NOT(_xlfn.ISFORMULA(INDEX('Game Records'!$R:$R,$H75))),NOT(_xlfn.ISFORMULA(INDEX('Game Records'!$S:$S,$H75))),NOT(_xlfn.ISFORMULA(INDEX('Game Records'!$T:$T,$H75))),NOT(_xlfn.ISFORMULA(INDEX('Game Records'!$U:$U,$H75))),NOT(_xlfn.ISFORMULA(INDEX('Game Records'!$V:$V,$H75))),NOT(_xlfn.ISFORMULA(INDEX('Game Records'!$W:$W,$H75))),NOT(_xlfn.ISFORMULA(INDEX('Game Records'!$X:$X,$H75))),NOT(_xlfn.ISFORMULA(INDEX('Game Records'!$Y:$Y,$H75))),NOT(_xlfn.ISFORMULA(INDEX('Game Records'!$Z:$Z,$H75)))),"","")&amp;IF(INDEX('Game Records'!$B:$B,$H75)="","Start Date; ","")&amp;IF(INDEX('Game Records'!$C:$C,$H75)="","End Date; ","")&amp;IF(AND(INDEX('Game Records'!$U:$U,$H75)&lt;&gt;"Subscription",INDEX('Game Records'!$U:$U,$H75)&lt;&gt;"Free Game",INDEX('Game Records'!$U:$U,$H75)&lt;&gt;"Disqualified — Free Game",OR(INDEX('Game Records'!$D:$D,$H75)="",LOWER(INDEX('Game Records'!$D:$D,$H75)&amp;"")="n/a")),"Entry Mode; ","")&amp;IF(AND(INDEX('Game Records'!$U:$U,$H75)&lt;&gt;"Subscription",INDEX('Game Records'!$U:$U,$H75)&lt;&gt;"Free Game",INDEX('Game Records'!$U:$U,$H75)&lt;&gt;"Disqualified — Free Game",OR(INDEX('Game Records'!$E:$E,$H75)="",LOWER(INDEX('Game Records'!$E:$E,$H75)&amp;"")="n/a")),"Game Type; ","")&amp;IF(INDEX('Game Records'!$F:$F,$H75)="","Payment Type; ","")&amp;IF(AND(INDEX('Game Records'!$U:$U,$H75)&lt;&gt;"Subscription",INDEX('Game Records'!$U:$U,$H75)&lt;&gt;"Free Game",INDEX('Game Records'!$U:$U,$H75)&lt;&gt;"Disqualified — Free Game",INDEX('Game Records'!$G:$G,$H75)=""),"Gross Pot; ","")&amp;IF(AND(INDEX('Game Records'!$U:$U,$H75)&lt;&gt;"Free Game",INDEX('Game Records'!$U:$U,$H75)&lt;&gt;"Disqualified — Free Game",INDEX('Game Records'!$H:$H,$H75)=""),"Entry Fee; ","")&amp;IF(AND(INDEX('Game Records'!$U:$U,$H75)&lt;&gt;"Subscription",INDEX('Game Records'!$U:$U,$H75)&lt;&gt;"Free Game",INDEX('Game Records'!$U:$U,$H75)&lt;&gt;"Disqualified — Free Game",INDEX('Game Records'!$I:$I,$H75)=""),"Eligible Players; ","")&amp;IF(AND(INDEX('Game Records'!$U:$U,$H75)&lt;&gt;"Subscription",INDEX('Game Records'!$U:$U,$H75)&lt;&gt;"Free Game",INDEX('Game Records'!$U:$U,$H75)&lt;&gt;"Disqualified — Free Game",INDEX('Game Records'!$J:$J,$H75)=""),"Total Players; ","")&amp;IF(AND(LOWER(INDEX('Game Records'!$D:$D,$H75)&amp;"")="finalized",LOWER(INDEX('Game Records'!$L:$L,$H75)&amp;"")&lt;&gt;"yes",INDEX('Game Records'!$U:$U,$H75)&lt;&gt;"Subscription",INDEX('Game Records'!$U:$U,$H75)&lt;&gt;"Free Game",INDEX('Game Records'!$U:$U,$H75)&lt;&gt;"Disqualified — Free Game",INDEX('Game Records'!$K:$K,$H75)=""),"Final Payout; ","")&amp;IF(AND(LOWER(INDEX('Game Records'!$D:$D,$H75)&amp;"")="finalized",INDEX('Game Records'!$U:$U,$H75)&lt;&gt;"Subscription",INDEX('Game Records'!$U:$U,$H75)&lt;&gt;"Free Game",INDEX('Game Records'!$U:$U,$H75)&lt;&gt;"Disqualified — Free Game",OR(INDEX('Game Records'!$L:$L,$H75)="",LOWER(INDEX('Game Records'!$L:$L,$H75)&amp;"")="n/a")),"Disqualified Status; ",""))</f>
        <v/>
      </c>
      <c r="G75" s="23" t="str">
        <f t="array" ref="G75">IF($H75="","",IFERROR(INDEX('Game Records'!$M:$M,$H75),""))</f>
        <v/>
      </c>
      <c r="H75" s="3"/>
      <c r="I75" s="3"/>
      <c r="J75" s="3"/>
    </row>
    <row r="76" ht="24.0" customHeight="1">
      <c r="A76" s="18" t="str">
        <f t="shared" si="1"/>
        <v/>
      </c>
      <c r="B76" s="18" t="str">
        <f t="shared" si="2"/>
        <v/>
      </c>
      <c r="C76" s="23" t="str">
        <f t="array" ref="C76">IF($H76="","",IFERROR(INDEX('Game Records'!$A:$A,$H76),""))</f>
        <v/>
      </c>
      <c r="D76" s="23" t="str">
        <f t="array" ref="D76">IF($H76="","",IFERROR(INDEX('Game Records'!$U:$U,$H76),""))</f>
        <v/>
      </c>
      <c r="E76" s="23" t="str">
        <f t="array" ref="E76">IF($H76="","",LET(r,$H76,mode,LOWER(INDEX('Game Records'!$D:$D,r)&amp;""),endDate,INDEX('Game Records'!$C:$C,r),IF(mode="estimate",IF(endDate="","Estimate — End Date missing",IF(NOT(ISNUMBER(endDate)),"Estimate — Check End Date",IF(INT(endDate)&gt;=TODAY(),"In Progress — ends "&amp;TEXT(endDate,"mmm d, yyyy"),"Ready to Finalize"))),IF($F76="","No Highlighted Fields","Highlighted Fields Present"))))</f>
        <v/>
      </c>
      <c r="F76" s="23" t="str">
        <f t="array" ref="F76">IF($H76="","",IF(OR(NOT(_xlfn.ISFORMULA(INDEX('Game Records'!$N:$N,$H76))),NOT(_xlfn.ISFORMULA(INDEX('Game Records'!$O:$O,$H76))),NOT(_xlfn.ISFORMULA(INDEX('Game Records'!$P:$P,$H76))),NOT(_xlfn.ISFORMULA(INDEX('Game Records'!$Q:$Q,$H76))),NOT(_xlfn.ISFORMULA(INDEX('Game Records'!$R:$R,$H76))),NOT(_xlfn.ISFORMULA(INDEX('Game Records'!$S:$S,$H76))),NOT(_xlfn.ISFORMULA(INDEX('Game Records'!$T:$T,$H76))),NOT(_xlfn.ISFORMULA(INDEX('Game Records'!$U:$U,$H76))),NOT(_xlfn.ISFORMULA(INDEX('Game Records'!$V:$V,$H76))),NOT(_xlfn.ISFORMULA(INDEX('Game Records'!$W:$W,$H76))),NOT(_xlfn.ISFORMULA(INDEX('Game Records'!$X:$X,$H76))),NOT(_xlfn.ISFORMULA(INDEX('Game Records'!$Y:$Y,$H76))),NOT(_xlfn.ISFORMULA(INDEX('Game Records'!$Z:$Z,$H76)))),"","")&amp;IF(INDEX('Game Records'!$B:$B,$H76)="","Start Date; ","")&amp;IF(INDEX('Game Records'!$C:$C,$H76)="","End Date; ","")&amp;IF(AND(INDEX('Game Records'!$U:$U,$H76)&lt;&gt;"Subscription",INDEX('Game Records'!$U:$U,$H76)&lt;&gt;"Free Game",INDEX('Game Records'!$U:$U,$H76)&lt;&gt;"Disqualified — Free Game",OR(INDEX('Game Records'!$D:$D,$H76)="",LOWER(INDEX('Game Records'!$D:$D,$H76)&amp;"")="n/a")),"Entry Mode; ","")&amp;IF(AND(INDEX('Game Records'!$U:$U,$H76)&lt;&gt;"Subscription",INDEX('Game Records'!$U:$U,$H76)&lt;&gt;"Free Game",INDEX('Game Records'!$U:$U,$H76)&lt;&gt;"Disqualified — Free Game",OR(INDEX('Game Records'!$E:$E,$H76)="",LOWER(INDEX('Game Records'!$E:$E,$H76)&amp;"")="n/a")),"Game Type; ","")&amp;IF(INDEX('Game Records'!$F:$F,$H76)="","Payment Type; ","")&amp;IF(AND(INDEX('Game Records'!$U:$U,$H76)&lt;&gt;"Subscription",INDEX('Game Records'!$U:$U,$H76)&lt;&gt;"Free Game",INDEX('Game Records'!$U:$U,$H76)&lt;&gt;"Disqualified — Free Game",INDEX('Game Records'!$G:$G,$H76)=""),"Gross Pot; ","")&amp;IF(AND(INDEX('Game Records'!$U:$U,$H76)&lt;&gt;"Free Game",INDEX('Game Records'!$U:$U,$H76)&lt;&gt;"Disqualified — Free Game",INDEX('Game Records'!$H:$H,$H76)=""),"Entry Fee; ","")&amp;IF(AND(INDEX('Game Records'!$U:$U,$H76)&lt;&gt;"Subscription",INDEX('Game Records'!$U:$U,$H76)&lt;&gt;"Free Game",INDEX('Game Records'!$U:$U,$H76)&lt;&gt;"Disqualified — Free Game",INDEX('Game Records'!$I:$I,$H76)=""),"Eligible Players; ","")&amp;IF(AND(INDEX('Game Records'!$U:$U,$H76)&lt;&gt;"Subscription",INDEX('Game Records'!$U:$U,$H76)&lt;&gt;"Free Game",INDEX('Game Records'!$U:$U,$H76)&lt;&gt;"Disqualified — Free Game",INDEX('Game Records'!$J:$J,$H76)=""),"Total Players; ","")&amp;IF(AND(LOWER(INDEX('Game Records'!$D:$D,$H76)&amp;"")="finalized",LOWER(INDEX('Game Records'!$L:$L,$H76)&amp;"")&lt;&gt;"yes",INDEX('Game Records'!$U:$U,$H76)&lt;&gt;"Subscription",INDEX('Game Records'!$U:$U,$H76)&lt;&gt;"Free Game",INDEX('Game Records'!$U:$U,$H76)&lt;&gt;"Disqualified — Free Game",INDEX('Game Records'!$K:$K,$H76)=""),"Final Payout; ","")&amp;IF(AND(LOWER(INDEX('Game Records'!$D:$D,$H76)&amp;"")="finalized",INDEX('Game Records'!$U:$U,$H76)&lt;&gt;"Subscription",INDEX('Game Records'!$U:$U,$H76)&lt;&gt;"Free Game",INDEX('Game Records'!$U:$U,$H76)&lt;&gt;"Disqualified — Free Game",OR(INDEX('Game Records'!$L:$L,$H76)="",LOWER(INDEX('Game Records'!$L:$L,$H76)&amp;"")="n/a")),"Disqualified Status; ",""))</f>
        <v/>
      </c>
      <c r="G76" s="23" t="str">
        <f t="array" ref="G76">IF($H76="","",IFERROR(INDEX('Game Records'!$M:$M,$H76),""))</f>
        <v/>
      </c>
      <c r="H76" s="3"/>
      <c r="I76" s="3"/>
      <c r="J76" s="3"/>
    </row>
    <row r="77" ht="24.0" customHeight="1">
      <c r="A77" s="18" t="str">
        <f t="shared" si="1"/>
        <v/>
      </c>
      <c r="B77" s="18" t="str">
        <f t="shared" si="2"/>
        <v/>
      </c>
      <c r="C77" s="23" t="str">
        <f t="array" ref="C77">IF($H77="","",IFERROR(INDEX('Game Records'!$A:$A,$H77),""))</f>
        <v/>
      </c>
      <c r="D77" s="23" t="str">
        <f t="array" ref="D77">IF($H77="","",IFERROR(INDEX('Game Records'!$U:$U,$H77),""))</f>
        <v/>
      </c>
      <c r="E77" s="23" t="str">
        <f t="array" ref="E77">IF($H77="","",LET(r,$H77,mode,LOWER(INDEX('Game Records'!$D:$D,r)&amp;""),endDate,INDEX('Game Records'!$C:$C,r),IF(mode="estimate",IF(endDate="","Estimate — End Date missing",IF(NOT(ISNUMBER(endDate)),"Estimate — Check End Date",IF(INT(endDate)&gt;=TODAY(),"In Progress — ends "&amp;TEXT(endDate,"mmm d, yyyy"),"Ready to Finalize"))),IF($F77="","No Highlighted Fields","Highlighted Fields Present"))))</f>
        <v/>
      </c>
      <c r="F77" s="23" t="str">
        <f t="array" ref="F77">IF($H77="","",IF(OR(NOT(_xlfn.ISFORMULA(INDEX('Game Records'!$N:$N,$H77))),NOT(_xlfn.ISFORMULA(INDEX('Game Records'!$O:$O,$H77))),NOT(_xlfn.ISFORMULA(INDEX('Game Records'!$P:$P,$H77))),NOT(_xlfn.ISFORMULA(INDEX('Game Records'!$Q:$Q,$H77))),NOT(_xlfn.ISFORMULA(INDEX('Game Records'!$R:$R,$H77))),NOT(_xlfn.ISFORMULA(INDEX('Game Records'!$S:$S,$H77))),NOT(_xlfn.ISFORMULA(INDEX('Game Records'!$T:$T,$H77))),NOT(_xlfn.ISFORMULA(INDEX('Game Records'!$U:$U,$H77))),NOT(_xlfn.ISFORMULA(INDEX('Game Records'!$V:$V,$H77))),NOT(_xlfn.ISFORMULA(INDEX('Game Records'!$W:$W,$H77))),NOT(_xlfn.ISFORMULA(INDEX('Game Records'!$X:$X,$H77))),NOT(_xlfn.ISFORMULA(INDEX('Game Records'!$Y:$Y,$H77))),NOT(_xlfn.ISFORMULA(INDEX('Game Records'!$Z:$Z,$H77)))),"","")&amp;IF(INDEX('Game Records'!$B:$B,$H77)="","Start Date; ","")&amp;IF(INDEX('Game Records'!$C:$C,$H77)="","End Date; ","")&amp;IF(AND(INDEX('Game Records'!$U:$U,$H77)&lt;&gt;"Subscription",INDEX('Game Records'!$U:$U,$H77)&lt;&gt;"Free Game",INDEX('Game Records'!$U:$U,$H77)&lt;&gt;"Disqualified — Free Game",OR(INDEX('Game Records'!$D:$D,$H77)="",LOWER(INDEX('Game Records'!$D:$D,$H77)&amp;"")="n/a")),"Entry Mode; ","")&amp;IF(AND(INDEX('Game Records'!$U:$U,$H77)&lt;&gt;"Subscription",INDEX('Game Records'!$U:$U,$H77)&lt;&gt;"Free Game",INDEX('Game Records'!$U:$U,$H77)&lt;&gt;"Disqualified — Free Game",OR(INDEX('Game Records'!$E:$E,$H77)="",LOWER(INDEX('Game Records'!$E:$E,$H77)&amp;"")="n/a")),"Game Type; ","")&amp;IF(INDEX('Game Records'!$F:$F,$H77)="","Payment Type; ","")&amp;IF(AND(INDEX('Game Records'!$U:$U,$H77)&lt;&gt;"Subscription",INDEX('Game Records'!$U:$U,$H77)&lt;&gt;"Free Game",INDEX('Game Records'!$U:$U,$H77)&lt;&gt;"Disqualified — Free Game",INDEX('Game Records'!$G:$G,$H77)=""),"Gross Pot; ","")&amp;IF(AND(INDEX('Game Records'!$U:$U,$H77)&lt;&gt;"Free Game",INDEX('Game Records'!$U:$U,$H77)&lt;&gt;"Disqualified — Free Game",INDEX('Game Records'!$H:$H,$H77)=""),"Entry Fee; ","")&amp;IF(AND(INDEX('Game Records'!$U:$U,$H77)&lt;&gt;"Subscription",INDEX('Game Records'!$U:$U,$H77)&lt;&gt;"Free Game",INDEX('Game Records'!$U:$U,$H77)&lt;&gt;"Disqualified — Free Game",INDEX('Game Records'!$I:$I,$H77)=""),"Eligible Players; ","")&amp;IF(AND(INDEX('Game Records'!$U:$U,$H77)&lt;&gt;"Subscription",INDEX('Game Records'!$U:$U,$H77)&lt;&gt;"Free Game",INDEX('Game Records'!$U:$U,$H77)&lt;&gt;"Disqualified — Free Game",INDEX('Game Records'!$J:$J,$H77)=""),"Total Players; ","")&amp;IF(AND(LOWER(INDEX('Game Records'!$D:$D,$H77)&amp;"")="finalized",LOWER(INDEX('Game Records'!$L:$L,$H77)&amp;"")&lt;&gt;"yes",INDEX('Game Records'!$U:$U,$H77)&lt;&gt;"Subscription",INDEX('Game Records'!$U:$U,$H77)&lt;&gt;"Free Game",INDEX('Game Records'!$U:$U,$H77)&lt;&gt;"Disqualified — Free Game",INDEX('Game Records'!$K:$K,$H77)=""),"Final Payout; ","")&amp;IF(AND(LOWER(INDEX('Game Records'!$D:$D,$H77)&amp;"")="finalized",INDEX('Game Records'!$U:$U,$H77)&lt;&gt;"Subscription",INDEX('Game Records'!$U:$U,$H77)&lt;&gt;"Free Game",INDEX('Game Records'!$U:$U,$H77)&lt;&gt;"Disqualified — Free Game",OR(INDEX('Game Records'!$L:$L,$H77)="",LOWER(INDEX('Game Records'!$L:$L,$H77)&amp;"")="n/a")),"Disqualified Status; ",""))</f>
        <v/>
      </c>
      <c r="G77" s="23" t="str">
        <f t="array" ref="G77">IF($H77="","",IFERROR(INDEX('Game Records'!$M:$M,$H77),""))</f>
        <v/>
      </c>
      <c r="H77" s="3"/>
      <c r="I77" s="3"/>
      <c r="J77" s="3"/>
    </row>
    <row r="78" ht="24.0" customHeight="1">
      <c r="A78" s="18" t="str">
        <f t="shared" si="1"/>
        <v/>
      </c>
      <c r="B78" s="18" t="str">
        <f t="shared" si="2"/>
        <v/>
      </c>
      <c r="C78" s="23" t="str">
        <f t="array" ref="C78">IF($H78="","",IFERROR(INDEX('Game Records'!$A:$A,$H78),""))</f>
        <v/>
      </c>
      <c r="D78" s="23" t="str">
        <f t="array" ref="D78">IF($H78="","",IFERROR(INDEX('Game Records'!$U:$U,$H78),""))</f>
        <v/>
      </c>
      <c r="E78" s="23" t="str">
        <f t="array" ref="E78">IF($H78="","",LET(r,$H78,mode,LOWER(INDEX('Game Records'!$D:$D,r)&amp;""),endDate,INDEX('Game Records'!$C:$C,r),IF(mode="estimate",IF(endDate="","Estimate — End Date missing",IF(NOT(ISNUMBER(endDate)),"Estimate — Check End Date",IF(INT(endDate)&gt;=TODAY(),"In Progress — ends "&amp;TEXT(endDate,"mmm d, yyyy"),"Ready to Finalize"))),IF($F78="","No Highlighted Fields","Highlighted Fields Present"))))</f>
        <v/>
      </c>
      <c r="F78" s="23" t="str">
        <f t="array" ref="F78">IF($H78="","",IF(OR(NOT(_xlfn.ISFORMULA(INDEX('Game Records'!$N:$N,$H78))),NOT(_xlfn.ISFORMULA(INDEX('Game Records'!$O:$O,$H78))),NOT(_xlfn.ISFORMULA(INDEX('Game Records'!$P:$P,$H78))),NOT(_xlfn.ISFORMULA(INDEX('Game Records'!$Q:$Q,$H78))),NOT(_xlfn.ISFORMULA(INDEX('Game Records'!$R:$R,$H78))),NOT(_xlfn.ISFORMULA(INDEX('Game Records'!$S:$S,$H78))),NOT(_xlfn.ISFORMULA(INDEX('Game Records'!$T:$T,$H78))),NOT(_xlfn.ISFORMULA(INDEX('Game Records'!$U:$U,$H78))),NOT(_xlfn.ISFORMULA(INDEX('Game Records'!$V:$V,$H78))),NOT(_xlfn.ISFORMULA(INDEX('Game Records'!$W:$W,$H78))),NOT(_xlfn.ISFORMULA(INDEX('Game Records'!$X:$X,$H78))),NOT(_xlfn.ISFORMULA(INDEX('Game Records'!$Y:$Y,$H78))),NOT(_xlfn.ISFORMULA(INDEX('Game Records'!$Z:$Z,$H78)))),"","")&amp;IF(INDEX('Game Records'!$B:$B,$H78)="","Start Date; ","")&amp;IF(INDEX('Game Records'!$C:$C,$H78)="","End Date; ","")&amp;IF(AND(INDEX('Game Records'!$U:$U,$H78)&lt;&gt;"Subscription",INDEX('Game Records'!$U:$U,$H78)&lt;&gt;"Free Game",INDEX('Game Records'!$U:$U,$H78)&lt;&gt;"Disqualified — Free Game",OR(INDEX('Game Records'!$D:$D,$H78)="",LOWER(INDEX('Game Records'!$D:$D,$H78)&amp;"")="n/a")),"Entry Mode; ","")&amp;IF(AND(INDEX('Game Records'!$U:$U,$H78)&lt;&gt;"Subscription",INDEX('Game Records'!$U:$U,$H78)&lt;&gt;"Free Game",INDEX('Game Records'!$U:$U,$H78)&lt;&gt;"Disqualified — Free Game",OR(INDEX('Game Records'!$E:$E,$H78)="",LOWER(INDEX('Game Records'!$E:$E,$H78)&amp;"")="n/a")),"Game Type; ","")&amp;IF(INDEX('Game Records'!$F:$F,$H78)="","Payment Type; ","")&amp;IF(AND(INDEX('Game Records'!$U:$U,$H78)&lt;&gt;"Subscription",INDEX('Game Records'!$U:$U,$H78)&lt;&gt;"Free Game",INDEX('Game Records'!$U:$U,$H78)&lt;&gt;"Disqualified — Free Game",INDEX('Game Records'!$G:$G,$H78)=""),"Gross Pot; ","")&amp;IF(AND(INDEX('Game Records'!$U:$U,$H78)&lt;&gt;"Free Game",INDEX('Game Records'!$U:$U,$H78)&lt;&gt;"Disqualified — Free Game",INDEX('Game Records'!$H:$H,$H78)=""),"Entry Fee; ","")&amp;IF(AND(INDEX('Game Records'!$U:$U,$H78)&lt;&gt;"Subscription",INDEX('Game Records'!$U:$U,$H78)&lt;&gt;"Free Game",INDEX('Game Records'!$U:$U,$H78)&lt;&gt;"Disqualified — Free Game",INDEX('Game Records'!$I:$I,$H78)=""),"Eligible Players; ","")&amp;IF(AND(INDEX('Game Records'!$U:$U,$H78)&lt;&gt;"Subscription",INDEX('Game Records'!$U:$U,$H78)&lt;&gt;"Free Game",INDEX('Game Records'!$U:$U,$H78)&lt;&gt;"Disqualified — Free Game",INDEX('Game Records'!$J:$J,$H78)=""),"Total Players; ","")&amp;IF(AND(LOWER(INDEX('Game Records'!$D:$D,$H78)&amp;"")="finalized",LOWER(INDEX('Game Records'!$L:$L,$H78)&amp;"")&lt;&gt;"yes",INDEX('Game Records'!$U:$U,$H78)&lt;&gt;"Subscription",INDEX('Game Records'!$U:$U,$H78)&lt;&gt;"Free Game",INDEX('Game Records'!$U:$U,$H78)&lt;&gt;"Disqualified — Free Game",INDEX('Game Records'!$K:$K,$H78)=""),"Final Payout; ","")&amp;IF(AND(LOWER(INDEX('Game Records'!$D:$D,$H78)&amp;"")="finalized",INDEX('Game Records'!$U:$U,$H78)&lt;&gt;"Subscription",INDEX('Game Records'!$U:$U,$H78)&lt;&gt;"Free Game",INDEX('Game Records'!$U:$U,$H78)&lt;&gt;"Disqualified — Free Game",OR(INDEX('Game Records'!$L:$L,$H78)="",LOWER(INDEX('Game Records'!$L:$L,$H78)&amp;"")="n/a")),"Disqualified Status; ",""))</f>
        <v/>
      </c>
      <c r="G78" s="23" t="str">
        <f t="array" ref="G78">IF($H78="","",IFERROR(INDEX('Game Records'!$M:$M,$H78),""))</f>
        <v/>
      </c>
      <c r="H78" s="3"/>
      <c r="I78" s="3"/>
      <c r="J78" s="3"/>
    </row>
    <row r="79" ht="24.0" customHeight="1">
      <c r="A79" s="18" t="str">
        <f t="shared" si="1"/>
        <v/>
      </c>
      <c r="B79" s="18" t="str">
        <f t="shared" si="2"/>
        <v/>
      </c>
      <c r="C79" s="23" t="str">
        <f t="array" ref="C79">IF($H79="","",IFERROR(INDEX('Game Records'!$A:$A,$H79),""))</f>
        <v/>
      </c>
      <c r="D79" s="23" t="str">
        <f t="array" ref="D79">IF($H79="","",IFERROR(INDEX('Game Records'!$U:$U,$H79),""))</f>
        <v/>
      </c>
      <c r="E79" s="23" t="str">
        <f t="array" ref="E79">IF($H79="","",LET(r,$H79,mode,LOWER(INDEX('Game Records'!$D:$D,r)&amp;""),endDate,INDEX('Game Records'!$C:$C,r),IF(mode="estimate",IF(endDate="","Estimate — End Date missing",IF(NOT(ISNUMBER(endDate)),"Estimate — Check End Date",IF(INT(endDate)&gt;=TODAY(),"In Progress — ends "&amp;TEXT(endDate,"mmm d, yyyy"),"Ready to Finalize"))),IF($F79="","No Highlighted Fields","Highlighted Fields Present"))))</f>
        <v/>
      </c>
      <c r="F79" s="23" t="str">
        <f t="array" ref="F79">IF($H79="","",IF(OR(NOT(_xlfn.ISFORMULA(INDEX('Game Records'!$N:$N,$H79))),NOT(_xlfn.ISFORMULA(INDEX('Game Records'!$O:$O,$H79))),NOT(_xlfn.ISFORMULA(INDEX('Game Records'!$P:$P,$H79))),NOT(_xlfn.ISFORMULA(INDEX('Game Records'!$Q:$Q,$H79))),NOT(_xlfn.ISFORMULA(INDEX('Game Records'!$R:$R,$H79))),NOT(_xlfn.ISFORMULA(INDEX('Game Records'!$S:$S,$H79))),NOT(_xlfn.ISFORMULA(INDEX('Game Records'!$T:$T,$H79))),NOT(_xlfn.ISFORMULA(INDEX('Game Records'!$U:$U,$H79))),NOT(_xlfn.ISFORMULA(INDEX('Game Records'!$V:$V,$H79))),NOT(_xlfn.ISFORMULA(INDEX('Game Records'!$W:$W,$H79))),NOT(_xlfn.ISFORMULA(INDEX('Game Records'!$X:$X,$H79))),NOT(_xlfn.ISFORMULA(INDEX('Game Records'!$Y:$Y,$H79))),NOT(_xlfn.ISFORMULA(INDEX('Game Records'!$Z:$Z,$H79)))),"","")&amp;IF(INDEX('Game Records'!$B:$B,$H79)="","Start Date; ","")&amp;IF(INDEX('Game Records'!$C:$C,$H79)="","End Date; ","")&amp;IF(AND(INDEX('Game Records'!$U:$U,$H79)&lt;&gt;"Subscription",INDEX('Game Records'!$U:$U,$H79)&lt;&gt;"Free Game",INDEX('Game Records'!$U:$U,$H79)&lt;&gt;"Disqualified — Free Game",OR(INDEX('Game Records'!$D:$D,$H79)="",LOWER(INDEX('Game Records'!$D:$D,$H79)&amp;"")="n/a")),"Entry Mode; ","")&amp;IF(AND(INDEX('Game Records'!$U:$U,$H79)&lt;&gt;"Subscription",INDEX('Game Records'!$U:$U,$H79)&lt;&gt;"Free Game",INDEX('Game Records'!$U:$U,$H79)&lt;&gt;"Disqualified — Free Game",OR(INDEX('Game Records'!$E:$E,$H79)="",LOWER(INDEX('Game Records'!$E:$E,$H79)&amp;"")="n/a")),"Game Type; ","")&amp;IF(INDEX('Game Records'!$F:$F,$H79)="","Payment Type; ","")&amp;IF(AND(INDEX('Game Records'!$U:$U,$H79)&lt;&gt;"Subscription",INDEX('Game Records'!$U:$U,$H79)&lt;&gt;"Free Game",INDEX('Game Records'!$U:$U,$H79)&lt;&gt;"Disqualified — Free Game",INDEX('Game Records'!$G:$G,$H79)=""),"Gross Pot; ","")&amp;IF(AND(INDEX('Game Records'!$U:$U,$H79)&lt;&gt;"Free Game",INDEX('Game Records'!$U:$U,$H79)&lt;&gt;"Disqualified — Free Game",INDEX('Game Records'!$H:$H,$H79)=""),"Entry Fee; ","")&amp;IF(AND(INDEX('Game Records'!$U:$U,$H79)&lt;&gt;"Subscription",INDEX('Game Records'!$U:$U,$H79)&lt;&gt;"Free Game",INDEX('Game Records'!$U:$U,$H79)&lt;&gt;"Disqualified — Free Game",INDEX('Game Records'!$I:$I,$H79)=""),"Eligible Players; ","")&amp;IF(AND(INDEX('Game Records'!$U:$U,$H79)&lt;&gt;"Subscription",INDEX('Game Records'!$U:$U,$H79)&lt;&gt;"Free Game",INDEX('Game Records'!$U:$U,$H79)&lt;&gt;"Disqualified — Free Game",INDEX('Game Records'!$J:$J,$H79)=""),"Total Players; ","")&amp;IF(AND(LOWER(INDEX('Game Records'!$D:$D,$H79)&amp;"")="finalized",LOWER(INDEX('Game Records'!$L:$L,$H79)&amp;"")&lt;&gt;"yes",INDEX('Game Records'!$U:$U,$H79)&lt;&gt;"Subscription",INDEX('Game Records'!$U:$U,$H79)&lt;&gt;"Free Game",INDEX('Game Records'!$U:$U,$H79)&lt;&gt;"Disqualified — Free Game",INDEX('Game Records'!$K:$K,$H79)=""),"Final Payout; ","")&amp;IF(AND(LOWER(INDEX('Game Records'!$D:$D,$H79)&amp;"")="finalized",INDEX('Game Records'!$U:$U,$H79)&lt;&gt;"Subscription",INDEX('Game Records'!$U:$U,$H79)&lt;&gt;"Free Game",INDEX('Game Records'!$U:$U,$H79)&lt;&gt;"Disqualified — Free Game",OR(INDEX('Game Records'!$L:$L,$H79)="",LOWER(INDEX('Game Records'!$L:$L,$H79)&amp;"")="n/a")),"Disqualified Status; ",""))</f>
        <v/>
      </c>
      <c r="G79" s="23" t="str">
        <f t="array" ref="G79">IF($H79="","",IFERROR(INDEX('Game Records'!$M:$M,$H79),""))</f>
        <v/>
      </c>
      <c r="H79" s="3"/>
      <c r="I79" s="3"/>
      <c r="J79" s="3"/>
    </row>
    <row r="80" ht="24.0" customHeight="1">
      <c r="A80" s="18" t="str">
        <f t="shared" si="1"/>
        <v/>
      </c>
      <c r="B80" s="18" t="str">
        <f t="shared" si="2"/>
        <v/>
      </c>
      <c r="C80" s="23" t="str">
        <f t="array" ref="C80">IF($H80="","",IFERROR(INDEX('Game Records'!$A:$A,$H80),""))</f>
        <v/>
      </c>
      <c r="D80" s="23" t="str">
        <f t="array" ref="D80">IF($H80="","",IFERROR(INDEX('Game Records'!$U:$U,$H80),""))</f>
        <v/>
      </c>
      <c r="E80" s="23" t="str">
        <f t="array" ref="E80">IF($H80="","",LET(r,$H80,mode,LOWER(INDEX('Game Records'!$D:$D,r)&amp;""),endDate,INDEX('Game Records'!$C:$C,r),IF(mode="estimate",IF(endDate="","Estimate — End Date missing",IF(NOT(ISNUMBER(endDate)),"Estimate — Check End Date",IF(INT(endDate)&gt;=TODAY(),"In Progress — ends "&amp;TEXT(endDate,"mmm d, yyyy"),"Ready to Finalize"))),IF($F80="","No Highlighted Fields","Highlighted Fields Present"))))</f>
        <v/>
      </c>
      <c r="F80" s="23" t="str">
        <f t="array" ref="F80">IF($H80="","",IF(OR(NOT(_xlfn.ISFORMULA(INDEX('Game Records'!$N:$N,$H80))),NOT(_xlfn.ISFORMULA(INDEX('Game Records'!$O:$O,$H80))),NOT(_xlfn.ISFORMULA(INDEX('Game Records'!$P:$P,$H80))),NOT(_xlfn.ISFORMULA(INDEX('Game Records'!$Q:$Q,$H80))),NOT(_xlfn.ISFORMULA(INDEX('Game Records'!$R:$R,$H80))),NOT(_xlfn.ISFORMULA(INDEX('Game Records'!$S:$S,$H80))),NOT(_xlfn.ISFORMULA(INDEX('Game Records'!$T:$T,$H80))),NOT(_xlfn.ISFORMULA(INDEX('Game Records'!$U:$U,$H80))),NOT(_xlfn.ISFORMULA(INDEX('Game Records'!$V:$V,$H80))),NOT(_xlfn.ISFORMULA(INDEX('Game Records'!$W:$W,$H80))),NOT(_xlfn.ISFORMULA(INDEX('Game Records'!$X:$X,$H80))),NOT(_xlfn.ISFORMULA(INDEX('Game Records'!$Y:$Y,$H80))),NOT(_xlfn.ISFORMULA(INDEX('Game Records'!$Z:$Z,$H80)))),"","")&amp;IF(INDEX('Game Records'!$B:$B,$H80)="","Start Date; ","")&amp;IF(INDEX('Game Records'!$C:$C,$H80)="","End Date; ","")&amp;IF(AND(INDEX('Game Records'!$U:$U,$H80)&lt;&gt;"Subscription",INDEX('Game Records'!$U:$U,$H80)&lt;&gt;"Free Game",INDEX('Game Records'!$U:$U,$H80)&lt;&gt;"Disqualified — Free Game",OR(INDEX('Game Records'!$D:$D,$H80)="",LOWER(INDEX('Game Records'!$D:$D,$H80)&amp;"")="n/a")),"Entry Mode; ","")&amp;IF(AND(INDEX('Game Records'!$U:$U,$H80)&lt;&gt;"Subscription",INDEX('Game Records'!$U:$U,$H80)&lt;&gt;"Free Game",INDEX('Game Records'!$U:$U,$H80)&lt;&gt;"Disqualified — Free Game",OR(INDEX('Game Records'!$E:$E,$H80)="",LOWER(INDEX('Game Records'!$E:$E,$H80)&amp;"")="n/a")),"Game Type; ","")&amp;IF(INDEX('Game Records'!$F:$F,$H80)="","Payment Type; ","")&amp;IF(AND(INDEX('Game Records'!$U:$U,$H80)&lt;&gt;"Subscription",INDEX('Game Records'!$U:$U,$H80)&lt;&gt;"Free Game",INDEX('Game Records'!$U:$U,$H80)&lt;&gt;"Disqualified — Free Game",INDEX('Game Records'!$G:$G,$H80)=""),"Gross Pot; ","")&amp;IF(AND(INDEX('Game Records'!$U:$U,$H80)&lt;&gt;"Free Game",INDEX('Game Records'!$U:$U,$H80)&lt;&gt;"Disqualified — Free Game",INDEX('Game Records'!$H:$H,$H80)=""),"Entry Fee; ","")&amp;IF(AND(INDEX('Game Records'!$U:$U,$H80)&lt;&gt;"Subscription",INDEX('Game Records'!$U:$U,$H80)&lt;&gt;"Free Game",INDEX('Game Records'!$U:$U,$H80)&lt;&gt;"Disqualified — Free Game",INDEX('Game Records'!$I:$I,$H80)=""),"Eligible Players; ","")&amp;IF(AND(INDEX('Game Records'!$U:$U,$H80)&lt;&gt;"Subscription",INDEX('Game Records'!$U:$U,$H80)&lt;&gt;"Free Game",INDEX('Game Records'!$U:$U,$H80)&lt;&gt;"Disqualified — Free Game",INDEX('Game Records'!$J:$J,$H80)=""),"Total Players; ","")&amp;IF(AND(LOWER(INDEX('Game Records'!$D:$D,$H80)&amp;"")="finalized",LOWER(INDEX('Game Records'!$L:$L,$H80)&amp;"")&lt;&gt;"yes",INDEX('Game Records'!$U:$U,$H80)&lt;&gt;"Subscription",INDEX('Game Records'!$U:$U,$H80)&lt;&gt;"Free Game",INDEX('Game Records'!$U:$U,$H80)&lt;&gt;"Disqualified — Free Game",INDEX('Game Records'!$K:$K,$H80)=""),"Final Payout; ","")&amp;IF(AND(LOWER(INDEX('Game Records'!$D:$D,$H80)&amp;"")="finalized",INDEX('Game Records'!$U:$U,$H80)&lt;&gt;"Subscription",INDEX('Game Records'!$U:$U,$H80)&lt;&gt;"Free Game",INDEX('Game Records'!$U:$U,$H80)&lt;&gt;"Disqualified — Free Game",OR(INDEX('Game Records'!$L:$L,$H80)="",LOWER(INDEX('Game Records'!$L:$L,$H80)&amp;"")="n/a")),"Disqualified Status; ",""))</f>
        <v/>
      </c>
      <c r="G80" s="23" t="str">
        <f t="array" ref="G80">IF($H80="","",IFERROR(INDEX('Game Records'!$M:$M,$H80),""))</f>
        <v/>
      </c>
      <c r="H80" s="3"/>
      <c r="I80" s="3"/>
      <c r="J80" s="3"/>
    </row>
    <row r="81" ht="24.0" customHeight="1">
      <c r="A81" s="18" t="str">
        <f t="shared" si="1"/>
        <v/>
      </c>
      <c r="B81" s="18" t="str">
        <f t="shared" si="2"/>
        <v/>
      </c>
      <c r="C81" s="23" t="str">
        <f t="array" ref="C81">IF($H81="","",IFERROR(INDEX('Game Records'!$A:$A,$H81),""))</f>
        <v/>
      </c>
      <c r="D81" s="23" t="str">
        <f t="array" ref="D81">IF($H81="","",IFERROR(INDEX('Game Records'!$U:$U,$H81),""))</f>
        <v/>
      </c>
      <c r="E81" s="23" t="str">
        <f t="array" ref="E81">IF($H81="","",LET(r,$H81,mode,LOWER(INDEX('Game Records'!$D:$D,r)&amp;""),endDate,INDEX('Game Records'!$C:$C,r),IF(mode="estimate",IF(endDate="","Estimate — End Date missing",IF(NOT(ISNUMBER(endDate)),"Estimate — Check End Date",IF(INT(endDate)&gt;=TODAY(),"In Progress — ends "&amp;TEXT(endDate,"mmm d, yyyy"),"Ready to Finalize"))),IF($F81="","No Highlighted Fields","Highlighted Fields Present"))))</f>
        <v/>
      </c>
      <c r="F81" s="23" t="str">
        <f t="array" ref="F81">IF($H81="","",IF(OR(NOT(_xlfn.ISFORMULA(INDEX('Game Records'!$N:$N,$H81))),NOT(_xlfn.ISFORMULA(INDEX('Game Records'!$O:$O,$H81))),NOT(_xlfn.ISFORMULA(INDEX('Game Records'!$P:$P,$H81))),NOT(_xlfn.ISFORMULA(INDEX('Game Records'!$Q:$Q,$H81))),NOT(_xlfn.ISFORMULA(INDEX('Game Records'!$R:$R,$H81))),NOT(_xlfn.ISFORMULA(INDEX('Game Records'!$S:$S,$H81))),NOT(_xlfn.ISFORMULA(INDEX('Game Records'!$T:$T,$H81))),NOT(_xlfn.ISFORMULA(INDEX('Game Records'!$U:$U,$H81))),NOT(_xlfn.ISFORMULA(INDEX('Game Records'!$V:$V,$H81))),NOT(_xlfn.ISFORMULA(INDEX('Game Records'!$W:$W,$H81))),NOT(_xlfn.ISFORMULA(INDEX('Game Records'!$X:$X,$H81))),NOT(_xlfn.ISFORMULA(INDEX('Game Records'!$Y:$Y,$H81))),NOT(_xlfn.ISFORMULA(INDEX('Game Records'!$Z:$Z,$H81)))),"","")&amp;IF(INDEX('Game Records'!$B:$B,$H81)="","Start Date; ","")&amp;IF(INDEX('Game Records'!$C:$C,$H81)="","End Date; ","")&amp;IF(AND(INDEX('Game Records'!$U:$U,$H81)&lt;&gt;"Subscription",INDEX('Game Records'!$U:$U,$H81)&lt;&gt;"Free Game",INDEX('Game Records'!$U:$U,$H81)&lt;&gt;"Disqualified — Free Game",OR(INDEX('Game Records'!$D:$D,$H81)="",LOWER(INDEX('Game Records'!$D:$D,$H81)&amp;"")="n/a")),"Entry Mode; ","")&amp;IF(AND(INDEX('Game Records'!$U:$U,$H81)&lt;&gt;"Subscription",INDEX('Game Records'!$U:$U,$H81)&lt;&gt;"Free Game",INDEX('Game Records'!$U:$U,$H81)&lt;&gt;"Disqualified — Free Game",OR(INDEX('Game Records'!$E:$E,$H81)="",LOWER(INDEX('Game Records'!$E:$E,$H81)&amp;"")="n/a")),"Game Type; ","")&amp;IF(INDEX('Game Records'!$F:$F,$H81)="","Payment Type; ","")&amp;IF(AND(INDEX('Game Records'!$U:$U,$H81)&lt;&gt;"Subscription",INDEX('Game Records'!$U:$U,$H81)&lt;&gt;"Free Game",INDEX('Game Records'!$U:$U,$H81)&lt;&gt;"Disqualified — Free Game",INDEX('Game Records'!$G:$G,$H81)=""),"Gross Pot; ","")&amp;IF(AND(INDEX('Game Records'!$U:$U,$H81)&lt;&gt;"Free Game",INDEX('Game Records'!$U:$U,$H81)&lt;&gt;"Disqualified — Free Game",INDEX('Game Records'!$H:$H,$H81)=""),"Entry Fee; ","")&amp;IF(AND(INDEX('Game Records'!$U:$U,$H81)&lt;&gt;"Subscription",INDEX('Game Records'!$U:$U,$H81)&lt;&gt;"Free Game",INDEX('Game Records'!$U:$U,$H81)&lt;&gt;"Disqualified — Free Game",INDEX('Game Records'!$I:$I,$H81)=""),"Eligible Players; ","")&amp;IF(AND(INDEX('Game Records'!$U:$U,$H81)&lt;&gt;"Subscription",INDEX('Game Records'!$U:$U,$H81)&lt;&gt;"Free Game",INDEX('Game Records'!$U:$U,$H81)&lt;&gt;"Disqualified — Free Game",INDEX('Game Records'!$J:$J,$H81)=""),"Total Players; ","")&amp;IF(AND(LOWER(INDEX('Game Records'!$D:$D,$H81)&amp;"")="finalized",LOWER(INDEX('Game Records'!$L:$L,$H81)&amp;"")&lt;&gt;"yes",INDEX('Game Records'!$U:$U,$H81)&lt;&gt;"Subscription",INDEX('Game Records'!$U:$U,$H81)&lt;&gt;"Free Game",INDEX('Game Records'!$U:$U,$H81)&lt;&gt;"Disqualified — Free Game",INDEX('Game Records'!$K:$K,$H81)=""),"Final Payout; ","")&amp;IF(AND(LOWER(INDEX('Game Records'!$D:$D,$H81)&amp;"")="finalized",INDEX('Game Records'!$U:$U,$H81)&lt;&gt;"Subscription",INDEX('Game Records'!$U:$U,$H81)&lt;&gt;"Free Game",INDEX('Game Records'!$U:$U,$H81)&lt;&gt;"Disqualified — Free Game",OR(INDEX('Game Records'!$L:$L,$H81)="",LOWER(INDEX('Game Records'!$L:$L,$H81)&amp;"")="n/a")),"Disqualified Status; ",""))</f>
        <v/>
      </c>
      <c r="G81" s="23" t="str">
        <f t="array" ref="G81">IF($H81="","",IFERROR(INDEX('Game Records'!$M:$M,$H81),""))</f>
        <v/>
      </c>
      <c r="H81" s="3"/>
      <c r="I81" s="3"/>
      <c r="J81" s="3"/>
    </row>
    <row r="82" ht="24.0" customHeight="1">
      <c r="A82" s="18" t="str">
        <f t="shared" si="1"/>
        <v/>
      </c>
      <c r="B82" s="18" t="str">
        <f t="shared" si="2"/>
        <v/>
      </c>
      <c r="C82" s="23" t="str">
        <f t="array" ref="C82">IF($H82="","",IFERROR(INDEX('Game Records'!$A:$A,$H82),""))</f>
        <v/>
      </c>
      <c r="D82" s="23" t="str">
        <f t="array" ref="D82">IF($H82="","",IFERROR(INDEX('Game Records'!$U:$U,$H82),""))</f>
        <v/>
      </c>
      <c r="E82" s="23" t="str">
        <f t="array" ref="E82">IF($H82="","",LET(r,$H82,mode,LOWER(INDEX('Game Records'!$D:$D,r)&amp;""),endDate,INDEX('Game Records'!$C:$C,r),IF(mode="estimate",IF(endDate="","Estimate — End Date missing",IF(NOT(ISNUMBER(endDate)),"Estimate — Check End Date",IF(INT(endDate)&gt;=TODAY(),"In Progress — ends "&amp;TEXT(endDate,"mmm d, yyyy"),"Ready to Finalize"))),IF($F82="","No Highlighted Fields","Highlighted Fields Present"))))</f>
        <v/>
      </c>
      <c r="F82" s="23" t="str">
        <f t="array" ref="F82">IF($H82="","",IF(OR(NOT(_xlfn.ISFORMULA(INDEX('Game Records'!$N:$N,$H82))),NOT(_xlfn.ISFORMULA(INDEX('Game Records'!$O:$O,$H82))),NOT(_xlfn.ISFORMULA(INDEX('Game Records'!$P:$P,$H82))),NOT(_xlfn.ISFORMULA(INDEX('Game Records'!$Q:$Q,$H82))),NOT(_xlfn.ISFORMULA(INDEX('Game Records'!$R:$R,$H82))),NOT(_xlfn.ISFORMULA(INDEX('Game Records'!$S:$S,$H82))),NOT(_xlfn.ISFORMULA(INDEX('Game Records'!$T:$T,$H82))),NOT(_xlfn.ISFORMULA(INDEX('Game Records'!$U:$U,$H82))),NOT(_xlfn.ISFORMULA(INDEX('Game Records'!$V:$V,$H82))),NOT(_xlfn.ISFORMULA(INDEX('Game Records'!$W:$W,$H82))),NOT(_xlfn.ISFORMULA(INDEX('Game Records'!$X:$X,$H82))),NOT(_xlfn.ISFORMULA(INDEX('Game Records'!$Y:$Y,$H82))),NOT(_xlfn.ISFORMULA(INDEX('Game Records'!$Z:$Z,$H82)))),"","")&amp;IF(INDEX('Game Records'!$B:$B,$H82)="","Start Date; ","")&amp;IF(INDEX('Game Records'!$C:$C,$H82)="","End Date; ","")&amp;IF(AND(INDEX('Game Records'!$U:$U,$H82)&lt;&gt;"Subscription",INDEX('Game Records'!$U:$U,$H82)&lt;&gt;"Free Game",INDEX('Game Records'!$U:$U,$H82)&lt;&gt;"Disqualified — Free Game",OR(INDEX('Game Records'!$D:$D,$H82)="",LOWER(INDEX('Game Records'!$D:$D,$H82)&amp;"")="n/a")),"Entry Mode; ","")&amp;IF(AND(INDEX('Game Records'!$U:$U,$H82)&lt;&gt;"Subscription",INDEX('Game Records'!$U:$U,$H82)&lt;&gt;"Free Game",INDEX('Game Records'!$U:$U,$H82)&lt;&gt;"Disqualified — Free Game",OR(INDEX('Game Records'!$E:$E,$H82)="",LOWER(INDEX('Game Records'!$E:$E,$H82)&amp;"")="n/a")),"Game Type; ","")&amp;IF(INDEX('Game Records'!$F:$F,$H82)="","Payment Type; ","")&amp;IF(AND(INDEX('Game Records'!$U:$U,$H82)&lt;&gt;"Subscription",INDEX('Game Records'!$U:$U,$H82)&lt;&gt;"Free Game",INDEX('Game Records'!$U:$U,$H82)&lt;&gt;"Disqualified — Free Game",INDEX('Game Records'!$G:$G,$H82)=""),"Gross Pot; ","")&amp;IF(AND(INDEX('Game Records'!$U:$U,$H82)&lt;&gt;"Free Game",INDEX('Game Records'!$U:$U,$H82)&lt;&gt;"Disqualified — Free Game",INDEX('Game Records'!$H:$H,$H82)=""),"Entry Fee; ","")&amp;IF(AND(INDEX('Game Records'!$U:$U,$H82)&lt;&gt;"Subscription",INDEX('Game Records'!$U:$U,$H82)&lt;&gt;"Free Game",INDEX('Game Records'!$U:$U,$H82)&lt;&gt;"Disqualified — Free Game",INDEX('Game Records'!$I:$I,$H82)=""),"Eligible Players; ","")&amp;IF(AND(INDEX('Game Records'!$U:$U,$H82)&lt;&gt;"Subscription",INDEX('Game Records'!$U:$U,$H82)&lt;&gt;"Free Game",INDEX('Game Records'!$U:$U,$H82)&lt;&gt;"Disqualified — Free Game",INDEX('Game Records'!$J:$J,$H82)=""),"Total Players; ","")&amp;IF(AND(LOWER(INDEX('Game Records'!$D:$D,$H82)&amp;"")="finalized",LOWER(INDEX('Game Records'!$L:$L,$H82)&amp;"")&lt;&gt;"yes",INDEX('Game Records'!$U:$U,$H82)&lt;&gt;"Subscription",INDEX('Game Records'!$U:$U,$H82)&lt;&gt;"Free Game",INDEX('Game Records'!$U:$U,$H82)&lt;&gt;"Disqualified — Free Game",INDEX('Game Records'!$K:$K,$H82)=""),"Final Payout; ","")&amp;IF(AND(LOWER(INDEX('Game Records'!$D:$D,$H82)&amp;"")="finalized",INDEX('Game Records'!$U:$U,$H82)&lt;&gt;"Subscription",INDEX('Game Records'!$U:$U,$H82)&lt;&gt;"Free Game",INDEX('Game Records'!$U:$U,$H82)&lt;&gt;"Disqualified — Free Game",OR(INDEX('Game Records'!$L:$L,$H82)="",LOWER(INDEX('Game Records'!$L:$L,$H82)&amp;"")="n/a")),"Disqualified Status; ",""))</f>
        <v/>
      </c>
      <c r="G82" s="23" t="str">
        <f t="array" ref="G82">IF($H82="","",IFERROR(INDEX('Game Records'!$M:$M,$H82),""))</f>
        <v/>
      </c>
      <c r="H82" s="3"/>
      <c r="I82" s="3"/>
      <c r="J82" s="3"/>
    </row>
    <row r="83" ht="24.0" customHeight="1">
      <c r="A83" s="18" t="str">
        <f t="shared" si="1"/>
        <v/>
      </c>
      <c r="B83" s="18" t="str">
        <f t="shared" si="2"/>
        <v/>
      </c>
      <c r="C83" s="23" t="str">
        <f t="array" ref="C83">IF($H83="","",IFERROR(INDEX('Game Records'!$A:$A,$H83),""))</f>
        <v/>
      </c>
      <c r="D83" s="23" t="str">
        <f t="array" ref="D83">IF($H83="","",IFERROR(INDEX('Game Records'!$U:$U,$H83),""))</f>
        <v/>
      </c>
      <c r="E83" s="23" t="str">
        <f t="array" ref="E83">IF($H83="","",LET(r,$H83,mode,LOWER(INDEX('Game Records'!$D:$D,r)&amp;""),endDate,INDEX('Game Records'!$C:$C,r),IF(mode="estimate",IF(endDate="","Estimate — End Date missing",IF(NOT(ISNUMBER(endDate)),"Estimate — Check End Date",IF(INT(endDate)&gt;=TODAY(),"In Progress — ends "&amp;TEXT(endDate,"mmm d, yyyy"),"Ready to Finalize"))),IF($F83="","No Highlighted Fields","Highlighted Fields Present"))))</f>
        <v/>
      </c>
      <c r="F83" s="23" t="str">
        <f t="array" ref="F83">IF($H83="","",IF(OR(NOT(_xlfn.ISFORMULA(INDEX('Game Records'!$N:$N,$H83))),NOT(_xlfn.ISFORMULA(INDEX('Game Records'!$O:$O,$H83))),NOT(_xlfn.ISFORMULA(INDEX('Game Records'!$P:$P,$H83))),NOT(_xlfn.ISFORMULA(INDEX('Game Records'!$Q:$Q,$H83))),NOT(_xlfn.ISFORMULA(INDEX('Game Records'!$R:$R,$H83))),NOT(_xlfn.ISFORMULA(INDEX('Game Records'!$S:$S,$H83))),NOT(_xlfn.ISFORMULA(INDEX('Game Records'!$T:$T,$H83))),NOT(_xlfn.ISFORMULA(INDEX('Game Records'!$U:$U,$H83))),NOT(_xlfn.ISFORMULA(INDEX('Game Records'!$V:$V,$H83))),NOT(_xlfn.ISFORMULA(INDEX('Game Records'!$W:$W,$H83))),NOT(_xlfn.ISFORMULA(INDEX('Game Records'!$X:$X,$H83))),NOT(_xlfn.ISFORMULA(INDEX('Game Records'!$Y:$Y,$H83))),NOT(_xlfn.ISFORMULA(INDEX('Game Records'!$Z:$Z,$H83)))),"","")&amp;IF(INDEX('Game Records'!$B:$B,$H83)="","Start Date; ","")&amp;IF(INDEX('Game Records'!$C:$C,$H83)="","End Date; ","")&amp;IF(AND(INDEX('Game Records'!$U:$U,$H83)&lt;&gt;"Subscription",INDEX('Game Records'!$U:$U,$H83)&lt;&gt;"Free Game",INDEX('Game Records'!$U:$U,$H83)&lt;&gt;"Disqualified — Free Game",OR(INDEX('Game Records'!$D:$D,$H83)="",LOWER(INDEX('Game Records'!$D:$D,$H83)&amp;"")="n/a")),"Entry Mode; ","")&amp;IF(AND(INDEX('Game Records'!$U:$U,$H83)&lt;&gt;"Subscription",INDEX('Game Records'!$U:$U,$H83)&lt;&gt;"Free Game",INDEX('Game Records'!$U:$U,$H83)&lt;&gt;"Disqualified — Free Game",OR(INDEX('Game Records'!$E:$E,$H83)="",LOWER(INDEX('Game Records'!$E:$E,$H83)&amp;"")="n/a")),"Game Type; ","")&amp;IF(INDEX('Game Records'!$F:$F,$H83)="","Payment Type; ","")&amp;IF(AND(INDEX('Game Records'!$U:$U,$H83)&lt;&gt;"Subscription",INDEX('Game Records'!$U:$U,$H83)&lt;&gt;"Free Game",INDEX('Game Records'!$U:$U,$H83)&lt;&gt;"Disqualified — Free Game",INDEX('Game Records'!$G:$G,$H83)=""),"Gross Pot; ","")&amp;IF(AND(INDEX('Game Records'!$U:$U,$H83)&lt;&gt;"Free Game",INDEX('Game Records'!$U:$U,$H83)&lt;&gt;"Disqualified — Free Game",INDEX('Game Records'!$H:$H,$H83)=""),"Entry Fee; ","")&amp;IF(AND(INDEX('Game Records'!$U:$U,$H83)&lt;&gt;"Subscription",INDEX('Game Records'!$U:$U,$H83)&lt;&gt;"Free Game",INDEX('Game Records'!$U:$U,$H83)&lt;&gt;"Disqualified — Free Game",INDEX('Game Records'!$I:$I,$H83)=""),"Eligible Players; ","")&amp;IF(AND(INDEX('Game Records'!$U:$U,$H83)&lt;&gt;"Subscription",INDEX('Game Records'!$U:$U,$H83)&lt;&gt;"Free Game",INDEX('Game Records'!$U:$U,$H83)&lt;&gt;"Disqualified — Free Game",INDEX('Game Records'!$J:$J,$H83)=""),"Total Players; ","")&amp;IF(AND(LOWER(INDEX('Game Records'!$D:$D,$H83)&amp;"")="finalized",LOWER(INDEX('Game Records'!$L:$L,$H83)&amp;"")&lt;&gt;"yes",INDEX('Game Records'!$U:$U,$H83)&lt;&gt;"Subscription",INDEX('Game Records'!$U:$U,$H83)&lt;&gt;"Free Game",INDEX('Game Records'!$U:$U,$H83)&lt;&gt;"Disqualified — Free Game",INDEX('Game Records'!$K:$K,$H83)=""),"Final Payout; ","")&amp;IF(AND(LOWER(INDEX('Game Records'!$D:$D,$H83)&amp;"")="finalized",INDEX('Game Records'!$U:$U,$H83)&lt;&gt;"Subscription",INDEX('Game Records'!$U:$U,$H83)&lt;&gt;"Free Game",INDEX('Game Records'!$U:$U,$H83)&lt;&gt;"Disqualified — Free Game",OR(INDEX('Game Records'!$L:$L,$H83)="",LOWER(INDEX('Game Records'!$L:$L,$H83)&amp;"")="n/a")),"Disqualified Status; ",""))</f>
        <v/>
      </c>
      <c r="G83" s="23" t="str">
        <f t="array" ref="G83">IF($H83="","",IFERROR(INDEX('Game Records'!$M:$M,$H83),""))</f>
        <v/>
      </c>
      <c r="H83" s="3"/>
      <c r="I83" s="3"/>
      <c r="J83" s="3"/>
    </row>
    <row r="84" ht="24.0" customHeight="1">
      <c r="A84" s="18" t="str">
        <f t="shared" si="1"/>
        <v/>
      </c>
      <c r="B84" s="18" t="str">
        <f t="shared" si="2"/>
        <v/>
      </c>
      <c r="C84" s="23" t="str">
        <f t="array" ref="C84">IF($H84="","",IFERROR(INDEX('Game Records'!$A:$A,$H84),""))</f>
        <v/>
      </c>
      <c r="D84" s="23" t="str">
        <f t="array" ref="D84">IF($H84="","",IFERROR(INDEX('Game Records'!$U:$U,$H84),""))</f>
        <v/>
      </c>
      <c r="E84" s="23" t="str">
        <f t="array" ref="E84">IF($H84="","",LET(r,$H84,mode,LOWER(INDEX('Game Records'!$D:$D,r)&amp;""),endDate,INDEX('Game Records'!$C:$C,r),IF(mode="estimate",IF(endDate="","Estimate — End Date missing",IF(NOT(ISNUMBER(endDate)),"Estimate — Check End Date",IF(INT(endDate)&gt;=TODAY(),"In Progress — ends "&amp;TEXT(endDate,"mmm d, yyyy"),"Ready to Finalize"))),IF($F84="","No Highlighted Fields","Highlighted Fields Present"))))</f>
        <v/>
      </c>
      <c r="F84" s="23" t="str">
        <f t="array" ref="F84">IF($H84="","",IF(OR(NOT(_xlfn.ISFORMULA(INDEX('Game Records'!$N:$N,$H84))),NOT(_xlfn.ISFORMULA(INDEX('Game Records'!$O:$O,$H84))),NOT(_xlfn.ISFORMULA(INDEX('Game Records'!$P:$P,$H84))),NOT(_xlfn.ISFORMULA(INDEX('Game Records'!$Q:$Q,$H84))),NOT(_xlfn.ISFORMULA(INDEX('Game Records'!$R:$R,$H84))),NOT(_xlfn.ISFORMULA(INDEX('Game Records'!$S:$S,$H84))),NOT(_xlfn.ISFORMULA(INDEX('Game Records'!$T:$T,$H84))),NOT(_xlfn.ISFORMULA(INDEX('Game Records'!$U:$U,$H84))),NOT(_xlfn.ISFORMULA(INDEX('Game Records'!$V:$V,$H84))),NOT(_xlfn.ISFORMULA(INDEX('Game Records'!$W:$W,$H84))),NOT(_xlfn.ISFORMULA(INDEX('Game Records'!$X:$X,$H84))),NOT(_xlfn.ISFORMULA(INDEX('Game Records'!$Y:$Y,$H84))),NOT(_xlfn.ISFORMULA(INDEX('Game Records'!$Z:$Z,$H84)))),"","")&amp;IF(INDEX('Game Records'!$B:$B,$H84)="","Start Date; ","")&amp;IF(INDEX('Game Records'!$C:$C,$H84)="","End Date; ","")&amp;IF(AND(INDEX('Game Records'!$U:$U,$H84)&lt;&gt;"Subscription",INDEX('Game Records'!$U:$U,$H84)&lt;&gt;"Free Game",INDEX('Game Records'!$U:$U,$H84)&lt;&gt;"Disqualified — Free Game",OR(INDEX('Game Records'!$D:$D,$H84)="",LOWER(INDEX('Game Records'!$D:$D,$H84)&amp;"")="n/a")),"Entry Mode; ","")&amp;IF(AND(INDEX('Game Records'!$U:$U,$H84)&lt;&gt;"Subscription",INDEX('Game Records'!$U:$U,$H84)&lt;&gt;"Free Game",INDEX('Game Records'!$U:$U,$H84)&lt;&gt;"Disqualified — Free Game",OR(INDEX('Game Records'!$E:$E,$H84)="",LOWER(INDEX('Game Records'!$E:$E,$H84)&amp;"")="n/a")),"Game Type; ","")&amp;IF(INDEX('Game Records'!$F:$F,$H84)="","Payment Type; ","")&amp;IF(AND(INDEX('Game Records'!$U:$U,$H84)&lt;&gt;"Subscription",INDEX('Game Records'!$U:$U,$H84)&lt;&gt;"Free Game",INDEX('Game Records'!$U:$U,$H84)&lt;&gt;"Disqualified — Free Game",INDEX('Game Records'!$G:$G,$H84)=""),"Gross Pot; ","")&amp;IF(AND(INDEX('Game Records'!$U:$U,$H84)&lt;&gt;"Free Game",INDEX('Game Records'!$U:$U,$H84)&lt;&gt;"Disqualified — Free Game",INDEX('Game Records'!$H:$H,$H84)=""),"Entry Fee; ","")&amp;IF(AND(INDEX('Game Records'!$U:$U,$H84)&lt;&gt;"Subscription",INDEX('Game Records'!$U:$U,$H84)&lt;&gt;"Free Game",INDEX('Game Records'!$U:$U,$H84)&lt;&gt;"Disqualified — Free Game",INDEX('Game Records'!$I:$I,$H84)=""),"Eligible Players; ","")&amp;IF(AND(INDEX('Game Records'!$U:$U,$H84)&lt;&gt;"Subscription",INDEX('Game Records'!$U:$U,$H84)&lt;&gt;"Free Game",INDEX('Game Records'!$U:$U,$H84)&lt;&gt;"Disqualified — Free Game",INDEX('Game Records'!$J:$J,$H84)=""),"Total Players; ","")&amp;IF(AND(LOWER(INDEX('Game Records'!$D:$D,$H84)&amp;"")="finalized",LOWER(INDEX('Game Records'!$L:$L,$H84)&amp;"")&lt;&gt;"yes",INDEX('Game Records'!$U:$U,$H84)&lt;&gt;"Subscription",INDEX('Game Records'!$U:$U,$H84)&lt;&gt;"Free Game",INDEX('Game Records'!$U:$U,$H84)&lt;&gt;"Disqualified — Free Game",INDEX('Game Records'!$K:$K,$H84)=""),"Final Payout; ","")&amp;IF(AND(LOWER(INDEX('Game Records'!$D:$D,$H84)&amp;"")="finalized",INDEX('Game Records'!$U:$U,$H84)&lt;&gt;"Subscription",INDEX('Game Records'!$U:$U,$H84)&lt;&gt;"Free Game",INDEX('Game Records'!$U:$U,$H84)&lt;&gt;"Disqualified — Free Game",OR(INDEX('Game Records'!$L:$L,$H84)="",LOWER(INDEX('Game Records'!$L:$L,$H84)&amp;"")="n/a")),"Disqualified Status; ",""))</f>
        <v/>
      </c>
      <c r="G84" s="23" t="str">
        <f t="array" ref="G84">IF($H84="","",IFERROR(INDEX('Game Records'!$M:$M,$H84),""))</f>
        <v/>
      </c>
      <c r="H84" s="3"/>
      <c r="I84" s="3"/>
      <c r="J84" s="3"/>
    </row>
    <row r="85" ht="24.0" customHeight="1">
      <c r="A85" s="18" t="str">
        <f t="shared" si="1"/>
        <v/>
      </c>
      <c r="B85" s="18" t="str">
        <f t="shared" si="2"/>
        <v/>
      </c>
      <c r="C85" s="23" t="str">
        <f t="array" ref="C85">IF($H85="","",IFERROR(INDEX('Game Records'!$A:$A,$H85),""))</f>
        <v/>
      </c>
      <c r="D85" s="23" t="str">
        <f t="array" ref="D85">IF($H85="","",IFERROR(INDEX('Game Records'!$U:$U,$H85),""))</f>
        <v/>
      </c>
      <c r="E85" s="23" t="str">
        <f t="array" ref="E85">IF($H85="","",LET(r,$H85,mode,LOWER(INDEX('Game Records'!$D:$D,r)&amp;""),endDate,INDEX('Game Records'!$C:$C,r),IF(mode="estimate",IF(endDate="","Estimate — End Date missing",IF(NOT(ISNUMBER(endDate)),"Estimate — Check End Date",IF(INT(endDate)&gt;=TODAY(),"In Progress — ends "&amp;TEXT(endDate,"mmm d, yyyy"),"Ready to Finalize"))),IF($F85="","No Highlighted Fields","Highlighted Fields Present"))))</f>
        <v/>
      </c>
      <c r="F85" s="23" t="str">
        <f t="array" ref="F85">IF($H85="","",IF(OR(NOT(_xlfn.ISFORMULA(INDEX('Game Records'!$N:$N,$H85))),NOT(_xlfn.ISFORMULA(INDEX('Game Records'!$O:$O,$H85))),NOT(_xlfn.ISFORMULA(INDEX('Game Records'!$P:$P,$H85))),NOT(_xlfn.ISFORMULA(INDEX('Game Records'!$Q:$Q,$H85))),NOT(_xlfn.ISFORMULA(INDEX('Game Records'!$R:$R,$H85))),NOT(_xlfn.ISFORMULA(INDEX('Game Records'!$S:$S,$H85))),NOT(_xlfn.ISFORMULA(INDEX('Game Records'!$T:$T,$H85))),NOT(_xlfn.ISFORMULA(INDEX('Game Records'!$U:$U,$H85))),NOT(_xlfn.ISFORMULA(INDEX('Game Records'!$V:$V,$H85))),NOT(_xlfn.ISFORMULA(INDEX('Game Records'!$W:$W,$H85))),NOT(_xlfn.ISFORMULA(INDEX('Game Records'!$X:$X,$H85))),NOT(_xlfn.ISFORMULA(INDEX('Game Records'!$Y:$Y,$H85))),NOT(_xlfn.ISFORMULA(INDEX('Game Records'!$Z:$Z,$H85)))),"","")&amp;IF(INDEX('Game Records'!$B:$B,$H85)="","Start Date; ","")&amp;IF(INDEX('Game Records'!$C:$C,$H85)="","End Date; ","")&amp;IF(AND(INDEX('Game Records'!$U:$U,$H85)&lt;&gt;"Subscription",INDEX('Game Records'!$U:$U,$H85)&lt;&gt;"Free Game",INDEX('Game Records'!$U:$U,$H85)&lt;&gt;"Disqualified — Free Game",OR(INDEX('Game Records'!$D:$D,$H85)="",LOWER(INDEX('Game Records'!$D:$D,$H85)&amp;"")="n/a")),"Entry Mode; ","")&amp;IF(AND(INDEX('Game Records'!$U:$U,$H85)&lt;&gt;"Subscription",INDEX('Game Records'!$U:$U,$H85)&lt;&gt;"Free Game",INDEX('Game Records'!$U:$U,$H85)&lt;&gt;"Disqualified — Free Game",OR(INDEX('Game Records'!$E:$E,$H85)="",LOWER(INDEX('Game Records'!$E:$E,$H85)&amp;"")="n/a")),"Game Type; ","")&amp;IF(INDEX('Game Records'!$F:$F,$H85)="","Payment Type; ","")&amp;IF(AND(INDEX('Game Records'!$U:$U,$H85)&lt;&gt;"Subscription",INDEX('Game Records'!$U:$U,$H85)&lt;&gt;"Free Game",INDEX('Game Records'!$U:$U,$H85)&lt;&gt;"Disqualified — Free Game",INDEX('Game Records'!$G:$G,$H85)=""),"Gross Pot; ","")&amp;IF(AND(INDEX('Game Records'!$U:$U,$H85)&lt;&gt;"Free Game",INDEX('Game Records'!$U:$U,$H85)&lt;&gt;"Disqualified — Free Game",INDEX('Game Records'!$H:$H,$H85)=""),"Entry Fee; ","")&amp;IF(AND(INDEX('Game Records'!$U:$U,$H85)&lt;&gt;"Subscription",INDEX('Game Records'!$U:$U,$H85)&lt;&gt;"Free Game",INDEX('Game Records'!$U:$U,$H85)&lt;&gt;"Disqualified — Free Game",INDEX('Game Records'!$I:$I,$H85)=""),"Eligible Players; ","")&amp;IF(AND(INDEX('Game Records'!$U:$U,$H85)&lt;&gt;"Subscription",INDEX('Game Records'!$U:$U,$H85)&lt;&gt;"Free Game",INDEX('Game Records'!$U:$U,$H85)&lt;&gt;"Disqualified — Free Game",INDEX('Game Records'!$J:$J,$H85)=""),"Total Players; ","")&amp;IF(AND(LOWER(INDEX('Game Records'!$D:$D,$H85)&amp;"")="finalized",LOWER(INDEX('Game Records'!$L:$L,$H85)&amp;"")&lt;&gt;"yes",INDEX('Game Records'!$U:$U,$H85)&lt;&gt;"Subscription",INDEX('Game Records'!$U:$U,$H85)&lt;&gt;"Free Game",INDEX('Game Records'!$U:$U,$H85)&lt;&gt;"Disqualified — Free Game",INDEX('Game Records'!$K:$K,$H85)=""),"Final Payout; ","")&amp;IF(AND(LOWER(INDEX('Game Records'!$D:$D,$H85)&amp;"")="finalized",INDEX('Game Records'!$U:$U,$H85)&lt;&gt;"Subscription",INDEX('Game Records'!$U:$U,$H85)&lt;&gt;"Free Game",INDEX('Game Records'!$U:$U,$H85)&lt;&gt;"Disqualified — Free Game",OR(INDEX('Game Records'!$L:$L,$H85)="",LOWER(INDEX('Game Records'!$L:$L,$H85)&amp;"")="n/a")),"Disqualified Status; ",""))</f>
        <v/>
      </c>
      <c r="G85" s="23" t="str">
        <f t="array" ref="G85">IF($H85="","",IFERROR(INDEX('Game Records'!$M:$M,$H85),""))</f>
        <v/>
      </c>
      <c r="H85" s="3"/>
      <c r="I85" s="3"/>
      <c r="J85" s="3"/>
    </row>
    <row r="86" ht="24.0" customHeight="1">
      <c r="A86" s="18" t="str">
        <f t="shared" si="1"/>
        <v/>
      </c>
      <c r="B86" s="18" t="str">
        <f t="shared" si="2"/>
        <v/>
      </c>
      <c r="C86" s="23" t="str">
        <f t="array" ref="C86">IF($H86="","",IFERROR(INDEX('Game Records'!$A:$A,$H86),""))</f>
        <v/>
      </c>
      <c r="D86" s="23" t="str">
        <f t="array" ref="D86">IF($H86="","",IFERROR(INDEX('Game Records'!$U:$U,$H86),""))</f>
        <v/>
      </c>
      <c r="E86" s="23" t="str">
        <f t="array" ref="E86">IF($H86="","",LET(r,$H86,mode,LOWER(INDEX('Game Records'!$D:$D,r)&amp;""),endDate,INDEX('Game Records'!$C:$C,r),IF(mode="estimate",IF(endDate="","Estimate — End Date missing",IF(NOT(ISNUMBER(endDate)),"Estimate — Check End Date",IF(INT(endDate)&gt;=TODAY(),"In Progress — ends "&amp;TEXT(endDate,"mmm d, yyyy"),"Ready to Finalize"))),IF($F86="","No Highlighted Fields","Highlighted Fields Present"))))</f>
        <v/>
      </c>
      <c r="F86" s="23" t="str">
        <f t="array" ref="F86">IF($H86="","",IF(OR(NOT(_xlfn.ISFORMULA(INDEX('Game Records'!$N:$N,$H86))),NOT(_xlfn.ISFORMULA(INDEX('Game Records'!$O:$O,$H86))),NOT(_xlfn.ISFORMULA(INDEX('Game Records'!$P:$P,$H86))),NOT(_xlfn.ISFORMULA(INDEX('Game Records'!$Q:$Q,$H86))),NOT(_xlfn.ISFORMULA(INDEX('Game Records'!$R:$R,$H86))),NOT(_xlfn.ISFORMULA(INDEX('Game Records'!$S:$S,$H86))),NOT(_xlfn.ISFORMULA(INDEX('Game Records'!$T:$T,$H86))),NOT(_xlfn.ISFORMULA(INDEX('Game Records'!$U:$U,$H86))),NOT(_xlfn.ISFORMULA(INDEX('Game Records'!$V:$V,$H86))),NOT(_xlfn.ISFORMULA(INDEX('Game Records'!$W:$W,$H86))),NOT(_xlfn.ISFORMULA(INDEX('Game Records'!$X:$X,$H86))),NOT(_xlfn.ISFORMULA(INDEX('Game Records'!$Y:$Y,$H86))),NOT(_xlfn.ISFORMULA(INDEX('Game Records'!$Z:$Z,$H86)))),"","")&amp;IF(INDEX('Game Records'!$B:$B,$H86)="","Start Date; ","")&amp;IF(INDEX('Game Records'!$C:$C,$H86)="","End Date; ","")&amp;IF(AND(INDEX('Game Records'!$U:$U,$H86)&lt;&gt;"Subscription",INDEX('Game Records'!$U:$U,$H86)&lt;&gt;"Free Game",INDEX('Game Records'!$U:$U,$H86)&lt;&gt;"Disqualified — Free Game",OR(INDEX('Game Records'!$D:$D,$H86)="",LOWER(INDEX('Game Records'!$D:$D,$H86)&amp;"")="n/a")),"Entry Mode; ","")&amp;IF(AND(INDEX('Game Records'!$U:$U,$H86)&lt;&gt;"Subscription",INDEX('Game Records'!$U:$U,$H86)&lt;&gt;"Free Game",INDEX('Game Records'!$U:$U,$H86)&lt;&gt;"Disqualified — Free Game",OR(INDEX('Game Records'!$E:$E,$H86)="",LOWER(INDEX('Game Records'!$E:$E,$H86)&amp;"")="n/a")),"Game Type; ","")&amp;IF(INDEX('Game Records'!$F:$F,$H86)="","Payment Type; ","")&amp;IF(AND(INDEX('Game Records'!$U:$U,$H86)&lt;&gt;"Subscription",INDEX('Game Records'!$U:$U,$H86)&lt;&gt;"Free Game",INDEX('Game Records'!$U:$U,$H86)&lt;&gt;"Disqualified — Free Game",INDEX('Game Records'!$G:$G,$H86)=""),"Gross Pot; ","")&amp;IF(AND(INDEX('Game Records'!$U:$U,$H86)&lt;&gt;"Free Game",INDEX('Game Records'!$U:$U,$H86)&lt;&gt;"Disqualified — Free Game",INDEX('Game Records'!$H:$H,$H86)=""),"Entry Fee; ","")&amp;IF(AND(INDEX('Game Records'!$U:$U,$H86)&lt;&gt;"Subscription",INDEX('Game Records'!$U:$U,$H86)&lt;&gt;"Free Game",INDEX('Game Records'!$U:$U,$H86)&lt;&gt;"Disqualified — Free Game",INDEX('Game Records'!$I:$I,$H86)=""),"Eligible Players; ","")&amp;IF(AND(INDEX('Game Records'!$U:$U,$H86)&lt;&gt;"Subscription",INDEX('Game Records'!$U:$U,$H86)&lt;&gt;"Free Game",INDEX('Game Records'!$U:$U,$H86)&lt;&gt;"Disqualified — Free Game",INDEX('Game Records'!$J:$J,$H86)=""),"Total Players; ","")&amp;IF(AND(LOWER(INDEX('Game Records'!$D:$D,$H86)&amp;"")="finalized",LOWER(INDEX('Game Records'!$L:$L,$H86)&amp;"")&lt;&gt;"yes",INDEX('Game Records'!$U:$U,$H86)&lt;&gt;"Subscription",INDEX('Game Records'!$U:$U,$H86)&lt;&gt;"Free Game",INDEX('Game Records'!$U:$U,$H86)&lt;&gt;"Disqualified — Free Game",INDEX('Game Records'!$K:$K,$H86)=""),"Final Payout; ","")&amp;IF(AND(LOWER(INDEX('Game Records'!$D:$D,$H86)&amp;"")="finalized",INDEX('Game Records'!$U:$U,$H86)&lt;&gt;"Subscription",INDEX('Game Records'!$U:$U,$H86)&lt;&gt;"Free Game",INDEX('Game Records'!$U:$U,$H86)&lt;&gt;"Disqualified — Free Game",OR(INDEX('Game Records'!$L:$L,$H86)="",LOWER(INDEX('Game Records'!$L:$L,$H86)&amp;"")="n/a")),"Disqualified Status; ",""))</f>
        <v/>
      </c>
      <c r="G86" s="23" t="str">
        <f t="array" ref="G86">IF($H86="","",IFERROR(INDEX('Game Records'!$M:$M,$H86),""))</f>
        <v/>
      </c>
      <c r="H86" s="3"/>
      <c r="I86" s="3"/>
      <c r="J86" s="3"/>
    </row>
    <row r="87" ht="24.0" customHeight="1">
      <c r="A87" s="18" t="str">
        <f t="shared" si="1"/>
        <v/>
      </c>
      <c r="B87" s="18" t="str">
        <f t="shared" si="2"/>
        <v/>
      </c>
      <c r="C87" s="23" t="str">
        <f t="array" ref="C87">IF($H87="","",IFERROR(INDEX('Game Records'!$A:$A,$H87),""))</f>
        <v/>
      </c>
      <c r="D87" s="23" t="str">
        <f t="array" ref="D87">IF($H87="","",IFERROR(INDEX('Game Records'!$U:$U,$H87),""))</f>
        <v/>
      </c>
      <c r="E87" s="23" t="str">
        <f t="array" ref="E87">IF($H87="","",LET(r,$H87,mode,LOWER(INDEX('Game Records'!$D:$D,r)&amp;""),endDate,INDEX('Game Records'!$C:$C,r),IF(mode="estimate",IF(endDate="","Estimate — End Date missing",IF(NOT(ISNUMBER(endDate)),"Estimate — Check End Date",IF(INT(endDate)&gt;=TODAY(),"In Progress — ends "&amp;TEXT(endDate,"mmm d, yyyy"),"Ready to Finalize"))),IF($F87="","No Highlighted Fields","Highlighted Fields Present"))))</f>
        <v/>
      </c>
      <c r="F87" s="23" t="str">
        <f t="array" ref="F87">IF($H87="","",IF(OR(NOT(_xlfn.ISFORMULA(INDEX('Game Records'!$N:$N,$H87))),NOT(_xlfn.ISFORMULA(INDEX('Game Records'!$O:$O,$H87))),NOT(_xlfn.ISFORMULA(INDEX('Game Records'!$P:$P,$H87))),NOT(_xlfn.ISFORMULA(INDEX('Game Records'!$Q:$Q,$H87))),NOT(_xlfn.ISFORMULA(INDEX('Game Records'!$R:$R,$H87))),NOT(_xlfn.ISFORMULA(INDEX('Game Records'!$S:$S,$H87))),NOT(_xlfn.ISFORMULA(INDEX('Game Records'!$T:$T,$H87))),NOT(_xlfn.ISFORMULA(INDEX('Game Records'!$U:$U,$H87))),NOT(_xlfn.ISFORMULA(INDEX('Game Records'!$V:$V,$H87))),NOT(_xlfn.ISFORMULA(INDEX('Game Records'!$W:$W,$H87))),NOT(_xlfn.ISFORMULA(INDEX('Game Records'!$X:$X,$H87))),NOT(_xlfn.ISFORMULA(INDEX('Game Records'!$Y:$Y,$H87))),NOT(_xlfn.ISFORMULA(INDEX('Game Records'!$Z:$Z,$H87)))),"","")&amp;IF(INDEX('Game Records'!$B:$B,$H87)="","Start Date; ","")&amp;IF(INDEX('Game Records'!$C:$C,$H87)="","End Date; ","")&amp;IF(AND(INDEX('Game Records'!$U:$U,$H87)&lt;&gt;"Subscription",INDEX('Game Records'!$U:$U,$H87)&lt;&gt;"Free Game",INDEX('Game Records'!$U:$U,$H87)&lt;&gt;"Disqualified — Free Game",OR(INDEX('Game Records'!$D:$D,$H87)="",LOWER(INDEX('Game Records'!$D:$D,$H87)&amp;"")="n/a")),"Entry Mode; ","")&amp;IF(AND(INDEX('Game Records'!$U:$U,$H87)&lt;&gt;"Subscription",INDEX('Game Records'!$U:$U,$H87)&lt;&gt;"Free Game",INDEX('Game Records'!$U:$U,$H87)&lt;&gt;"Disqualified — Free Game",OR(INDEX('Game Records'!$E:$E,$H87)="",LOWER(INDEX('Game Records'!$E:$E,$H87)&amp;"")="n/a")),"Game Type; ","")&amp;IF(INDEX('Game Records'!$F:$F,$H87)="","Payment Type; ","")&amp;IF(AND(INDEX('Game Records'!$U:$U,$H87)&lt;&gt;"Subscription",INDEX('Game Records'!$U:$U,$H87)&lt;&gt;"Free Game",INDEX('Game Records'!$U:$U,$H87)&lt;&gt;"Disqualified — Free Game",INDEX('Game Records'!$G:$G,$H87)=""),"Gross Pot; ","")&amp;IF(AND(INDEX('Game Records'!$U:$U,$H87)&lt;&gt;"Free Game",INDEX('Game Records'!$U:$U,$H87)&lt;&gt;"Disqualified — Free Game",INDEX('Game Records'!$H:$H,$H87)=""),"Entry Fee; ","")&amp;IF(AND(INDEX('Game Records'!$U:$U,$H87)&lt;&gt;"Subscription",INDEX('Game Records'!$U:$U,$H87)&lt;&gt;"Free Game",INDEX('Game Records'!$U:$U,$H87)&lt;&gt;"Disqualified — Free Game",INDEX('Game Records'!$I:$I,$H87)=""),"Eligible Players; ","")&amp;IF(AND(INDEX('Game Records'!$U:$U,$H87)&lt;&gt;"Subscription",INDEX('Game Records'!$U:$U,$H87)&lt;&gt;"Free Game",INDEX('Game Records'!$U:$U,$H87)&lt;&gt;"Disqualified — Free Game",INDEX('Game Records'!$J:$J,$H87)=""),"Total Players; ","")&amp;IF(AND(LOWER(INDEX('Game Records'!$D:$D,$H87)&amp;"")="finalized",LOWER(INDEX('Game Records'!$L:$L,$H87)&amp;"")&lt;&gt;"yes",INDEX('Game Records'!$U:$U,$H87)&lt;&gt;"Subscription",INDEX('Game Records'!$U:$U,$H87)&lt;&gt;"Free Game",INDEX('Game Records'!$U:$U,$H87)&lt;&gt;"Disqualified — Free Game",INDEX('Game Records'!$K:$K,$H87)=""),"Final Payout; ","")&amp;IF(AND(LOWER(INDEX('Game Records'!$D:$D,$H87)&amp;"")="finalized",INDEX('Game Records'!$U:$U,$H87)&lt;&gt;"Subscription",INDEX('Game Records'!$U:$U,$H87)&lt;&gt;"Free Game",INDEX('Game Records'!$U:$U,$H87)&lt;&gt;"Disqualified — Free Game",OR(INDEX('Game Records'!$L:$L,$H87)="",LOWER(INDEX('Game Records'!$L:$L,$H87)&amp;"")="n/a")),"Disqualified Status; ",""))</f>
        <v/>
      </c>
      <c r="G87" s="23" t="str">
        <f t="array" ref="G87">IF($H87="","",IFERROR(INDEX('Game Records'!$M:$M,$H87),""))</f>
        <v/>
      </c>
      <c r="H87" s="3"/>
      <c r="I87" s="3"/>
      <c r="J87" s="3"/>
    </row>
    <row r="88" ht="24.0" customHeight="1">
      <c r="A88" s="18" t="str">
        <f t="shared" si="1"/>
        <v/>
      </c>
      <c r="B88" s="18" t="str">
        <f t="shared" si="2"/>
        <v/>
      </c>
      <c r="C88" s="23" t="str">
        <f t="array" ref="C88">IF($H88="","",IFERROR(INDEX('Game Records'!$A:$A,$H88),""))</f>
        <v/>
      </c>
      <c r="D88" s="23" t="str">
        <f t="array" ref="D88">IF($H88="","",IFERROR(INDEX('Game Records'!$U:$U,$H88),""))</f>
        <v/>
      </c>
      <c r="E88" s="23" t="str">
        <f t="array" ref="E88">IF($H88="","",LET(r,$H88,mode,LOWER(INDEX('Game Records'!$D:$D,r)&amp;""),endDate,INDEX('Game Records'!$C:$C,r),IF(mode="estimate",IF(endDate="","Estimate — End Date missing",IF(NOT(ISNUMBER(endDate)),"Estimate — Check End Date",IF(INT(endDate)&gt;=TODAY(),"In Progress — ends "&amp;TEXT(endDate,"mmm d, yyyy"),"Ready to Finalize"))),IF($F88="","No Highlighted Fields","Highlighted Fields Present"))))</f>
        <v/>
      </c>
      <c r="F88" s="23" t="str">
        <f t="array" ref="F88">IF($H88="","",IF(OR(NOT(_xlfn.ISFORMULA(INDEX('Game Records'!$N:$N,$H88))),NOT(_xlfn.ISFORMULA(INDEX('Game Records'!$O:$O,$H88))),NOT(_xlfn.ISFORMULA(INDEX('Game Records'!$P:$P,$H88))),NOT(_xlfn.ISFORMULA(INDEX('Game Records'!$Q:$Q,$H88))),NOT(_xlfn.ISFORMULA(INDEX('Game Records'!$R:$R,$H88))),NOT(_xlfn.ISFORMULA(INDEX('Game Records'!$S:$S,$H88))),NOT(_xlfn.ISFORMULA(INDEX('Game Records'!$T:$T,$H88))),NOT(_xlfn.ISFORMULA(INDEX('Game Records'!$U:$U,$H88))),NOT(_xlfn.ISFORMULA(INDEX('Game Records'!$V:$V,$H88))),NOT(_xlfn.ISFORMULA(INDEX('Game Records'!$W:$W,$H88))),NOT(_xlfn.ISFORMULA(INDEX('Game Records'!$X:$X,$H88))),NOT(_xlfn.ISFORMULA(INDEX('Game Records'!$Y:$Y,$H88))),NOT(_xlfn.ISFORMULA(INDEX('Game Records'!$Z:$Z,$H88)))),"","")&amp;IF(INDEX('Game Records'!$B:$B,$H88)="","Start Date; ","")&amp;IF(INDEX('Game Records'!$C:$C,$H88)="","End Date; ","")&amp;IF(AND(INDEX('Game Records'!$U:$U,$H88)&lt;&gt;"Subscription",INDEX('Game Records'!$U:$U,$H88)&lt;&gt;"Free Game",INDEX('Game Records'!$U:$U,$H88)&lt;&gt;"Disqualified — Free Game",OR(INDEX('Game Records'!$D:$D,$H88)="",LOWER(INDEX('Game Records'!$D:$D,$H88)&amp;"")="n/a")),"Entry Mode; ","")&amp;IF(AND(INDEX('Game Records'!$U:$U,$H88)&lt;&gt;"Subscription",INDEX('Game Records'!$U:$U,$H88)&lt;&gt;"Free Game",INDEX('Game Records'!$U:$U,$H88)&lt;&gt;"Disqualified — Free Game",OR(INDEX('Game Records'!$E:$E,$H88)="",LOWER(INDEX('Game Records'!$E:$E,$H88)&amp;"")="n/a")),"Game Type; ","")&amp;IF(INDEX('Game Records'!$F:$F,$H88)="","Payment Type; ","")&amp;IF(AND(INDEX('Game Records'!$U:$U,$H88)&lt;&gt;"Subscription",INDEX('Game Records'!$U:$U,$H88)&lt;&gt;"Free Game",INDEX('Game Records'!$U:$U,$H88)&lt;&gt;"Disqualified — Free Game",INDEX('Game Records'!$G:$G,$H88)=""),"Gross Pot; ","")&amp;IF(AND(INDEX('Game Records'!$U:$U,$H88)&lt;&gt;"Free Game",INDEX('Game Records'!$U:$U,$H88)&lt;&gt;"Disqualified — Free Game",INDEX('Game Records'!$H:$H,$H88)=""),"Entry Fee; ","")&amp;IF(AND(INDEX('Game Records'!$U:$U,$H88)&lt;&gt;"Subscription",INDEX('Game Records'!$U:$U,$H88)&lt;&gt;"Free Game",INDEX('Game Records'!$U:$U,$H88)&lt;&gt;"Disqualified — Free Game",INDEX('Game Records'!$I:$I,$H88)=""),"Eligible Players; ","")&amp;IF(AND(INDEX('Game Records'!$U:$U,$H88)&lt;&gt;"Subscription",INDEX('Game Records'!$U:$U,$H88)&lt;&gt;"Free Game",INDEX('Game Records'!$U:$U,$H88)&lt;&gt;"Disqualified — Free Game",INDEX('Game Records'!$J:$J,$H88)=""),"Total Players; ","")&amp;IF(AND(LOWER(INDEX('Game Records'!$D:$D,$H88)&amp;"")="finalized",LOWER(INDEX('Game Records'!$L:$L,$H88)&amp;"")&lt;&gt;"yes",INDEX('Game Records'!$U:$U,$H88)&lt;&gt;"Subscription",INDEX('Game Records'!$U:$U,$H88)&lt;&gt;"Free Game",INDEX('Game Records'!$U:$U,$H88)&lt;&gt;"Disqualified — Free Game",INDEX('Game Records'!$K:$K,$H88)=""),"Final Payout; ","")&amp;IF(AND(LOWER(INDEX('Game Records'!$D:$D,$H88)&amp;"")="finalized",INDEX('Game Records'!$U:$U,$H88)&lt;&gt;"Subscription",INDEX('Game Records'!$U:$U,$H88)&lt;&gt;"Free Game",INDEX('Game Records'!$U:$U,$H88)&lt;&gt;"Disqualified — Free Game",OR(INDEX('Game Records'!$L:$L,$H88)="",LOWER(INDEX('Game Records'!$L:$L,$H88)&amp;"")="n/a")),"Disqualified Status; ",""))</f>
        <v/>
      </c>
      <c r="G88" s="23" t="str">
        <f t="array" ref="G88">IF($H88="","",IFERROR(INDEX('Game Records'!$M:$M,$H88),""))</f>
        <v/>
      </c>
      <c r="H88" s="3"/>
      <c r="I88" s="3"/>
      <c r="J88" s="3"/>
    </row>
    <row r="89" ht="24.0" customHeight="1">
      <c r="A89" s="18" t="str">
        <f t="shared" si="1"/>
        <v/>
      </c>
      <c r="B89" s="18" t="str">
        <f t="shared" si="2"/>
        <v/>
      </c>
      <c r="C89" s="23" t="str">
        <f t="array" ref="C89">IF($H89="","",IFERROR(INDEX('Game Records'!$A:$A,$H89),""))</f>
        <v/>
      </c>
      <c r="D89" s="23" t="str">
        <f t="array" ref="D89">IF($H89="","",IFERROR(INDEX('Game Records'!$U:$U,$H89),""))</f>
        <v/>
      </c>
      <c r="E89" s="23" t="str">
        <f t="array" ref="E89">IF($H89="","",LET(r,$H89,mode,LOWER(INDEX('Game Records'!$D:$D,r)&amp;""),endDate,INDEX('Game Records'!$C:$C,r),IF(mode="estimate",IF(endDate="","Estimate — End Date missing",IF(NOT(ISNUMBER(endDate)),"Estimate — Check End Date",IF(INT(endDate)&gt;=TODAY(),"In Progress — ends "&amp;TEXT(endDate,"mmm d, yyyy"),"Ready to Finalize"))),IF($F89="","No Highlighted Fields","Highlighted Fields Present"))))</f>
        <v/>
      </c>
      <c r="F89" s="23" t="str">
        <f t="array" ref="F89">IF($H89="","",IF(OR(NOT(_xlfn.ISFORMULA(INDEX('Game Records'!$N:$N,$H89))),NOT(_xlfn.ISFORMULA(INDEX('Game Records'!$O:$O,$H89))),NOT(_xlfn.ISFORMULA(INDEX('Game Records'!$P:$P,$H89))),NOT(_xlfn.ISFORMULA(INDEX('Game Records'!$Q:$Q,$H89))),NOT(_xlfn.ISFORMULA(INDEX('Game Records'!$R:$R,$H89))),NOT(_xlfn.ISFORMULA(INDEX('Game Records'!$S:$S,$H89))),NOT(_xlfn.ISFORMULA(INDEX('Game Records'!$T:$T,$H89))),NOT(_xlfn.ISFORMULA(INDEX('Game Records'!$U:$U,$H89))),NOT(_xlfn.ISFORMULA(INDEX('Game Records'!$V:$V,$H89))),NOT(_xlfn.ISFORMULA(INDEX('Game Records'!$W:$W,$H89))),NOT(_xlfn.ISFORMULA(INDEX('Game Records'!$X:$X,$H89))),NOT(_xlfn.ISFORMULA(INDEX('Game Records'!$Y:$Y,$H89))),NOT(_xlfn.ISFORMULA(INDEX('Game Records'!$Z:$Z,$H89)))),"","")&amp;IF(INDEX('Game Records'!$B:$B,$H89)="","Start Date; ","")&amp;IF(INDEX('Game Records'!$C:$C,$H89)="","End Date; ","")&amp;IF(AND(INDEX('Game Records'!$U:$U,$H89)&lt;&gt;"Subscription",INDEX('Game Records'!$U:$U,$H89)&lt;&gt;"Free Game",INDEX('Game Records'!$U:$U,$H89)&lt;&gt;"Disqualified — Free Game",OR(INDEX('Game Records'!$D:$D,$H89)="",LOWER(INDEX('Game Records'!$D:$D,$H89)&amp;"")="n/a")),"Entry Mode; ","")&amp;IF(AND(INDEX('Game Records'!$U:$U,$H89)&lt;&gt;"Subscription",INDEX('Game Records'!$U:$U,$H89)&lt;&gt;"Free Game",INDEX('Game Records'!$U:$U,$H89)&lt;&gt;"Disqualified — Free Game",OR(INDEX('Game Records'!$E:$E,$H89)="",LOWER(INDEX('Game Records'!$E:$E,$H89)&amp;"")="n/a")),"Game Type; ","")&amp;IF(INDEX('Game Records'!$F:$F,$H89)="","Payment Type; ","")&amp;IF(AND(INDEX('Game Records'!$U:$U,$H89)&lt;&gt;"Subscription",INDEX('Game Records'!$U:$U,$H89)&lt;&gt;"Free Game",INDEX('Game Records'!$U:$U,$H89)&lt;&gt;"Disqualified — Free Game",INDEX('Game Records'!$G:$G,$H89)=""),"Gross Pot; ","")&amp;IF(AND(INDEX('Game Records'!$U:$U,$H89)&lt;&gt;"Free Game",INDEX('Game Records'!$U:$U,$H89)&lt;&gt;"Disqualified — Free Game",INDEX('Game Records'!$H:$H,$H89)=""),"Entry Fee; ","")&amp;IF(AND(INDEX('Game Records'!$U:$U,$H89)&lt;&gt;"Subscription",INDEX('Game Records'!$U:$U,$H89)&lt;&gt;"Free Game",INDEX('Game Records'!$U:$U,$H89)&lt;&gt;"Disqualified — Free Game",INDEX('Game Records'!$I:$I,$H89)=""),"Eligible Players; ","")&amp;IF(AND(INDEX('Game Records'!$U:$U,$H89)&lt;&gt;"Subscription",INDEX('Game Records'!$U:$U,$H89)&lt;&gt;"Free Game",INDEX('Game Records'!$U:$U,$H89)&lt;&gt;"Disqualified — Free Game",INDEX('Game Records'!$J:$J,$H89)=""),"Total Players; ","")&amp;IF(AND(LOWER(INDEX('Game Records'!$D:$D,$H89)&amp;"")="finalized",LOWER(INDEX('Game Records'!$L:$L,$H89)&amp;"")&lt;&gt;"yes",INDEX('Game Records'!$U:$U,$H89)&lt;&gt;"Subscription",INDEX('Game Records'!$U:$U,$H89)&lt;&gt;"Free Game",INDEX('Game Records'!$U:$U,$H89)&lt;&gt;"Disqualified — Free Game",INDEX('Game Records'!$K:$K,$H89)=""),"Final Payout; ","")&amp;IF(AND(LOWER(INDEX('Game Records'!$D:$D,$H89)&amp;"")="finalized",INDEX('Game Records'!$U:$U,$H89)&lt;&gt;"Subscription",INDEX('Game Records'!$U:$U,$H89)&lt;&gt;"Free Game",INDEX('Game Records'!$U:$U,$H89)&lt;&gt;"Disqualified — Free Game",OR(INDEX('Game Records'!$L:$L,$H89)="",LOWER(INDEX('Game Records'!$L:$L,$H89)&amp;"")="n/a")),"Disqualified Status; ",""))</f>
        <v/>
      </c>
      <c r="G89" s="23" t="str">
        <f t="array" ref="G89">IF($H89="","",IFERROR(INDEX('Game Records'!$M:$M,$H89),""))</f>
        <v/>
      </c>
      <c r="H89" s="3"/>
      <c r="I89" s="3"/>
      <c r="J89" s="3"/>
    </row>
    <row r="90" ht="24.0" customHeight="1">
      <c r="A90" s="18" t="str">
        <f t="shared" si="1"/>
        <v/>
      </c>
      <c r="B90" s="18" t="str">
        <f t="shared" si="2"/>
        <v/>
      </c>
      <c r="C90" s="23" t="str">
        <f t="array" ref="C90">IF($H90="","",IFERROR(INDEX('Game Records'!$A:$A,$H90),""))</f>
        <v/>
      </c>
      <c r="D90" s="23" t="str">
        <f t="array" ref="D90">IF($H90="","",IFERROR(INDEX('Game Records'!$U:$U,$H90),""))</f>
        <v/>
      </c>
      <c r="E90" s="23" t="str">
        <f t="array" ref="E90">IF($H90="","",LET(r,$H90,mode,LOWER(INDEX('Game Records'!$D:$D,r)&amp;""),endDate,INDEX('Game Records'!$C:$C,r),IF(mode="estimate",IF(endDate="","Estimate — End Date missing",IF(NOT(ISNUMBER(endDate)),"Estimate — Check End Date",IF(INT(endDate)&gt;=TODAY(),"In Progress — ends "&amp;TEXT(endDate,"mmm d, yyyy"),"Ready to Finalize"))),IF($F90="","No Highlighted Fields","Highlighted Fields Present"))))</f>
        <v/>
      </c>
      <c r="F90" s="23" t="str">
        <f t="array" ref="F90">IF($H90="","",IF(OR(NOT(_xlfn.ISFORMULA(INDEX('Game Records'!$N:$N,$H90))),NOT(_xlfn.ISFORMULA(INDEX('Game Records'!$O:$O,$H90))),NOT(_xlfn.ISFORMULA(INDEX('Game Records'!$P:$P,$H90))),NOT(_xlfn.ISFORMULA(INDEX('Game Records'!$Q:$Q,$H90))),NOT(_xlfn.ISFORMULA(INDEX('Game Records'!$R:$R,$H90))),NOT(_xlfn.ISFORMULA(INDEX('Game Records'!$S:$S,$H90))),NOT(_xlfn.ISFORMULA(INDEX('Game Records'!$T:$T,$H90))),NOT(_xlfn.ISFORMULA(INDEX('Game Records'!$U:$U,$H90))),NOT(_xlfn.ISFORMULA(INDEX('Game Records'!$V:$V,$H90))),NOT(_xlfn.ISFORMULA(INDEX('Game Records'!$W:$W,$H90))),NOT(_xlfn.ISFORMULA(INDEX('Game Records'!$X:$X,$H90))),NOT(_xlfn.ISFORMULA(INDEX('Game Records'!$Y:$Y,$H90))),NOT(_xlfn.ISFORMULA(INDEX('Game Records'!$Z:$Z,$H90)))),"","")&amp;IF(INDEX('Game Records'!$B:$B,$H90)="","Start Date; ","")&amp;IF(INDEX('Game Records'!$C:$C,$H90)="","End Date; ","")&amp;IF(AND(INDEX('Game Records'!$U:$U,$H90)&lt;&gt;"Subscription",INDEX('Game Records'!$U:$U,$H90)&lt;&gt;"Free Game",INDEX('Game Records'!$U:$U,$H90)&lt;&gt;"Disqualified — Free Game",OR(INDEX('Game Records'!$D:$D,$H90)="",LOWER(INDEX('Game Records'!$D:$D,$H90)&amp;"")="n/a")),"Entry Mode; ","")&amp;IF(AND(INDEX('Game Records'!$U:$U,$H90)&lt;&gt;"Subscription",INDEX('Game Records'!$U:$U,$H90)&lt;&gt;"Free Game",INDEX('Game Records'!$U:$U,$H90)&lt;&gt;"Disqualified — Free Game",OR(INDEX('Game Records'!$E:$E,$H90)="",LOWER(INDEX('Game Records'!$E:$E,$H90)&amp;"")="n/a")),"Game Type; ","")&amp;IF(INDEX('Game Records'!$F:$F,$H90)="","Payment Type; ","")&amp;IF(AND(INDEX('Game Records'!$U:$U,$H90)&lt;&gt;"Subscription",INDEX('Game Records'!$U:$U,$H90)&lt;&gt;"Free Game",INDEX('Game Records'!$U:$U,$H90)&lt;&gt;"Disqualified — Free Game",INDEX('Game Records'!$G:$G,$H90)=""),"Gross Pot; ","")&amp;IF(AND(INDEX('Game Records'!$U:$U,$H90)&lt;&gt;"Free Game",INDEX('Game Records'!$U:$U,$H90)&lt;&gt;"Disqualified — Free Game",INDEX('Game Records'!$H:$H,$H90)=""),"Entry Fee; ","")&amp;IF(AND(INDEX('Game Records'!$U:$U,$H90)&lt;&gt;"Subscription",INDEX('Game Records'!$U:$U,$H90)&lt;&gt;"Free Game",INDEX('Game Records'!$U:$U,$H90)&lt;&gt;"Disqualified — Free Game",INDEX('Game Records'!$I:$I,$H90)=""),"Eligible Players; ","")&amp;IF(AND(INDEX('Game Records'!$U:$U,$H90)&lt;&gt;"Subscription",INDEX('Game Records'!$U:$U,$H90)&lt;&gt;"Free Game",INDEX('Game Records'!$U:$U,$H90)&lt;&gt;"Disqualified — Free Game",INDEX('Game Records'!$J:$J,$H90)=""),"Total Players; ","")&amp;IF(AND(LOWER(INDEX('Game Records'!$D:$D,$H90)&amp;"")="finalized",LOWER(INDEX('Game Records'!$L:$L,$H90)&amp;"")&lt;&gt;"yes",INDEX('Game Records'!$U:$U,$H90)&lt;&gt;"Subscription",INDEX('Game Records'!$U:$U,$H90)&lt;&gt;"Free Game",INDEX('Game Records'!$U:$U,$H90)&lt;&gt;"Disqualified — Free Game",INDEX('Game Records'!$K:$K,$H90)=""),"Final Payout; ","")&amp;IF(AND(LOWER(INDEX('Game Records'!$D:$D,$H90)&amp;"")="finalized",INDEX('Game Records'!$U:$U,$H90)&lt;&gt;"Subscription",INDEX('Game Records'!$U:$U,$H90)&lt;&gt;"Free Game",INDEX('Game Records'!$U:$U,$H90)&lt;&gt;"Disqualified — Free Game",OR(INDEX('Game Records'!$L:$L,$H90)="",LOWER(INDEX('Game Records'!$L:$L,$H90)&amp;"")="n/a")),"Disqualified Status; ",""))</f>
        <v/>
      </c>
      <c r="G90" s="23" t="str">
        <f t="array" ref="G90">IF($H90="","",IFERROR(INDEX('Game Records'!$M:$M,$H90),""))</f>
        <v/>
      </c>
      <c r="H90" s="3"/>
      <c r="I90" s="3"/>
      <c r="J90" s="3"/>
    </row>
    <row r="91" ht="24.0" customHeight="1">
      <c r="A91" s="18" t="str">
        <f t="shared" si="1"/>
        <v/>
      </c>
      <c r="B91" s="18" t="str">
        <f t="shared" si="2"/>
        <v/>
      </c>
      <c r="C91" s="23" t="str">
        <f t="array" ref="C91">IF($H91="","",IFERROR(INDEX('Game Records'!$A:$A,$H91),""))</f>
        <v/>
      </c>
      <c r="D91" s="23" t="str">
        <f t="array" ref="D91">IF($H91="","",IFERROR(INDEX('Game Records'!$U:$U,$H91),""))</f>
        <v/>
      </c>
      <c r="E91" s="23" t="str">
        <f t="array" ref="E91">IF($H91="","",LET(r,$H91,mode,LOWER(INDEX('Game Records'!$D:$D,r)&amp;""),endDate,INDEX('Game Records'!$C:$C,r),IF(mode="estimate",IF(endDate="","Estimate — End Date missing",IF(NOT(ISNUMBER(endDate)),"Estimate — Check End Date",IF(INT(endDate)&gt;=TODAY(),"In Progress — ends "&amp;TEXT(endDate,"mmm d, yyyy"),"Ready to Finalize"))),IF($F91="","No Highlighted Fields","Highlighted Fields Present"))))</f>
        <v/>
      </c>
      <c r="F91" s="23" t="str">
        <f t="array" ref="F91">IF($H91="","",IF(OR(NOT(_xlfn.ISFORMULA(INDEX('Game Records'!$N:$N,$H91))),NOT(_xlfn.ISFORMULA(INDEX('Game Records'!$O:$O,$H91))),NOT(_xlfn.ISFORMULA(INDEX('Game Records'!$P:$P,$H91))),NOT(_xlfn.ISFORMULA(INDEX('Game Records'!$Q:$Q,$H91))),NOT(_xlfn.ISFORMULA(INDEX('Game Records'!$R:$R,$H91))),NOT(_xlfn.ISFORMULA(INDEX('Game Records'!$S:$S,$H91))),NOT(_xlfn.ISFORMULA(INDEX('Game Records'!$T:$T,$H91))),NOT(_xlfn.ISFORMULA(INDEX('Game Records'!$U:$U,$H91))),NOT(_xlfn.ISFORMULA(INDEX('Game Records'!$V:$V,$H91))),NOT(_xlfn.ISFORMULA(INDEX('Game Records'!$W:$W,$H91))),NOT(_xlfn.ISFORMULA(INDEX('Game Records'!$X:$X,$H91))),NOT(_xlfn.ISFORMULA(INDEX('Game Records'!$Y:$Y,$H91))),NOT(_xlfn.ISFORMULA(INDEX('Game Records'!$Z:$Z,$H91)))),"","")&amp;IF(INDEX('Game Records'!$B:$B,$H91)="","Start Date; ","")&amp;IF(INDEX('Game Records'!$C:$C,$H91)="","End Date; ","")&amp;IF(AND(INDEX('Game Records'!$U:$U,$H91)&lt;&gt;"Subscription",INDEX('Game Records'!$U:$U,$H91)&lt;&gt;"Free Game",INDEX('Game Records'!$U:$U,$H91)&lt;&gt;"Disqualified — Free Game",OR(INDEX('Game Records'!$D:$D,$H91)="",LOWER(INDEX('Game Records'!$D:$D,$H91)&amp;"")="n/a")),"Entry Mode; ","")&amp;IF(AND(INDEX('Game Records'!$U:$U,$H91)&lt;&gt;"Subscription",INDEX('Game Records'!$U:$U,$H91)&lt;&gt;"Free Game",INDEX('Game Records'!$U:$U,$H91)&lt;&gt;"Disqualified — Free Game",OR(INDEX('Game Records'!$E:$E,$H91)="",LOWER(INDEX('Game Records'!$E:$E,$H91)&amp;"")="n/a")),"Game Type; ","")&amp;IF(INDEX('Game Records'!$F:$F,$H91)="","Payment Type; ","")&amp;IF(AND(INDEX('Game Records'!$U:$U,$H91)&lt;&gt;"Subscription",INDEX('Game Records'!$U:$U,$H91)&lt;&gt;"Free Game",INDEX('Game Records'!$U:$U,$H91)&lt;&gt;"Disqualified — Free Game",INDEX('Game Records'!$G:$G,$H91)=""),"Gross Pot; ","")&amp;IF(AND(INDEX('Game Records'!$U:$U,$H91)&lt;&gt;"Free Game",INDEX('Game Records'!$U:$U,$H91)&lt;&gt;"Disqualified — Free Game",INDEX('Game Records'!$H:$H,$H91)=""),"Entry Fee; ","")&amp;IF(AND(INDEX('Game Records'!$U:$U,$H91)&lt;&gt;"Subscription",INDEX('Game Records'!$U:$U,$H91)&lt;&gt;"Free Game",INDEX('Game Records'!$U:$U,$H91)&lt;&gt;"Disqualified — Free Game",INDEX('Game Records'!$I:$I,$H91)=""),"Eligible Players; ","")&amp;IF(AND(INDEX('Game Records'!$U:$U,$H91)&lt;&gt;"Subscription",INDEX('Game Records'!$U:$U,$H91)&lt;&gt;"Free Game",INDEX('Game Records'!$U:$U,$H91)&lt;&gt;"Disqualified — Free Game",INDEX('Game Records'!$J:$J,$H91)=""),"Total Players; ","")&amp;IF(AND(LOWER(INDEX('Game Records'!$D:$D,$H91)&amp;"")="finalized",LOWER(INDEX('Game Records'!$L:$L,$H91)&amp;"")&lt;&gt;"yes",INDEX('Game Records'!$U:$U,$H91)&lt;&gt;"Subscription",INDEX('Game Records'!$U:$U,$H91)&lt;&gt;"Free Game",INDEX('Game Records'!$U:$U,$H91)&lt;&gt;"Disqualified — Free Game",INDEX('Game Records'!$K:$K,$H91)=""),"Final Payout; ","")&amp;IF(AND(LOWER(INDEX('Game Records'!$D:$D,$H91)&amp;"")="finalized",INDEX('Game Records'!$U:$U,$H91)&lt;&gt;"Subscription",INDEX('Game Records'!$U:$U,$H91)&lt;&gt;"Free Game",INDEX('Game Records'!$U:$U,$H91)&lt;&gt;"Disqualified — Free Game",OR(INDEX('Game Records'!$L:$L,$H91)="",LOWER(INDEX('Game Records'!$L:$L,$H91)&amp;"")="n/a")),"Disqualified Status; ",""))</f>
        <v/>
      </c>
      <c r="G91" s="23" t="str">
        <f t="array" ref="G91">IF($H91="","",IFERROR(INDEX('Game Records'!$M:$M,$H91),""))</f>
        <v/>
      </c>
      <c r="H91" s="3"/>
      <c r="I91" s="3"/>
      <c r="J91" s="3"/>
    </row>
    <row r="92" ht="24.0" customHeight="1">
      <c r="A92" s="18" t="str">
        <f t="shared" si="1"/>
        <v/>
      </c>
      <c r="B92" s="18" t="str">
        <f t="shared" si="2"/>
        <v/>
      </c>
      <c r="C92" s="23" t="str">
        <f t="array" ref="C92">IF($H92="","",IFERROR(INDEX('Game Records'!$A:$A,$H92),""))</f>
        <v/>
      </c>
      <c r="D92" s="23" t="str">
        <f t="array" ref="D92">IF($H92="","",IFERROR(INDEX('Game Records'!$U:$U,$H92),""))</f>
        <v/>
      </c>
      <c r="E92" s="23" t="str">
        <f t="array" ref="E92">IF($H92="","",LET(r,$H92,mode,LOWER(INDEX('Game Records'!$D:$D,r)&amp;""),endDate,INDEX('Game Records'!$C:$C,r),IF(mode="estimate",IF(endDate="","Estimate — End Date missing",IF(NOT(ISNUMBER(endDate)),"Estimate — Check End Date",IF(INT(endDate)&gt;=TODAY(),"In Progress — ends "&amp;TEXT(endDate,"mmm d, yyyy"),"Ready to Finalize"))),IF($F92="","No Highlighted Fields","Highlighted Fields Present"))))</f>
        <v/>
      </c>
      <c r="F92" s="23" t="str">
        <f t="array" ref="F92">IF($H92="","",IF(OR(NOT(_xlfn.ISFORMULA(INDEX('Game Records'!$N:$N,$H92))),NOT(_xlfn.ISFORMULA(INDEX('Game Records'!$O:$O,$H92))),NOT(_xlfn.ISFORMULA(INDEX('Game Records'!$P:$P,$H92))),NOT(_xlfn.ISFORMULA(INDEX('Game Records'!$Q:$Q,$H92))),NOT(_xlfn.ISFORMULA(INDEX('Game Records'!$R:$R,$H92))),NOT(_xlfn.ISFORMULA(INDEX('Game Records'!$S:$S,$H92))),NOT(_xlfn.ISFORMULA(INDEX('Game Records'!$T:$T,$H92))),NOT(_xlfn.ISFORMULA(INDEX('Game Records'!$U:$U,$H92))),NOT(_xlfn.ISFORMULA(INDEX('Game Records'!$V:$V,$H92))),NOT(_xlfn.ISFORMULA(INDEX('Game Records'!$W:$W,$H92))),NOT(_xlfn.ISFORMULA(INDEX('Game Records'!$X:$X,$H92))),NOT(_xlfn.ISFORMULA(INDEX('Game Records'!$Y:$Y,$H92))),NOT(_xlfn.ISFORMULA(INDEX('Game Records'!$Z:$Z,$H92)))),"","")&amp;IF(INDEX('Game Records'!$B:$B,$H92)="","Start Date; ","")&amp;IF(INDEX('Game Records'!$C:$C,$H92)="","End Date; ","")&amp;IF(AND(INDEX('Game Records'!$U:$U,$H92)&lt;&gt;"Subscription",INDEX('Game Records'!$U:$U,$H92)&lt;&gt;"Free Game",INDEX('Game Records'!$U:$U,$H92)&lt;&gt;"Disqualified — Free Game",OR(INDEX('Game Records'!$D:$D,$H92)="",LOWER(INDEX('Game Records'!$D:$D,$H92)&amp;"")="n/a")),"Entry Mode; ","")&amp;IF(AND(INDEX('Game Records'!$U:$U,$H92)&lt;&gt;"Subscription",INDEX('Game Records'!$U:$U,$H92)&lt;&gt;"Free Game",INDEX('Game Records'!$U:$U,$H92)&lt;&gt;"Disqualified — Free Game",OR(INDEX('Game Records'!$E:$E,$H92)="",LOWER(INDEX('Game Records'!$E:$E,$H92)&amp;"")="n/a")),"Game Type; ","")&amp;IF(INDEX('Game Records'!$F:$F,$H92)="","Payment Type; ","")&amp;IF(AND(INDEX('Game Records'!$U:$U,$H92)&lt;&gt;"Subscription",INDEX('Game Records'!$U:$U,$H92)&lt;&gt;"Free Game",INDEX('Game Records'!$U:$U,$H92)&lt;&gt;"Disqualified — Free Game",INDEX('Game Records'!$G:$G,$H92)=""),"Gross Pot; ","")&amp;IF(AND(INDEX('Game Records'!$U:$U,$H92)&lt;&gt;"Free Game",INDEX('Game Records'!$U:$U,$H92)&lt;&gt;"Disqualified — Free Game",INDEX('Game Records'!$H:$H,$H92)=""),"Entry Fee; ","")&amp;IF(AND(INDEX('Game Records'!$U:$U,$H92)&lt;&gt;"Subscription",INDEX('Game Records'!$U:$U,$H92)&lt;&gt;"Free Game",INDEX('Game Records'!$U:$U,$H92)&lt;&gt;"Disqualified — Free Game",INDEX('Game Records'!$I:$I,$H92)=""),"Eligible Players; ","")&amp;IF(AND(INDEX('Game Records'!$U:$U,$H92)&lt;&gt;"Subscription",INDEX('Game Records'!$U:$U,$H92)&lt;&gt;"Free Game",INDEX('Game Records'!$U:$U,$H92)&lt;&gt;"Disqualified — Free Game",INDEX('Game Records'!$J:$J,$H92)=""),"Total Players; ","")&amp;IF(AND(LOWER(INDEX('Game Records'!$D:$D,$H92)&amp;"")="finalized",LOWER(INDEX('Game Records'!$L:$L,$H92)&amp;"")&lt;&gt;"yes",INDEX('Game Records'!$U:$U,$H92)&lt;&gt;"Subscription",INDEX('Game Records'!$U:$U,$H92)&lt;&gt;"Free Game",INDEX('Game Records'!$U:$U,$H92)&lt;&gt;"Disqualified — Free Game",INDEX('Game Records'!$K:$K,$H92)=""),"Final Payout; ","")&amp;IF(AND(LOWER(INDEX('Game Records'!$D:$D,$H92)&amp;"")="finalized",INDEX('Game Records'!$U:$U,$H92)&lt;&gt;"Subscription",INDEX('Game Records'!$U:$U,$H92)&lt;&gt;"Free Game",INDEX('Game Records'!$U:$U,$H92)&lt;&gt;"Disqualified — Free Game",OR(INDEX('Game Records'!$L:$L,$H92)="",LOWER(INDEX('Game Records'!$L:$L,$H92)&amp;"")="n/a")),"Disqualified Status; ",""))</f>
        <v/>
      </c>
      <c r="G92" s="23" t="str">
        <f t="array" ref="G92">IF($H92="","",IFERROR(INDEX('Game Records'!$M:$M,$H92),""))</f>
        <v/>
      </c>
      <c r="H92" s="3"/>
      <c r="I92" s="3"/>
      <c r="J92" s="3"/>
    </row>
    <row r="93" ht="24.0" customHeight="1">
      <c r="A93" s="18" t="str">
        <f t="shared" si="1"/>
        <v/>
      </c>
      <c r="B93" s="18" t="str">
        <f t="shared" si="2"/>
        <v/>
      </c>
      <c r="C93" s="23" t="str">
        <f t="array" ref="C93">IF($H93="","",IFERROR(INDEX('Game Records'!$A:$A,$H93),""))</f>
        <v/>
      </c>
      <c r="D93" s="23" t="str">
        <f t="array" ref="D93">IF($H93="","",IFERROR(INDEX('Game Records'!$U:$U,$H93),""))</f>
        <v/>
      </c>
      <c r="E93" s="23" t="str">
        <f t="array" ref="E93">IF($H93="","",LET(r,$H93,mode,LOWER(INDEX('Game Records'!$D:$D,r)&amp;""),endDate,INDEX('Game Records'!$C:$C,r),IF(mode="estimate",IF(endDate="","Estimate — End Date missing",IF(NOT(ISNUMBER(endDate)),"Estimate — Check End Date",IF(INT(endDate)&gt;=TODAY(),"In Progress — ends "&amp;TEXT(endDate,"mmm d, yyyy"),"Ready to Finalize"))),IF($F93="","No Highlighted Fields","Highlighted Fields Present"))))</f>
        <v/>
      </c>
      <c r="F93" s="23" t="str">
        <f t="array" ref="F93">IF($H93="","",IF(OR(NOT(_xlfn.ISFORMULA(INDEX('Game Records'!$N:$N,$H93))),NOT(_xlfn.ISFORMULA(INDEX('Game Records'!$O:$O,$H93))),NOT(_xlfn.ISFORMULA(INDEX('Game Records'!$P:$P,$H93))),NOT(_xlfn.ISFORMULA(INDEX('Game Records'!$Q:$Q,$H93))),NOT(_xlfn.ISFORMULA(INDEX('Game Records'!$R:$R,$H93))),NOT(_xlfn.ISFORMULA(INDEX('Game Records'!$S:$S,$H93))),NOT(_xlfn.ISFORMULA(INDEX('Game Records'!$T:$T,$H93))),NOT(_xlfn.ISFORMULA(INDEX('Game Records'!$U:$U,$H93))),NOT(_xlfn.ISFORMULA(INDEX('Game Records'!$V:$V,$H93))),NOT(_xlfn.ISFORMULA(INDEX('Game Records'!$W:$W,$H93))),NOT(_xlfn.ISFORMULA(INDEX('Game Records'!$X:$X,$H93))),NOT(_xlfn.ISFORMULA(INDEX('Game Records'!$Y:$Y,$H93))),NOT(_xlfn.ISFORMULA(INDEX('Game Records'!$Z:$Z,$H93)))),"","")&amp;IF(INDEX('Game Records'!$B:$B,$H93)="","Start Date; ","")&amp;IF(INDEX('Game Records'!$C:$C,$H93)="","End Date; ","")&amp;IF(AND(INDEX('Game Records'!$U:$U,$H93)&lt;&gt;"Subscription",INDEX('Game Records'!$U:$U,$H93)&lt;&gt;"Free Game",INDEX('Game Records'!$U:$U,$H93)&lt;&gt;"Disqualified — Free Game",OR(INDEX('Game Records'!$D:$D,$H93)="",LOWER(INDEX('Game Records'!$D:$D,$H93)&amp;"")="n/a")),"Entry Mode; ","")&amp;IF(AND(INDEX('Game Records'!$U:$U,$H93)&lt;&gt;"Subscription",INDEX('Game Records'!$U:$U,$H93)&lt;&gt;"Free Game",INDEX('Game Records'!$U:$U,$H93)&lt;&gt;"Disqualified — Free Game",OR(INDEX('Game Records'!$E:$E,$H93)="",LOWER(INDEX('Game Records'!$E:$E,$H93)&amp;"")="n/a")),"Game Type; ","")&amp;IF(INDEX('Game Records'!$F:$F,$H93)="","Payment Type; ","")&amp;IF(AND(INDEX('Game Records'!$U:$U,$H93)&lt;&gt;"Subscription",INDEX('Game Records'!$U:$U,$H93)&lt;&gt;"Free Game",INDEX('Game Records'!$U:$U,$H93)&lt;&gt;"Disqualified — Free Game",INDEX('Game Records'!$G:$G,$H93)=""),"Gross Pot; ","")&amp;IF(AND(INDEX('Game Records'!$U:$U,$H93)&lt;&gt;"Free Game",INDEX('Game Records'!$U:$U,$H93)&lt;&gt;"Disqualified — Free Game",INDEX('Game Records'!$H:$H,$H93)=""),"Entry Fee; ","")&amp;IF(AND(INDEX('Game Records'!$U:$U,$H93)&lt;&gt;"Subscription",INDEX('Game Records'!$U:$U,$H93)&lt;&gt;"Free Game",INDEX('Game Records'!$U:$U,$H93)&lt;&gt;"Disqualified — Free Game",INDEX('Game Records'!$I:$I,$H93)=""),"Eligible Players; ","")&amp;IF(AND(INDEX('Game Records'!$U:$U,$H93)&lt;&gt;"Subscription",INDEX('Game Records'!$U:$U,$H93)&lt;&gt;"Free Game",INDEX('Game Records'!$U:$U,$H93)&lt;&gt;"Disqualified — Free Game",INDEX('Game Records'!$J:$J,$H93)=""),"Total Players; ","")&amp;IF(AND(LOWER(INDEX('Game Records'!$D:$D,$H93)&amp;"")="finalized",LOWER(INDEX('Game Records'!$L:$L,$H93)&amp;"")&lt;&gt;"yes",INDEX('Game Records'!$U:$U,$H93)&lt;&gt;"Subscription",INDEX('Game Records'!$U:$U,$H93)&lt;&gt;"Free Game",INDEX('Game Records'!$U:$U,$H93)&lt;&gt;"Disqualified — Free Game",INDEX('Game Records'!$K:$K,$H93)=""),"Final Payout; ","")&amp;IF(AND(LOWER(INDEX('Game Records'!$D:$D,$H93)&amp;"")="finalized",INDEX('Game Records'!$U:$U,$H93)&lt;&gt;"Subscription",INDEX('Game Records'!$U:$U,$H93)&lt;&gt;"Free Game",INDEX('Game Records'!$U:$U,$H93)&lt;&gt;"Disqualified — Free Game",OR(INDEX('Game Records'!$L:$L,$H93)="",LOWER(INDEX('Game Records'!$L:$L,$H93)&amp;"")="n/a")),"Disqualified Status; ",""))</f>
        <v/>
      </c>
      <c r="G93" s="23" t="str">
        <f t="array" ref="G93">IF($H93="","",IFERROR(INDEX('Game Records'!$M:$M,$H93),""))</f>
        <v/>
      </c>
      <c r="H93" s="3"/>
      <c r="I93" s="3"/>
      <c r="J93" s="3"/>
    </row>
    <row r="94" ht="24.0" customHeight="1">
      <c r="A94" s="18" t="str">
        <f t="shared" si="1"/>
        <v/>
      </c>
      <c r="B94" s="18" t="str">
        <f t="shared" si="2"/>
        <v/>
      </c>
      <c r="C94" s="23" t="str">
        <f t="array" ref="C94">IF($H94="","",IFERROR(INDEX('Game Records'!$A:$A,$H94),""))</f>
        <v/>
      </c>
      <c r="D94" s="23" t="str">
        <f t="array" ref="D94">IF($H94="","",IFERROR(INDEX('Game Records'!$U:$U,$H94),""))</f>
        <v/>
      </c>
      <c r="E94" s="23" t="str">
        <f t="array" ref="E94">IF($H94="","",LET(r,$H94,mode,LOWER(INDEX('Game Records'!$D:$D,r)&amp;""),endDate,INDEX('Game Records'!$C:$C,r),IF(mode="estimate",IF(endDate="","Estimate — End Date missing",IF(NOT(ISNUMBER(endDate)),"Estimate — Check End Date",IF(INT(endDate)&gt;=TODAY(),"In Progress — ends "&amp;TEXT(endDate,"mmm d, yyyy"),"Ready to Finalize"))),IF($F94="","No Highlighted Fields","Highlighted Fields Present"))))</f>
        <v/>
      </c>
      <c r="F94" s="23" t="str">
        <f t="array" ref="F94">IF($H94="","",IF(OR(NOT(_xlfn.ISFORMULA(INDEX('Game Records'!$N:$N,$H94))),NOT(_xlfn.ISFORMULA(INDEX('Game Records'!$O:$O,$H94))),NOT(_xlfn.ISFORMULA(INDEX('Game Records'!$P:$P,$H94))),NOT(_xlfn.ISFORMULA(INDEX('Game Records'!$Q:$Q,$H94))),NOT(_xlfn.ISFORMULA(INDEX('Game Records'!$R:$R,$H94))),NOT(_xlfn.ISFORMULA(INDEX('Game Records'!$S:$S,$H94))),NOT(_xlfn.ISFORMULA(INDEX('Game Records'!$T:$T,$H94))),NOT(_xlfn.ISFORMULA(INDEX('Game Records'!$U:$U,$H94))),NOT(_xlfn.ISFORMULA(INDEX('Game Records'!$V:$V,$H94))),NOT(_xlfn.ISFORMULA(INDEX('Game Records'!$W:$W,$H94))),NOT(_xlfn.ISFORMULA(INDEX('Game Records'!$X:$X,$H94))),NOT(_xlfn.ISFORMULA(INDEX('Game Records'!$Y:$Y,$H94))),NOT(_xlfn.ISFORMULA(INDEX('Game Records'!$Z:$Z,$H94)))),"","")&amp;IF(INDEX('Game Records'!$B:$B,$H94)="","Start Date; ","")&amp;IF(INDEX('Game Records'!$C:$C,$H94)="","End Date; ","")&amp;IF(AND(INDEX('Game Records'!$U:$U,$H94)&lt;&gt;"Subscription",INDEX('Game Records'!$U:$U,$H94)&lt;&gt;"Free Game",INDEX('Game Records'!$U:$U,$H94)&lt;&gt;"Disqualified — Free Game",OR(INDEX('Game Records'!$D:$D,$H94)="",LOWER(INDEX('Game Records'!$D:$D,$H94)&amp;"")="n/a")),"Entry Mode; ","")&amp;IF(AND(INDEX('Game Records'!$U:$U,$H94)&lt;&gt;"Subscription",INDEX('Game Records'!$U:$U,$H94)&lt;&gt;"Free Game",INDEX('Game Records'!$U:$U,$H94)&lt;&gt;"Disqualified — Free Game",OR(INDEX('Game Records'!$E:$E,$H94)="",LOWER(INDEX('Game Records'!$E:$E,$H94)&amp;"")="n/a")),"Game Type; ","")&amp;IF(INDEX('Game Records'!$F:$F,$H94)="","Payment Type; ","")&amp;IF(AND(INDEX('Game Records'!$U:$U,$H94)&lt;&gt;"Subscription",INDEX('Game Records'!$U:$U,$H94)&lt;&gt;"Free Game",INDEX('Game Records'!$U:$U,$H94)&lt;&gt;"Disqualified — Free Game",INDEX('Game Records'!$G:$G,$H94)=""),"Gross Pot; ","")&amp;IF(AND(INDEX('Game Records'!$U:$U,$H94)&lt;&gt;"Free Game",INDEX('Game Records'!$U:$U,$H94)&lt;&gt;"Disqualified — Free Game",INDEX('Game Records'!$H:$H,$H94)=""),"Entry Fee; ","")&amp;IF(AND(INDEX('Game Records'!$U:$U,$H94)&lt;&gt;"Subscription",INDEX('Game Records'!$U:$U,$H94)&lt;&gt;"Free Game",INDEX('Game Records'!$U:$U,$H94)&lt;&gt;"Disqualified — Free Game",INDEX('Game Records'!$I:$I,$H94)=""),"Eligible Players; ","")&amp;IF(AND(INDEX('Game Records'!$U:$U,$H94)&lt;&gt;"Subscription",INDEX('Game Records'!$U:$U,$H94)&lt;&gt;"Free Game",INDEX('Game Records'!$U:$U,$H94)&lt;&gt;"Disqualified — Free Game",INDEX('Game Records'!$J:$J,$H94)=""),"Total Players; ","")&amp;IF(AND(LOWER(INDEX('Game Records'!$D:$D,$H94)&amp;"")="finalized",LOWER(INDEX('Game Records'!$L:$L,$H94)&amp;"")&lt;&gt;"yes",INDEX('Game Records'!$U:$U,$H94)&lt;&gt;"Subscription",INDEX('Game Records'!$U:$U,$H94)&lt;&gt;"Free Game",INDEX('Game Records'!$U:$U,$H94)&lt;&gt;"Disqualified — Free Game",INDEX('Game Records'!$K:$K,$H94)=""),"Final Payout; ","")&amp;IF(AND(LOWER(INDEX('Game Records'!$D:$D,$H94)&amp;"")="finalized",INDEX('Game Records'!$U:$U,$H94)&lt;&gt;"Subscription",INDEX('Game Records'!$U:$U,$H94)&lt;&gt;"Free Game",INDEX('Game Records'!$U:$U,$H94)&lt;&gt;"Disqualified — Free Game",OR(INDEX('Game Records'!$L:$L,$H94)="",LOWER(INDEX('Game Records'!$L:$L,$H94)&amp;"")="n/a")),"Disqualified Status; ",""))</f>
        <v/>
      </c>
      <c r="G94" s="23" t="str">
        <f t="array" ref="G94">IF($H94="","",IFERROR(INDEX('Game Records'!$M:$M,$H94),""))</f>
        <v/>
      </c>
      <c r="H94" s="3"/>
      <c r="I94" s="3"/>
      <c r="J94" s="3"/>
    </row>
    <row r="95" ht="24.0" customHeight="1">
      <c r="A95" s="18" t="str">
        <f t="shared" si="1"/>
        <v/>
      </c>
      <c r="B95" s="18" t="str">
        <f t="shared" si="2"/>
        <v/>
      </c>
      <c r="C95" s="23" t="str">
        <f t="array" ref="C95">IF($H95="","",IFERROR(INDEX('Game Records'!$A:$A,$H95),""))</f>
        <v/>
      </c>
      <c r="D95" s="23" t="str">
        <f t="array" ref="D95">IF($H95="","",IFERROR(INDEX('Game Records'!$U:$U,$H95),""))</f>
        <v/>
      </c>
      <c r="E95" s="23" t="str">
        <f t="array" ref="E95">IF($H95="","",LET(r,$H95,mode,LOWER(INDEX('Game Records'!$D:$D,r)&amp;""),endDate,INDEX('Game Records'!$C:$C,r),IF(mode="estimate",IF(endDate="","Estimate — End Date missing",IF(NOT(ISNUMBER(endDate)),"Estimate — Check End Date",IF(INT(endDate)&gt;=TODAY(),"In Progress — ends "&amp;TEXT(endDate,"mmm d, yyyy"),"Ready to Finalize"))),IF($F95="","No Highlighted Fields","Highlighted Fields Present"))))</f>
        <v/>
      </c>
      <c r="F95" s="23" t="str">
        <f t="array" ref="F95">IF($H95="","",IF(OR(NOT(_xlfn.ISFORMULA(INDEX('Game Records'!$N:$N,$H95))),NOT(_xlfn.ISFORMULA(INDEX('Game Records'!$O:$O,$H95))),NOT(_xlfn.ISFORMULA(INDEX('Game Records'!$P:$P,$H95))),NOT(_xlfn.ISFORMULA(INDEX('Game Records'!$Q:$Q,$H95))),NOT(_xlfn.ISFORMULA(INDEX('Game Records'!$R:$R,$H95))),NOT(_xlfn.ISFORMULA(INDEX('Game Records'!$S:$S,$H95))),NOT(_xlfn.ISFORMULA(INDEX('Game Records'!$T:$T,$H95))),NOT(_xlfn.ISFORMULA(INDEX('Game Records'!$U:$U,$H95))),NOT(_xlfn.ISFORMULA(INDEX('Game Records'!$V:$V,$H95))),NOT(_xlfn.ISFORMULA(INDEX('Game Records'!$W:$W,$H95))),NOT(_xlfn.ISFORMULA(INDEX('Game Records'!$X:$X,$H95))),NOT(_xlfn.ISFORMULA(INDEX('Game Records'!$Y:$Y,$H95))),NOT(_xlfn.ISFORMULA(INDEX('Game Records'!$Z:$Z,$H95)))),"","")&amp;IF(INDEX('Game Records'!$B:$B,$H95)="","Start Date; ","")&amp;IF(INDEX('Game Records'!$C:$C,$H95)="","End Date; ","")&amp;IF(AND(INDEX('Game Records'!$U:$U,$H95)&lt;&gt;"Subscription",INDEX('Game Records'!$U:$U,$H95)&lt;&gt;"Free Game",INDEX('Game Records'!$U:$U,$H95)&lt;&gt;"Disqualified — Free Game",OR(INDEX('Game Records'!$D:$D,$H95)="",LOWER(INDEX('Game Records'!$D:$D,$H95)&amp;"")="n/a")),"Entry Mode; ","")&amp;IF(AND(INDEX('Game Records'!$U:$U,$H95)&lt;&gt;"Subscription",INDEX('Game Records'!$U:$U,$H95)&lt;&gt;"Free Game",INDEX('Game Records'!$U:$U,$H95)&lt;&gt;"Disqualified — Free Game",OR(INDEX('Game Records'!$E:$E,$H95)="",LOWER(INDEX('Game Records'!$E:$E,$H95)&amp;"")="n/a")),"Game Type; ","")&amp;IF(INDEX('Game Records'!$F:$F,$H95)="","Payment Type; ","")&amp;IF(AND(INDEX('Game Records'!$U:$U,$H95)&lt;&gt;"Subscription",INDEX('Game Records'!$U:$U,$H95)&lt;&gt;"Free Game",INDEX('Game Records'!$U:$U,$H95)&lt;&gt;"Disqualified — Free Game",INDEX('Game Records'!$G:$G,$H95)=""),"Gross Pot; ","")&amp;IF(AND(INDEX('Game Records'!$U:$U,$H95)&lt;&gt;"Free Game",INDEX('Game Records'!$U:$U,$H95)&lt;&gt;"Disqualified — Free Game",INDEX('Game Records'!$H:$H,$H95)=""),"Entry Fee; ","")&amp;IF(AND(INDEX('Game Records'!$U:$U,$H95)&lt;&gt;"Subscription",INDEX('Game Records'!$U:$U,$H95)&lt;&gt;"Free Game",INDEX('Game Records'!$U:$U,$H95)&lt;&gt;"Disqualified — Free Game",INDEX('Game Records'!$I:$I,$H95)=""),"Eligible Players; ","")&amp;IF(AND(INDEX('Game Records'!$U:$U,$H95)&lt;&gt;"Subscription",INDEX('Game Records'!$U:$U,$H95)&lt;&gt;"Free Game",INDEX('Game Records'!$U:$U,$H95)&lt;&gt;"Disqualified — Free Game",INDEX('Game Records'!$J:$J,$H95)=""),"Total Players; ","")&amp;IF(AND(LOWER(INDEX('Game Records'!$D:$D,$H95)&amp;"")="finalized",LOWER(INDEX('Game Records'!$L:$L,$H95)&amp;"")&lt;&gt;"yes",INDEX('Game Records'!$U:$U,$H95)&lt;&gt;"Subscription",INDEX('Game Records'!$U:$U,$H95)&lt;&gt;"Free Game",INDEX('Game Records'!$U:$U,$H95)&lt;&gt;"Disqualified — Free Game",INDEX('Game Records'!$K:$K,$H95)=""),"Final Payout; ","")&amp;IF(AND(LOWER(INDEX('Game Records'!$D:$D,$H95)&amp;"")="finalized",INDEX('Game Records'!$U:$U,$H95)&lt;&gt;"Subscription",INDEX('Game Records'!$U:$U,$H95)&lt;&gt;"Free Game",INDEX('Game Records'!$U:$U,$H95)&lt;&gt;"Disqualified — Free Game",OR(INDEX('Game Records'!$L:$L,$H95)="",LOWER(INDEX('Game Records'!$L:$L,$H95)&amp;"")="n/a")),"Disqualified Status; ",""))</f>
        <v/>
      </c>
      <c r="G95" s="23" t="str">
        <f t="array" ref="G95">IF($H95="","",IFERROR(INDEX('Game Records'!$M:$M,$H95),""))</f>
        <v/>
      </c>
      <c r="H95" s="3"/>
      <c r="I95" s="3"/>
      <c r="J95" s="3"/>
    </row>
    <row r="96" ht="24.0" customHeight="1">
      <c r="A96" s="18" t="str">
        <f t="shared" si="1"/>
        <v/>
      </c>
      <c r="B96" s="18" t="str">
        <f t="shared" si="2"/>
        <v/>
      </c>
      <c r="C96" s="23" t="str">
        <f t="array" ref="C96">IF($H96="","",IFERROR(INDEX('Game Records'!$A:$A,$H96),""))</f>
        <v/>
      </c>
      <c r="D96" s="23" t="str">
        <f t="array" ref="D96">IF($H96="","",IFERROR(INDEX('Game Records'!$U:$U,$H96),""))</f>
        <v/>
      </c>
      <c r="E96" s="23" t="str">
        <f t="array" ref="E96">IF($H96="","",LET(r,$H96,mode,LOWER(INDEX('Game Records'!$D:$D,r)&amp;""),endDate,INDEX('Game Records'!$C:$C,r),IF(mode="estimate",IF(endDate="","Estimate — End Date missing",IF(NOT(ISNUMBER(endDate)),"Estimate — Check End Date",IF(INT(endDate)&gt;=TODAY(),"In Progress — ends "&amp;TEXT(endDate,"mmm d, yyyy"),"Ready to Finalize"))),IF($F96="","No Highlighted Fields","Highlighted Fields Present"))))</f>
        <v/>
      </c>
      <c r="F96" s="23" t="str">
        <f t="array" ref="F96">IF($H96="","",IF(OR(NOT(_xlfn.ISFORMULA(INDEX('Game Records'!$N:$N,$H96))),NOT(_xlfn.ISFORMULA(INDEX('Game Records'!$O:$O,$H96))),NOT(_xlfn.ISFORMULA(INDEX('Game Records'!$P:$P,$H96))),NOT(_xlfn.ISFORMULA(INDEX('Game Records'!$Q:$Q,$H96))),NOT(_xlfn.ISFORMULA(INDEX('Game Records'!$R:$R,$H96))),NOT(_xlfn.ISFORMULA(INDEX('Game Records'!$S:$S,$H96))),NOT(_xlfn.ISFORMULA(INDEX('Game Records'!$T:$T,$H96))),NOT(_xlfn.ISFORMULA(INDEX('Game Records'!$U:$U,$H96))),NOT(_xlfn.ISFORMULA(INDEX('Game Records'!$V:$V,$H96))),NOT(_xlfn.ISFORMULA(INDEX('Game Records'!$W:$W,$H96))),NOT(_xlfn.ISFORMULA(INDEX('Game Records'!$X:$X,$H96))),NOT(_xlfn.ISFORMULA(INDEX('Game Records'!$Y:$Y,$H96))),NOT(_xlfn.ISFORMULA(INDEX('Game Records'!$Z:$Z,$H96)))),"","")&amp;IF(INDEX('Game Records'!$B:$B,$H96)="","Start Date; ","")&amp;IF(INDEX('Game Records'!$C:$C,$H96)="","End Date; ","")&amp;IF(AND(INDEX('Game Records'!$U:$U,$H96)&lt;&gt;"Subscription",INDEX('Game Records'!$U:$U,$H96)&lt;&gt;"Free Game",INDEX('Game Records'!$U:$U,$H96)&lt;&gt;"Disqualified — Free Game",OR(INDEX('Game Records'!$D:$D,$H96)="",LOWER(INDEX('Game Records'!$D:$D,$H96)&amp;"")="n/a")),"Entry Mode; ","")&amp;IF(AND(INDEX('Game Records'!$U:$U,$H96)&lt;&gt;"Subscription",INDEX('Game Records'!$U:$U,$H96)&lt;&gt;"Free Game",INDEX('Game Records'!$U:$U,$H96)&lt;&gt;"Disqualified — Free Game",OR(INDEX('Game Records'!$E:$E,$H96)="",LOWER(INDEX('Game Records'!$E:$E,$H96)&amp;"")="n/a")),"Game Type; ","")&amp;IF(INDEX('Game Records'!$F:$F,$H96)="","Payment Type; ","")&amp;IF(AND(INDEX('Game Records'!$U:$U,$H96)&lt;&gt;"Subscription",INDEX('Game Records'!$U:$U,$H96)&lt;&gt;"Free Game",INDEX('Game Records'!$U:$U,$H96)&lt;&gt;"Disqualified — Free Game",INDEX('Game Records'!$G:$G,$H96)=""),"Gross Pot; ","")&amp;IF(AND(INDEX('Game Records'!$U:$U,$H96)&lt;&gt;"Free Game",INDEX('Game Records'!$U:$U,$H96)&lt;&gt;"Disqualified — Free Game",INDEX('Game Records'!$H:$H,$H96)=""),"Entry Fee; ","")&amp;IF(AND(INDEX('Game Records'!$U:$U,$H96)&lt;&gt;"Subscription",INDEX('Game Records'!$U:$U,$H96)&lt;&gt;"Free Game",INDEX('Game Records'!$U:$U,$H96)&lt;&gt;"Disqualified — Free Game",INDEX('Game Records'!$I:$I,$H96)=""),"Eligible Players; ","")&amp;IF(AND(INDEX('Game Records'!$U:$U,$H96)&lt;&gt;"Subscription",INDEX('Game Records'!$U:$U,$H96)&lt;&gt;"Free Game",INDEX('Game Records'!$U:$U,$H96)&lt;&gt;"Disqualified — Free Game",INDEX('Game Records'!$J:$J,$H96)=""),"Total Players; ","")&amp;IF(AND(LOWER(INDEX('Game Records'!$D:$D,$H96)&amp;"")="finalized",LOWER(INDEX('Game Records'!$L:$L,$H96)&amp;"")&lt;&gt;"yes",INDEX('Game Records'!$U:$U,$H96)&lt;&gt;"Subscription",INDEX('Game Records'!$U:$U,$H96)&lt;&gt;"Free Game",INDEX('Game Records'!$U:$U,$H96)&lt;&gt;"Disqualified — Free Game",INDEX('Game Records'!$K:$K,$H96)=""),"Final Payout; ","")&amp;IF(AND(LOWER(INDEX('Game Records'!$D:$D,$H96)&amp;"")="finalized",INDEX('Game Records'!$U:$U,$H96)&lt;&gt;"Subscription",INDEX('Game Records'!$U:$U,$H96)&lt;&gt;"Free Game",INDEX('Game Records'!$U:$U,$H96)&lt;&gt;"Disqualified — Free Game",OR(INDEX('Game Records'!$L:$L,$H96)="",LOWER(INDEX('Game Records'!$L:$L,$H96)&amp;"")="n/a")),"Disqualified Status; ",""))</f>
        <v/>
      </c>
      <c r="G96" s="23" t="str">
        <f t="array" ref="G96">IF($H96="","",IFERROR(INDEX('Game Records'!$M:$M,$H96),""))</f>
        <v/>
      </c>
      <c r="H96" s="3"/>
      <c r="I96" s="3"/>
      <c r="J96" s="3"/>
    </row>
    <row r="97" ht="24.0" customHeight="1">
      <c r="A97" s="18" t="str">
        <f t="shared" si="1"/>
        <v/>
      </c>
      <c r="B97" s="18" t="str">
        <f t="shared" si="2"/>
        <v/>
      </c>
      <c r="C97" s="23" t="str">
        <f t="array" ref="C97">IF($H97="","",IFERROR(INDEX('Game Records'!$A:$A,$H97),""))</f>
        <v/>
      </c>
      <c r="D97" s="23" t="str">
        <f t="array" ref="D97">IF($H97="","",IFERROR(INDEX('Game Records'!$U:$U,$H97),""))</f>
        <v/>
      </c>
      <c r="E97" s="23" t="str">
        <f t="array" ref="E97">IF($H97="","",LET(r,$H97,mode,LOWER(INDEX('Game Records'!$D:$D,r)&amp;""),endDate,INDEX('Game Records'!$C:$C,r),IF(mode="estimate",IF(endDate="","Estimate — End Date missing",IF(NOT(ISNUMBER(endDate)),"Estimate — Check End Date",IF(INT(endDate)&gt;=TODAY(),"In Progress — ends "&amp;TEXT(endDate,"mmm d, yyyy"),"Ready to Finalize"))),IF($F97="","No Highlighted Fields","Highlighted Fields Present"))))</f>
        <v/>
      </c>
      <c r="F97" s="23" t="str">
        <f t="array" ref="F97">IF($H97="","",IF(OR(NOT(_xlfn.ISFORMULA(INDEX('Game Records'!$N:$N,$H97))),NOT(_xlfn.ISFORMULA(INDEX('Game Records'!$O:$O,$H97))),NOT(_xlfn.ISFORMULA(INDEX('Game Records'!$P:$P,$H97))),NOT(_xlfn.ISFORMULA(INDEX('Game Records'!$Q:$Q,$H97))),NOT(_xlfn.ISFORMULA(INDEX('Game Records'!$R:$R,$H97))),NOT(_xlfn.ISFORMULA(INDEX('Game Records'!$S:$S,$H97))),NOT(_xlfn.ISFORMULA(INDEX('Game Records'!$T:$T,$H97))),NOT(_xlfn.ISFORMULA(INDEX('Game Records'!$U:$U,$H97))),NOT(_xlfn.ISFORMULA(INDEX('Game Records'!$V:$V,$H97))),NOT(_xlfn.ISFORMULA(INDEX('Game Records'!$W:$W,$H97))),NOT(_xlfn.ISFORMULA(INDEX('Game Records'!$X:$X,$H97))),NOT(_xlfn.ISFORMULA(INDEX('Game Records'!$Y:$Y,$H97))),NOT(_xlfn.ISFORMULA(INDEX('Game Records'!$Z:$Z,$H97)))),"","")&amp;IF(INDEX('Game Records'!$B:$B,$H97)="","Start Date; ","")&amp;IF(INDEX('Game Records'!$C:$C,$H97)="","End Date; ","")&amp;IF(AND(INDEX('Game Records'!$U:$U,$H97)&lt;&gt;"Subscription",INDEX('Game Records'!$U:$U,$H97)&lt;&gt;"Free Game",INDEX('Game Records'!$U:$U,$H97)&lt;&gt;"Disqualified — Free Game",OR(INDEX('Game Records'!$D:$D,$H97)="",LOWER(INDEX('Game Records'!$D:$D,$H97)&amp;"")="n/a")),"Entry Mode; ","")&amp;IF(AND(INDEX('Game Records'!$U:$U,$H97)&lt;&gt;"Subscription",INDEX('Game Records'!$U:$U,$H97)&lt;&gt;"Free Game",INDEX('Game Records'!$U:$U,$H97)&lt;&gt;"Disqualified — Free Game",OR(INDEX('Game Records'!$E:$E,$H97)="",LOWER(INDEX('Game Records'!$E:$E,$H97)&amp;"")="n/a")),"Game Type; ","")&amp;IF(INDEX('Game Records'!$F:$F,$H97)="","Payment Type; ","")&amp;IF(AND(INDEX('Game Records'!$U:$U,$H97)&lt;&gt;"Subscription",INDEX('Game Records'!$U:$U,$H97)&lt;&gt;"Free Game",INDEX('Game Records'!$U:$U,$H97)&lt;&gt;"Disqualified — Free Game",INDEX('Game Records'!$G:$G,$H97)=""),"Gross Pot; ","")&amp;IF(AND(INDEX('Game Records'!$U:$U,$H97)&lt;&gt;"Free Game",INDEX('Game Records'!$U:$U,$H97)&lt;&gt;"Disqualified — Free Game",INDEX('Game Records'!$H:$H,$H97)=""),"Entry Fee; ","")&amp;IF(AND(INDEX('Game Records'!$U:$U,$H97)&lt;&gt;"Subscription",INDEX('Game Records'!$U:$U,$H97)&lt;&gt;"Free Game",INDEX('Game Records'!$U:$U,$H97)&lt;&gt;"Disqualified — Free Game",INDEX('Game Records'!$I:$I,$H97)=""),"Eligible Players; ","")&amp;IF(AND(INDEX('Game Records'!$U:$U,$H97)&lt;&gt;"Subscription",INDEX('Game Records'!$U:$U,$H97)&lt;&gt;"Free Game",INDEX('Game Records'!$U:$U,$H97)&lt;&gt;"Disqualified — Free Game",INDEX('Game Records'!$J:$J,$H97)=""),"Total Players; ","")&amp;IF(AND(LOWER(INDEX('Game Records'!$D:$D,$H97)&amp;"")="finalized",LOWER(INDEX('Game Records'!$L:$L,$H97)&amp;"")&lt;&gt;"yes",INDEX('Game Records'!$U:$U,$H97)&lt;&gt;"Subscription",INDEX('Game Records'!$U:$U,$H97)&lt;&gt;"Free Game",INDEX('Game Records'!$U:$U,$H97)&lt;&gt;"Disqualified — Free Game",INDEX('Game Records'!$K:$K,$H97)=""),"Final Payout; ","")&amp;IF(AND(LOWER(INDEX('Game Records'!$D:$D,$H97)&amp;"")="finalized",INDEX('Game Records'!$U:$U,$H97)&lt;&gt;"Subscription",INDEX('Game Records'!$U:$U,$H97)&lt;&gt;"Free Game",INDEX('Game Records'!$U:$U,$H97)&lt;&gt;"Disqualified — Free Game",OR(INDEX('Game Records'!$L:$L,$H97)="",LOWER(INDEX('Game Records'!$L:$L,$H97)&amp;"")="n/a")),"Disqualified Status; ",""))</f>
        <v/>
      </c>
      <c r="G97" s="23" t="str">
        <f t="array" ref="G97">IF($H97="","",IFERROR(INDEX('Game Records'!$M:$M,$H97),""))</f>
        <v/>
      </c>
      <c r="H97" s="3"/>
      <c r="I97" s="3"/>
      <c r="J97" s="3"/>
    </row>
    <row r="98" ht="24.0" customHeight="1">
      <c r="A98" s="18" t="str">
        <f t="shared" si="1"/>
        <v/>
      </c>
      <c r="B98" s="18" t="str">
        <f t="shared" si="2"/>
        <v/>
      </c>
      <c r="C98" s="23" t="str">
        <f t="array" ref="C98">IF($H98="","",IFERROR(INDEX('Game Records'!$A:$A,$H98),""))</f>
        <v/>
      </c>
      <c r="D98" s="23" t="str">
        <f t="array" ref="D98">IF($H98="","",IFERROR(INDEX('Game Records'!$U:$U,$H98),""))</f>
        <v/>
      </c>
      <c r="E98" s="23" t="str">
        <f t="array" ref="E98">IF($H98="","",LET(r,$H98,mode,LOWER(INDEX('Game Records'!$D:$D,r)&amp;""),endDate,INDEX('Game Records'!$C:$C,r),IF(mode="estimate",IF(endDate="","Estimate — End Date missing",IF(NOT(ISNUMBER(endDate)),"Estimate — Check End Date",IF(INT(endDate)&gt;=TODAY(),"In Progress — ends "&amp;TEXT(endDate,"mmm d, yyyy"),"Ready to Finalize"))),IF($F98="","No Highlighted Fields","Highlighted Fields Present"))))</f>
        <v/>
      </c>
      <c r="F98" s="23" t="str">
        <f t="array" ref="F98">IF($H98="","",IF(OR(NOT(_xlfn.ISFORMULA(INDEX('Game Records'!$N:$N,$H98))),NOT(_xlfn.ISFORMULA(INDEX('Game Records'!$O:$O,$H98))),NOT(_xlfn.ISFORMULA(INDEX('Game Records'!$P:$P,$H98))),NOT(_xlfn.ISFORMULA(INDEX('Game Records'!$Q:$Q,$H98))),NOT(_xlfn.ISFORMULA(INDEX('Game Records'!$R:$R,$H98))),NOT(_xlfn.ISFORMULA(INDEX('Game Records'!$S:$S,$H98))),NOT(_xlfn.ISFORMULA(INDEX('Game Records'!$T:$T,$H98))),NOT(_xlfn.ISFORMULA(INDEX('Game Records'!$U:$U,$H98))),NOT(_xlfn.ISFORMULA(INDEX('Game Records'!$V:$V,$H98))),NOT(_xlfn.ISFORMULA(INDEX('Game Records'!$W:$W,$H98))),NOT(_xlfn.ISFORMULA(INDEX('Game Records'!$X:$X,$H98))),NOT(_xlfn.ISFORMULA(INDEX('Game Records'!$Y:$Y,$H98))),NOT(_xlfn.ISFORMULA(INDEX('Game Records'!$Z:$Z,$H98)))),"","")&amp;IF(INDEX('Game Records'!$B:$B,$H98)="","Start Date; ","")&amp;IF(INDEX('Game Records'!$C:$C,$H98)="","End Date; ","")&amp;IF(AND(INDEX('Game Records'!$U:$U,$H98)&lt;&gt;"Subscription",INDEX('Game Records'!$U:$U,$H98)&lt;&gt;"Free Game",INDEX('Game Records'!$U:$U,$H98)&lt;&gt;"Disqualified — Free Game",OR(INDEX('Game Records'!$D:$D,$H98)="",LOWER(INDEX('Game Records'!$D:$D,$H98)&amp;"")="n/a")),"Entry Mode; ","")&amp;IF(AND(INDEX('Game Records'!$U:$U,$H98)&lt;&gt;"Subscription",INDEX('Game Records'!$U:$U,$H98)&lt;&gt;"Free Game",INDEX('Game Records'!$U:$U,$H98)&lt;&gt;"Disqualified — Free Game",OR(INDEX('Game Records'!$E:$E,$H98)="",LOWER(INDEX('Game Records'!$E:$E,$H98)&amp;"")="n/a")),"Game Type; ","")&amp;IF(INDEX('Game Records'!$F:$F,$H98)="","Payment Type; ","")&amp;IF(AND(INDEX('Game Records'!$U:$U,$H98)&lt;&gt;"Subscription",INDEX('Game Records'!$U:$U,$H98)&lt;&gt;"Free Game",INDEX('Game Records'!$U:$U,$H98)&lt;&gt;"Disqualified — Free Game",INDEX('Game Records'!$G:$G,$H98)=""),"Gross Pot; ","")&amp;IF(AND(INDEX('Game Records'!$U:$U,$H98)&lt;&gt;"Free Game",INDEX('Game Records'!$U:$U,$H98)&lt;&gt;"Disqualified — Free Game",INDEX('Game Records'!$H:$H,$H98)=""),"Entry Fee; ","")&amp;IF(AND(INDEX('Game Records'!$U:$U,$H98)&lt;&gt;"Subscription",INDEX('Game Records'!$U:$U,$H98)&lt;&gt;"Free Game",INDEX('Game Records'!$U:$U,$H98)&lt;&gt;"Disqualified — Free Game",INDEX('Game Records'!$I:$I,$H98)=""),"Eligible Players; ","")&amp;IF(AND(INDEX('Game Records'!$U:$U,$H98)&lt;&gt;"Subscription",INDEX('Game Records'!$U:$U,$H98)&lt;&gt;"Free Game",INDEX('Game Records'!$U:$U,$H98)&lt;&gt;"Disqualified — Free Game",INDEX('Game Records'!$J:$J,$H98)=""),"Total Players; ","")&amp;IF(AND(LOWER(INDEX('Game Records'!$D:$D,$H98)&amp;"")="finalized",LOWER(INDEX('Game Records'!$L:$L,$H98)&amp;"")&lt;&gt;"yes",INDEX('Game Records'!$U:$U,$H98)&lt;&gt;"Subscription",INDEX('Game Records'!$U:$U,$H98)&lt;&gt;"Free Game",INDEX('Game Records'!$U:$U,$H98)&lt;&gt;"Disqualified — Free Game",INDEX('Game Records'!$K:$K,$H98)=""),"Final Payout; ","")&amp;IF(AND(LOWER(INDEX('Game Records'!$D:$D,$H98)&amp;"")="finalized",INDEX('Game Records'!$U:$U,$H98)&lt;&gt;"Subscription",INDEX('Game Records'!$U:$U,$H98)&lt;&gt;"Free Game",INDEX('Game Records'!$U:$U,$H98)&lt;&gt;"Disqualified — Free Game",OR(INDEX('Game Records'!$L:$L,$H98)="",LOWER(INDEX('Game Records'!$L:$L,$H98)&amp;"")="n/a")),"Disqualified Status; ",""))</f>
        <v/>
      </c>
      <c r="G98" s="23" t="str">
        <f t="array" ref="G98">IF($H98="","",IFERROR(INDEX('Game Records'!$M:$M,$H98),""))</f>
        <v/>
      </c>
      <c r="H98" s="3"/>
      <c r="I98" s="3"/>
      <c r="J98" s="3"/>
    </row>
    <row r="99" ht="24.0" customHeight="1">
      <c r="A99" s="18" t="str">
        <f t="shared" si="1"/>
        <v/>
      </c>
      <c r="B99" s="18" t="str">
        <f t="shared" si="2"/>
        <v/>
      </c>
      <c r="C99" s="23" t="str">
        <f t="array" ref="C99">IF($H99="","",IFERROR(INDEX('Game Records'!$A:$A,$H99),""))</f>
        <v/>
      </c>
      <c r="D99" s="23" t="str">
        <f t="array" ref="D99">IF($H99="","",IFERROR(INDEX('Game Records'!$U:$U,$H99),""))</f>
        <v/>
      </c>
      <c r="E99" s="23" t="str">
        <f t="array" ref="E99">IF($H99="","",LET(r,$H99,mode,LOWER(INDEX('Game Records'!$D:$D,r)&amp;""),endDate,INDEX('Game Records'!$C:$C,r),IF(mode="estimate",IF(endDate="","Estimate — End Date missing",IF(NOT(ISNUMBER(endDate)),"Estimate — Check End Date",IF(INT(endDate)&gt;=TODAY(),"In Progress — ends "&amp;TEXT(endDate,"mmm d, yyyy"),"Ready to Finalize"))),IF($F99="","No Highlighted Fields","Highlighted Fields Present"))))</f>
        <v/>
      </c>
      <c r="F99" s="23" t="str">
        <f t="array" ref="F99">IF($H99="","",IF(OR(NOT(_xlfn.ISFORMULA(INDEX('Game Records'!$N:$N,$H99))),NOT(_xlfn.ISFORMULA(INDEX('Game Records'!$O:$O,$H99))),NOT(_xlfn.ISFORMULA(INDEX('Game Records'!$P:$P,$H99))),NOT(_xlfn.ISFORMULA(INDEX('Game Records'!$Q:$Q,$H99))),NOT(_xlfn.ISFORMULA(INDEX('Game Records'!$R:$R,$H99))),NOT(_xlfn.ISFORMULA(INDEX('Game Records'!$S:$S,$H99))),NOT(_xlfn.ISFORMULA(INDEX('Game Records'!$T:$T,$H99))),NOT(_xlfn.ISFORMULA(INDEX('Game Records'!$U:$U,$H99))),NOT(_xlfn.ISFORMULA(INDEX('Game Records'!$V:$V,$H99))),NOT(_xlfn.ISFORMULA(INDEX('Game Records'!$W:$W,$H99))),NOT(_xlfn.ISFORMULA(INDEX('Game Records'!$X:$X,$H99))),NOT(_xlfn.ISFORMULA(INDEX('Game Records'!$Y:$Y,$H99))),NOT(_xlfn.ISFORMULA(INDEX('Game Records'!$Z:$Z,$H99)))),"","")&amp;IF(INDEX('Game Records'!$B:$B,$H99)="","Start Date; ","")&amp;IF(INDEX('Game Records'!$C:$C,$H99)="","End Date; ","")&amp;IF(AND(INDEX('Game Records'!$U:$U,$H99)&lt;&gt;"Subscription",INDEX('Game Records'!$U:$U,$H99)&lt;&gt;"Free Game",INDEX('Game Records'!$U:$U,$H99)&lt;&gt;"Disqualified — Free Game",OR(INDEX('Game Records'!$D:$D,$H99)="",LOWER(INDEX('Game Records'!$D:$D,$H99)&amp;"")="n/a")),"Entry Mode; ","")&amp;IF(AND(INDEX('Game Records'!$U:$U,$H99)&lt;&gt;"Subscription",INDEX('Game Records'!$U:$U,$H99)&lt;&gt;"Free Game",INDEX('Game Records'!$U:$U,$H99)&lt;&gt;"Disqualified — Free Game",OR(INDEX('Game Records'!$E:$E,$H99)="",LOWER(INDEX('Game Records'!$E:$E,$H99)&amp;"")="n/a")),"Game Type; ","")&amp;IF(INDEX('Game Records'!$F:$F,$H99)="","Payment Type; ","")&amp;IF(AND(INDEX('Game Records'!$U:$U,$H99)&lt;&gt;"Subscription",INDEX('Game Records'!$U:$U,$H99)&lt;&gt;"Free Game",INDEX('Game Records'!$U:$U,$H99)&lt;&gt;"Disqualified — Free Game",INDEX('Game Records'!$G:$G,$H99)=""),"Gross Pot; ","")&amp;IF(AND(INDEX('Game Records'!$U:$U,$H99)&lt;&gt;"Free Game",INDEX('Game Records'!$U:$U,$H99)&lt;&gt;"Disqualified — Free Game",INDEX('Game Records'!$H:$H,$H99)=""),"Entry Fee; ","")&amp;IF(AND(INDEX('Game Records'!$U:$U,$H99)&lt;&gt;"Subscription",INDEX('Game Records'!$U:$U,$H99)&lt;&gt;"Free Game",INDEX('Game Records'!$U:$U,$H99)&lt;&gt;"Disqualified — Free Game",INDEX('Game Records'!$I:$I,$H99)=""),"Eligible Players; ","")&amp;IF(AND(INDEX('Game Records'!$U:$U,$H99)&lt;&gt;"Subscription",INDEX('Game Records'!$U:$U,$H99)&lt;&gt;"Free Game",INDEX('Game Records'!$U:$U,$H99)&lt;&gt;"Disqualified — Free Game",INDEX('Game Records'!$J:$J,$H99)=""),"Total Players; ","")&amp;IF(AND(LOWER(INDEX('Game Records'!$D:$D,$H99)&amp;"")="finalized",LOWER(INDEX('Game Records'!$L:$L,$H99)&amp;"")&lt;&gt;"yes",INDEX('Game Records'!$U:$U,$H99)&lt;&gt;"Subscription",INDEX('Game Records'!$U:$U,$H99)&lt;&gt;"Free Game",INDEX('Game Records'!$U:$U,$H99)&lt;&gt;"Disqualified — Free Game",INDEX('Game Records'!$K:$K,$H99)=""),"Final Payout; ","")&amp;IF(AND(LOWER(INDEX('Game Records'!$D:$D,$H99)&amp;"")="finalized",INDEX('Game Records'!$U:$U,$H99)&lt;&gt;"Subscription",INDEX('Game Records'!$U:$U,$H99)&lt;&gt;"Free Game",INDEX('Game Records'!$U:$U,$H99)&lt;&gt;"Disqualified — Free Game",OR(INDEX('Game Records'!$L:$L,$H99)="",LOWER(INDEX('Game Records'!$L:$L,$H99)&amp;"")="n/a")),"Disqualified Status; ",""))</f>
        <v/>
      </c>
      <c r="G99" s="23" t="str">
        <f t="array" ref="G99">IF($H99="","",IFERROR(INDEX('Game Records'!$M:$M,$H99),""))</f>
        <v/>
      </c>
      <c r="H99" s="3"/>
      <c r="I99" s="3"/>
      <c r="J99" s="3"/>
    </row>
    <row r="100" ht="24.0" customHeight="1">
      <c r="A100" s="18" t="str">
        <f t="shared" si="1"/>
        <v/>
      </c>
      <c r="B100" s="18" t="str">
        <f t="shared" si="2"/>
        <v/>
      </c>
      <c r="C100" s="23" t="str">
        <f t="array" ref="C100">IF($H100="","",IFERROR(INDEX('Game Records'!$A:$A,$H100),""))</f>
        <v/>
      </c>
      <c r="D100" s="23" t="str">
        <f t="array" ref="D100">IF($H100="","",IFERROR(INDEX('Game Records'!$U:$U,$H100),""))</f>
        <v/>
      </c>
      <c r="E100" s="23" t="str">
        <f t="array" ref="E100">IF($H100="","",LET(r,$H100,mode,LOWER(INDEX('Game Records'!$D:$D,r)&amp;""),endDate,INDEX('Game Records'!$C:$C,r),IF(mode="estimate",IF(endDate="","Estimate — End Date missing",IF(NOT(ISNUMBER(endDate)),"Estimate — Check End Date",IF(INT(endDate)&gt;=TODAY(),"In Progress — ends "&amp;TEXT(endDate,"mmm d, yyyy"),"Ready to Finalize"))),IF($F100="","No Highlighted Fields","Highlighted Fields Present"))))</f>
        <v/>
      </c>
      <c r="F100" s="23" t="str">
        <f t="array" ref="F100">IF($H100="","",IF(OR(NOT(_xlfn.ISFORMULA(INDEX('Game Records'!$N:$N,$H100))),NOT(_xlfn.ISFORMULA(INDEX('Game Records'!$O:$O,$H100))),NOT(_xlfn.ISFORMULA(INDEX('Game Records'!$P:$P,$H100))),NOT(_xlfn.ISFORMULA(INDEX('Game Records'!$Q:$Q,$H100))),NOT(_xlfn.ISFORMULA(INDEX('Game Records'!$R:$R,$H100))),NOT(_xlfn.ISFORMULA(INDEX('Game Records'!$S:$S,$H100))),NOT(_xlfn.ISFORMULA(INDEX('Game Records'!$T:$T,$H100))),NOT(_xlfn.ISFORMULA(INDEX('Game Records'!$U:$U,$H100))),NOT(_xlfn.ISFORMULA(INDEX('Game Records'!$V:$V,$H100))),NOT(_xlfn.ISFORMULA(INDEX('Game Records'!$W:$W,$H100))),NOT(_xlfn.ISFORMULA(INDEX('Game Records'!$X:$X,$H100))),NOT(_xlfn.ISFORMULA(INDEX('Game Records'!$Y:$Y,$H100))),NOT(_xlfn.ISFORMULA(INDEX('Game Records'!$Z:$Z,$H100)))),"","")&amp;IF(INDEX('Game Records'!$B:$B,$H100)="","Start Date; ","")&amp;IF(INDEX('Game Records'!$C:$C,$H100)="","End Date; ","")&amp;IF(AND(INDEX('Game Records'!$U:$U,$H100)&lt;&gt;"Subscription",INDEX('Game Records'!$U:$U,$H100)&lt;&gt;"Free Game",INDEX('Game Records'!$U:$U,$H100)&lt;&gt;"Disqualified — Free Game",OR(INDEX('Game Records'!$D:$D,$H100)="",LOWER(INDEX('Game Records'!$D:$D,$H100)&amp;"")="n/a")),"Entry Mode; ","")&amp;IF(AND(INDEX('Game Records'!$U:$U,$H100)&lt;&gt;"Subscription",INDEX('Game Records'!$U:$U,$H100)&lt;&gt;"Free Game",INDEX('Game Records'!$U:$U,$H100)&lt;&gt;"Disqualified — Free Game",OR(INDEX('Game Records'!$E:$E,$H100)="",LOWER(INDEX('Game Records'!$E:$E,$H100)&amp;"")="n/a")),"Game Type; ","")&amp;IF(INDEX('Game Records'!$F:$F,$H100)="","Payment Type; ","")&amp;IF(AND(INDEX('Game Records'!$U:$U,$H100)&lt;&gt;"Subscription",INDEX('Game Records'!$U:$U,$H100)&lt;&gt;"Free Game",INDEX('Game Records'!$U:$U,$H100)&lt;&gt;"Disqualified — Free Game",INDEX('Game Records'!$G:$G,$H100)=""),"Gross Pot; ","")&amp;IF(AND(INDEX('Game Records'!$U:$U,$H100)&lt;&gt;"Free Game",INDEX('Game Records'!$U:$U,$H100)&lt;&gt;"Disqualified — Free Game",INDEX('Game Records'!$H:$H,$H100)=""),"Entry Fee; ","")&amp;IF(AND(INDEX('Game Records'!$U:$U,$H100)&lt;&gt;"Subscription",INDEX('Game Records'!$U:$U,$H100)&lt;&gt;"Free Game",INDEX('Game Records'!$U:$U,$H100)&lt;&gt;"Disqualified — Free Game",INDEX('Game Records'!$I:$I,$H100)=""),"Eligible Players; ","")&amp;IF(AND(INDEX('Game Records'!$U:$U,$H100)&lt;&gt;"Subscription",INDEX('Game Records'!$U:$U,$H100)&lt;&gt;"Free Game",INDEX('Game Records'!$U:$U,$H100)&lt;&gt;"Disqualified — Free Game",INDEX('Game Records'!$J:$J,$H100)=""),"Total Players; ","")&amp;IF(AND(LOWER(INDEX('Game Records'!$D:$D,$H100)&amp;"")="finalized",LOWER(INDEX('Game Records'!$L:$L,$H100)&amp;"")&lt;&gt;"yes",INDEX('Game Records'!$U:$U,$H100)&lt;&gt;"Subscription",INDEX('Game Records'!$U:$U,$H100)&lt;&gt;"Free Game",INDEX('Game Records'!$U:$U,$H100)&lt;&gt;"Disqualified — Free Game",INDEX('Game Records'!$K:$K,$H100)=""),"Final Payout; ","")&amp;IF(AND(LOWER(INDEX('Game Records'!$D:$D,$H100)&amp;"")="finalized",INDEX('Game Records'!$U:$U,$H100)&lt;&gt;"Subscription",INDEX('Game Records'!$U:$U,$H100)&lt;&gt;"Free Game",INDEX('Game Records'!$U:$U,$H100)&lt;&gt;"Disqualified — Free Game",OR(INDEX('Game Records'!$L:$L,$H100)="",LOWER(INDEX('Game Records'!$L:$L,$H100)&amp;"")="n/a")),"Disqualified Status; ",""))</f>
        <v/>
      </c>
      <c r="G100" s="23" t="str">
        <f t="array" ref="G100">IF($H100="","",IFERROR(INDEX('Game Records'!$M:$M,$H100),""))</f>
        <v/>
      </c>
      <c r="H100" s="3"/>
      <c r="I100" s="3"/>
      <c r="J100" s="3"/>
    </row>
    <row r="101" ht="24.0" customHeight="1">
      <c r="A101" s="18" t="str">
        <f t="shared" si="1"/>
        <v/>
      </c>
      <c r="B101" s="18" t="str">
        <f t="shared" si="2"/>
        <v/>
      </c>
      <c r="C101" s="23" t="str">
        <f t="array" ref="C101">IF($H101="","",IFERROR(INDEX('Game Records'!$A:$A,$H101),""))</f>
        <v/>
      </c>
      <c r="D101" s="23" t="str">
        <f t="array" ref="D101">IF($H101="","",IFERROR(INDEX('Game Records'!$U:$U,$H101),""))</f>
        <v/>
      </c>
      <c r="E101" s="23" t="str">
        <f t="array" ref="E101">IF($H101="","",LET(r,$H101,mode,LOWER(INDEX('Game Records'!$D:$D,r)&amp;""),endDate,INDEX('Game Records'!$C:$C,r),IF(mode="estimate",IF(endDate="","Estimate — End Date missing",IF(NOT(ISNUMBER(endDate)),"Estimate — Check End Date",IF(INT(endDate)&gt;=TODAY(),"In Progress — ends "&amp;TEXT(endDate,"mmm d, yyyy"),"Ready to Finalize"))),IF($F101="","No Highlighted Fields","Highlighted Fields Present"))))</f>
        <v/>
      </c>
      <c r="F101" s="23" t="str">
        <f t="array" ref="F101">IF($H101="","",IF(OR(NOT(_xlfn.ISFORMULA(INDEX('Game Records'!$N:$N,$H101))),NOT(_xlfn.ISFORMULA(INDEX('Game Records'!$O:$O,$H101))),NOT(_xlfn.ISFORMULA(INDEX('Game Records'!$P:$P,$H101))),NOT(_xlfn.ISFORMULA(INDEX('Game Records'!$Q:$Q,$H101))),NOT(_xlfn.ISFORMULA(INDEX('Game Records'!$R:$R,$H101))),NOT(_xlfn.ISFORMULA(INDEX('Game Records'!$S:$S,$H101))),NOT(_xlfn.ISFORMULA(INDEX('Game Records'!$T:$T,$H101))),NOT(_xlfn.ISFORMULA(INDEX('Game Records'!$U:$U,$H101))),NOT(_xlfn.ISFORMULA(INDEX('Game Records'!$V:$V,$H101))),NOT(_xlfn.ISFORMULA(INDEX('Game Records'!$W:$W,$H101))),NOT(_xlfn.ISFORMULA(INDEX('Game Records'!$X:$X,$H101))),NOT(_xlfn.ISFORMULA(INDEX('Game Records'!$Y:$Y,$H101))),NOT(_xlfn.ISFORMULA(INDEX('Game Records'!$Z:$Z,$H101)))),"","")&amp;IF(INDEX('Game Records'!$B:$B,$H101)="","Start Date; ","")&amp;IF(INDEX('Game Records'!$C:$C,$H101)="","End Date; ","")&amp;IF(AND(INDEX('Game Records'!$U:$U,$H101)&lt;&gt;"Subscription",INDEX('Game Records'!$U:$U,$H101)&lt;&gt;"Free Game",INDEX('Game Records'!$U:$U,$H101)&lt;&gt;"Disqualified — Free Game",OR(INDEX('Game Records'!$D:$D,$H101)="",LOWER(INDEX('Game Records'!$D:$D,$H101)&amp;"")="n/a")),"Entry Mode; ","")&amp;IF(AND(INDEX('Game Records'!$U:$U,$H101)&lt;&gt;"Subscription",INDEX('Game Records'!$U:$U,$H101)&lt;&gt;"Free Game",INDEX('Game Records'!$U:$U,$H101)&lt;&gt;"Disqualified — Free Game",OR(INDEX('Game Records'!$E:$E,$H101)="",LOWER(INDEX('Game Records'!$E:$E,$H101)&amp;"")="n/a")),"Game Type; ","")&amp;IF(INDEX('Game Records'!$F:$F,$H101)="","Payment Type; ","")&amp;IF(AND(INDEX('Game Records'!$U:$U,$H101)&lt;&gt;"Subscription",INDEX('Game Records'!$U:$U,$H101)&lt;&gt;"Free Game",INDEX('Game Records'!$U:$U,$H101)&lt;&gt;"Disqualified — Free Game",INDEX('Game Records'!$G:$G,$H101)=""),"Gross Pot; ","")&amp;IF(AND(INDEX('Game Records'!$U:$U,$H101)&lt;&gt;"Free Game",INDEX('Game Records'!$U:$U,$H101)&lt;&gt;"Disqualified — Free Game",INDEX('Game Records'!$H:$H,$H101)=""),"Entry Fee; ","")&amp;IF(AND(INDEX('Game Records'!$U:$U,$H101)&lt;&gt;"Subscription",INDEX('Game Records'!$U:$U,$H101)&lt;&gt;"Free Game",INDEX('Game Records'!$U:$U,$H101)&lt;&gt;"Disqualified — Free Game",INDEX('Game Records'!$I:$I,$H101)=""),"Eligible Players; ","")&amp;IF(AND(INDEX('Game Records'!$U:$U,$H101)&lt;&gt;"Subscription",INDEX('Game Records'!$U:$U,$H101)&lt;&gt;"Free Game",INDEX('Game Records'!$U:$U,$H101)&lt;&gt;"Disqualified — Free Game",INDEX('Game Records'!$J:$J,$H101)=""),"Total Players; ","")&amp;IF(AND(LOWER(INDEX('Game Records'!$D:$D,$H101)&amp;"")="finalized",LOWER(INDEX('Game Records'!$L:$L,$H101)&amp;"")&lt;&gt;"yes",INDEX('Game Records'!$U:$U,$H101)&lt;&gt;"Subscription",INDEX('Game Records'!$U:$U,$H101)&lt;&gt;"Free Game",INDEX('Game Records'!$U:$U,$H101)&lt;&gt;"Disqualified — Free Game",INDEX('Game Records'!$K:$K,$H101)=""),"Final Payout; ","")&amp;IF(AND(LOWER(INDEX('Game Records'!$D:$D,$H101)&amp;"")="finalized",INDEX('Game Records'!$U:$U,$H101)&lt;&gt;"Subscription",INDEX('Game Records'!$U:$U,$H101)&lt;&gt;"Free Game",INDEX('Game Records'!$U:$U,$H101)&lt;&gt;"Disqualified — Free Game",OR(INDEX('Game Records'!$L:$L,$H101)="",LOWER(INDEX('Game Records'!$L:$L,$H101)&amp;"")="n/a")),"Disqualified Status; ",""))</f>
        <v/>
      </c>
      <c r="G101" s="23" t="str">
        <f t="array" ref="G101">IF($H101="","",IFERROR(INDEX('Game Records'!$M:$M,$H101),""))</f>
        <v/>
      </c>
      <c r="H101" s="3"/>
      <c r="I101" s="3"/>
      <c r="J101" s="3"/>
    </row>
    <row r="102" ht="24.0" customHeight="1">
      <c r="A102" s="18" t="str">
        <f t="shared" si="1"/>
        <v/>
      </c>
      <c r="B102" s="18" t="str">
        <f t="shared" si="2"/>
        <v/>
      </c>
      <c r="C102" s="23" t="str">
        <f t="array" ref="C102">IF($H102="","",IFERROR(INDEX('Game Records'!$A:$A,$H102),""))</f>
        <v/>
      </c>
      <c r="D102" s="23" t="str">
        <f t="array" ref="D102">IF($H102="","",IFERROR(INDEX('Game Records'!$U:$U,$H102),""))</f>
        <v/>
      </c>
      <c r="E102" s="23" t="str">
        <f t="array" ref="E102">IF($H102="","",LET(r,$H102,mode,LOWER(INDEX('Game Records'!$D:$D,r)&amp;""),endDate,INDEX('Game Records'!$C:$C,r),IF(mode="estimate",IF(endDate="","Estimate — End Date missing",IF(NOT(ISNUMBER(endDate)),"Estimate — Check End Date",IF(INT(endDate)&gt;=TODAY(),"In Progress — ends "&amp;TEXT(endDate,"mmm d, yyyy"),"Ready to Finalize"))),IF($F102="","No Highlighted Fields","Highlighted Fields Present"))))</f>
        <v/>
      </c>
      <c r="F102" s="23" t="str">
        <f t="array" ref="F102">IF($H102="","",IF(OR(NOT(_xlfn.ISFORMULA(INDEX('Game Records'!$N:$N,$H102))),NOT(_xlfn.ISFORMULA(INDEX('Game Records'!$O:$O,$H102))),NOT(_xlfn.ISFORMULA(INDEX('Game Records'!$P:$P,$H102))),NOT(_xlfn.ISFORMULA(INDEX('Game Records'!$Q:$Q,$H102))),NOT(_xlfn.ISFORMULA(INDEX('Game Records'!$R:$R,$H102))),NOT(_xlfn.ISFORMULA(INDEX('Game Records'!$S:$S,$H102))),NOT(_xlfn.ISFORMULA(INDEX('Game Records'!$T:$T,$H102))),NOT(_xlfn.ISFORMULA(INDEX('Game Records'!$U:$U,$H102))),NOT(_xlfn.ISFORMULA(INDEX('Game Records'!$V:$V,$H102))),NOT(_xlfn.ISFORMULA(INDEX('Game Records'!$W:$W,$H102))),NOT(_xlfn.ISFORMULA(INDEX('Game Records'!$X:$X,$H102))),NOT(_xlfn.ISFORMULA(INDEX('Game Records'!$Y:$Y,$H102))),NOT(_xlfn.ISFORMULA(INDEX('Game Records'!$Z:$Z,$H102)))),"","")&amp;IF(INDEX('Game Records'!$B:$B,$H102)="","Start Date; ","")&amp;IF(INDEX('Game Records'!$C:$C,$H102)="","End Date; ","")&amp;IF(AND(INDEX('Game Records'!$U:$U,$H102)&lt;&gt;"Subscription",INDEX('Game Records'!$U:$U,$H102)&lt;&gt;"Free Game",INDEX('Game Records'!$U:$U,$H102)&lt;&gt;"Disqualified — Free Game",OR(INDEX('Game Records'!$D:$D,$H102)="",LOWER(INDEX('Game Records'!$D:$D,$H102)&amp;"")="n/a")),"Entry Mode; ","")&amp;IF(AND(INDEX('Game Records'!$U:$U,$H102)&lt;&gt;"Subscription",INDEX('Game Records'!$U:$U,$H102)&lt;&gt;"Free Game",INDEX('Game Records'!$U:$U,$H102)&lt;&gt;"Disqualified — Free Game",OR(INDEX('Game Records'!$E:$E,$H102)="",LOWER(INDEX('Game Records'!$E:$E,$H102)&amp;"")="n/a")),"Game Type; ","")&amp;IF(INDEX('Game Records'!$F:$F,$H102)="","Payment Type; ","")&amp;IF(AND(INDEX('Game Records'!$U:$U,$H102)&lt;&gt;"Subscription",INDEX('Game Records'!$U:$U,$H102)&lt;&gt;"Free Game",INDEX('Game Records'!$U:$U,$H102)&lt;&gt;"Disqualified — Free Game",INDEX('Game Records'!$G:$G,$H102)=""),"Gross Pot; ","")&amp;IF(AND(INDEX('Game Records'!$U:$U,$H102)&lt;&gt;"Free Game",INDEX('Game Records'!$U:$U,$H102)&lt;&gt;"Disqualified — Free Game",INDEX('Game Records'!$H:$H,$H102)=""),"Entry Fee; ","")&amp;IF(AND(INDEX('Game Records'!$U:$U,$H102)&lt;&gt;"Subscription",INDEX('Game Records'!$U:$U,$H102)&lt;&gt;"Free Game",INDEX('Game Records'!$U:$U,$H102)&lt;&gt;"Disqualified — Free Game",INDEX('Game Records'!$I:$I,$H102)=""),"Eligible Players; ","")&amp;IF(AND(INDEX('Game Records'!$U:$U,$H102)&lt;&gt;"Subscription",INDEX('Game Records'!$U:$U,$H102)&lt;&gt;"Free Game",INDEX('Game Records'!$U:$U,$H102)&lt;&gt;"Disqualified — Free Game",INDEX('Game Records'!$J:$J,$H102)=""),"Total Players; ","")&amp;IF(AND(LOWER(INDEX('Game Records'!$D:$D,$H102)&amp;"")="finalized",LOWER(INDEX('Game Records'!$L:$L,$H102)&amp;"")&lt;&gt;"yes",INDEX('Game Records'!$U:$U,$H102)&lt;&gt;"Subscription",INDEX('Game Records'!$U:$U,$H102)&lt;&gt;"Free Game",INDEX('Game Records'!$U:$U,$H102)&lt;&gt;"Disqualified — Free Game",INDEX('Game Records'!$K:$K,$H102)=""),"Final Payout; ","")&amp;IF(AND(LOWER(INDEX('Game Records'!$D:$D,$H102)&amp;"")="finalized",INDEX('Game Records'!$U:$U,$H102)&lt;&gt;"Subscription",INDEX('Game Records'!$U:$U,$H102)&lt;&gt;"Free Game",INDEX('Game Records'!$U:$U,$H102)&lt;&gt;"Disqualified — Free Game",OR(INDEX('Game Records'!$L:$L,$H102)="",LOWER(INDEX('Game Records'!$L:$L,$H102)&amp;"")="n/a")),"Disqualified Status; ",""))</f>
        <v/>
      </c>
      <c r="G102" s="23" t="str">
        <f t="array" ref="G102">IF($H102="","",IFERROR(INDEX('Game Records'!$M:$M,$H102),""))</f>
        <v/>
      </c>
      <c r="H102" s="3"/>
      <c r="I102" s="3"/>
      <c r="J102" s="3"/>
    </row>
    <row r="103" ht="24.0" customHeight="1">
      <c r="A103" s="18" t="str">
        <f t="shared" si="1"/>
        <v/>
      </c>
      <c r="B103" s="18" t="str">
        <f t="shared" si="2"/>
        <v/>
      </c>
      <c r="C103" s="23" t="str">
        <f t="array" ref="C103">IF($H103="","",IFERROR(INDEX('Game Records'!$A:$A,$H103),""))</f>
        <v/>
      </c>
      <c r="D103" s="23" t="str">
        <f t="array" ref="D103">IF($H103="","",IFERROR(INDEX('Game Records'!$U:$U,$H103),""))</f>
        <v/>
      </c>
      <c r="E103" s="23" t="str">
        <f t="array" ref="E103">IF($H103="","",LET(r,$H103,mode,LOWER(INDEX('Game Records'!$D:$D,r)&amp;""),endDate,INDEX('Game Records'!$C:$C,r),IF(mode="estimate",IF(endDate="","Estimate — End Date missing",IF(NOT(ISNUMBER(endDate)),"Estimate — Check End Date",IF(INT(endDate)&gt;=TODAY(),"In Progress — ends "&amp;TEXT(endDate,"mmm d, yyyy"),"Ready to Finalize"))),IF($F103="","No Highlighted Fields","Highlighted Fields Present"))))</f>
        <v/>
      </c>
      <c r="F103" s="23" t="str">
        <f t="array" ref="F103">IF($H103="","",IF(OR(NOT(_xlfn.ISFORMULA(INDEX('Game Records'!$N:$N,$H103))),NOT(_xlfn.ISFORMULA(INDEX('Game Records'!$O:$O,$H103))),NOT(_xlfn.ISFORMULA(INDEX('Game Records'!$P:$P,$H103))),NOT(_xlfn.ISFORMULA(INDEX('Game Records'!$Q:$Q,$H103))),NOT(_xlfn.ISFORMULA(INDEX('Game Records'!$R:$R,$H103))),NOT(_xlfn.ISFORMULA(INDEX('Game Records'!$S:$S,$H103))),NOT(_xlfn.ISFORMULA(INDEX('Game Records'!$T:$T,$H103))),NOT(_xlfn.ISFORMULA(INDEX('Game Records'!$U:$U,$H103))),NOT(_xlfn.ISFORMULA(INDEX('Game Records'!$V:$V,$H103))),NOT(_xlfn.ISFORMULA(INDEX('Game Records'!$W:$W,$H103))),NOT(_xlfn.ISFORMULA(INDEX('Game Records'!$X:$X,$H103))),NOT(_xlfn.ISFORMULA(INDEX('Game Records'!$Y:$Y,$H103))),NOT(_xlfn.ISFORMULA(INDEX('Game Records'!$Z:$Z,$H103)))),"","")&amp;IF(INDEX('Game Records'!$B:$B,$H103)="","Start Date; ","")&amp;IF(INDEX('Game Records'!$C:$C,$H103)="","End Date; ","")&amp;IF(AND(INDEX('Game Records'!$U:$U,$H103)&lt;&gt;"Subscription",INDEX('Game Records'!$U:$U,$H103)&lt;&gt;"Free Game",INDEX('Game Records'!$U:$U,$H103)&lt;&gt;"Disqualified — Free Game",OR(INDEX('Game Records'!$D:$D,$H103)="",LOWER(INDEX('Game Records'!$D:$D,$H103)&amp;"")="n/a")),"Entry Mode; ","")&amp;IF(AND(INDEX('Game Records'!$U:$U,$H103)&lt;&gt;"Subscription",INDEX('Game Records'!$U:$U,$H103)&lt;&gt;"Free Game",INDEX('Game Records'!$U:$U,$H103)&lt;&gt;"Disqualified — Free Game",OR(INDEX('Game Records'!$E:$E,$H103)="",LOWER(INDEX('Game Records'!$E:$E,$H103)&amp;"")="n/a")),"Game Type; ","")&amp;IF(INDEX('Game Records'!$F:$F,$H103)="","Payment Type; ","")&amp;IF(AND(INDEX('Game Records'!$U:$U,$H103)&lt;&gt;"Subscription",INDEX('Game Records'!$U:$U,$H103)&lt;&gt;"Free Game",INDEX('Game Records'!$U:$U,$H103)&lt;&gt;"Disqualified — Free Game",INDEX('Game Records'!$G:$G,$H103)=""),"Gross Pot; ","")&amp;IF(AND(INDEX('Game Records'!$U:$U,$H103)&lt;&gt;"Free Game",INDEX('Game Records'!$U:$U,$H103)&lt;&gt;"Disqualified — Free Game",INDEX('Game Records'!$H:$H,$H103)=""),"Entry Fee; ","")&amp;IF(AND(INDEX('Game Records'!$U:$U,$H103)&lt;&gt;"Subscription",INDEX('Game Records'!$U:$U,$H103)&lt;&gt;"Free Game",INDEX('Game Records'!$U:$U,$H103)&lt;&gt;"Disqualified — Free Game",INDEX('Game Records'!$I:$I,$H103)=""),"Eligible Players; ","")&amp;IF(AND(INDEX('Game Records'!$U:$U,$H103)&lt;&gt;"Subscription",INDEX('Game Records'!$U:$U,$H103)&lt;&gt;"Free Game",INDEX('Game Records'!$U:$U,$H103)&lt;&gt;"Disqualified — Free Game",INDEX('Game Records'!$J:$J,$H103)=""),"Total Players; ","")&amp;IF(AND(LOWER(INDEX('Game Records'!$D:$D,$H103)&amp;"")="finalized",LOWER(INDEX('Game Records'!$L:$L,$H103)&amp;"")&lt;&gt;"yes",INDEX('Game Records'!$U:$U,$H103)&lt;&gt;"Subscription",INDEX('Game Records'!$U:$U,$H103)&lt;&gt;"Free Game",INDEX('Game Records'!$U:$U,$H103)&lt;&gt;"Disqualified — Free Game",INDEX('Game Records'!$K:$K,$H103)=""),"Final Payout; ","")&amp;IF(AND(LOWER(INDEX('Game Records'!$D:$D,$H103)&amp;"")="finalized",INDEX('Game Records'!$U:$U,$H103)&lt;&gt;"Subscription",INDEX('Game Records'!$U:$U,$H103)&lt;&gt;"Free Game",INDEX('Game Records'!$U:$U,$H103)&lt;&gt;"Disqualified — Free Game",OR(INDEX('Game Records'!$L:$L,$H103)="",LOWER(INDEX('Game Records'!$L:$L,$H103)&amp;"")="n/a")),"Disqualified Status; ",""))</f>
        <v/>
      </c>
      <c r="G103" s="23" t="str">
        <f t="array" ref="G103">IF($H103="","",IFERROR(INDEX('Game Records'!$M:$M,$H103),""))</f>
        <v/>
      </c>
      <c r="H103" s="3"/>
      <c r="I103" s="3"/>
      <c r="J103" s="3"/>
    </row>
    <row r="104" ht="24.0" customHeight="1">
      <c r="A104" s="18" t="str">
        <f t="shared" si="1"/>
        <v/>
      </c>
      <c r="B104" s="18" t="str">
        <f t="shared" si="2"/>
        <v/>
      </c>
      <c r="C104" s="23" t="str">
        <f t="array" ref="C104">IF($H104="","",IFERROR(INDEX('Game Records'!$A:$A,$H104),""))</f>
        <v/>
      </c>
      <c r="D104" s="23" t="str">
        <f t="array" ref="D104">IF($H104="","",IFERROR(INDEX('Game Records'!$U:$U,$H104),""))</f>
        <v/>
      </c>
      <c r="E104" s="23" t="str">
        <f t="array" ref="E104">IF($H104="","",LET(r,$H104,mode,LOWER(INDEX('Game Records'!$D:$D,r)&amp;""),endDate,INDEX('Game Records'!$C:$C,r),IF(mode="estimate",IF(endDate="","Estimate — End Date missing",IF(NOT(ISNUMBER(endDate)),"Estimate — Check End Date",IF(INT(endDate)&gt;=TODAY(),"In Progress — ends "&amp;TEXT(endDate,"mmm d, yyyy"),"Ready to Finalize"))),IF($F104="","No Highlighted Fields","Highlighted Fields Present"))))</f>
        <v/>
      </c>
      <c r="F104" s="23" t="str">
        <f t="array" ref="F104">IF($H104="","",IF(OR(NOT(_xlfn.ISFORMULA(INDEX('Game Records'!$N:$N,$H104))),NOT(_xlfn.ISFORMULA(INDEX('Game Records'!$O:$O,$H104))),NOT(_xlfn.ISFORMULA(INDEX('Game Records'!$P:$P,$H104))),NOT(_xlfn.ISFORMULA(INDEX('Game Records'!$Q:$Q,$H104))),NOT(_xlfn.ISFORMULA(INDEX('Game Records'!$R:$R,$H104))),NOT(_xlfn.ISFORMULA(INDEX('Game Records'!$S:$S,$H104))),NOT(_xlfn.ISFORMULA(INDEX('Game Records'!$T:$T,$H104))),NOT(_xlfn.ISFORMULA(INDEX('Game Records'!$U:$U,$H104))),NOT(_xlfn.ISFORMULA(INDEX('Game Records'!$V:$V,$H104))),NOT(_xlfn.ISFORMULA(INDEX('Game Records'!$W:$W,$H104))),NOT(_xlfn.ISFORMULA(INDEX('Game Records'!$X:$X,$H104))),NOT(_xlfn.ISFORMULA(INDEX('Game Records'!$Y:$Y,$H104))),NOT(_xlfn.ISFORMULA(INDEX('Game Records'!$Z:$Z,$H104)))),"","")&amp;IF(INDEX('Game Records'!$B:$B,$H104)="","Start Date; ","")&amp;IF(INDEX('Game Records'!$C:$C,$H104)="","End Date; ","")&amp;IF(AND(INDEX('Game Records'!$U:$U,$H104)&lt;&gt;"Subscription",INDEX('Game Records'!$U:$U,$H104)&lt;&gt;"Free Game",INDEX('Game Records'!$U:$U,$H104)&lt;&gt;"Disqualified — Free Game",OR(INDEX('Game Records'!$D:$D,$H104)="",LOWER(INDEX('Game Records'!$D:$D,$H104)&amp;"")="n/a")),"Entry Mode; ","")&amp;IF(AND(INDEX('Game Records'!$U:$U,$H104)&lt;&gt;"Subscription",INDEX('Game Records'!$U:$U,$H104)&lt;&gt;"Free Game",INDEX('Game Records'!$U:$U,$H104)&lt;&gt;"Disqualified — Free Game",OR(INDEX('Game Records'!$E:$E,$H104)="",LOWER(INDEX('Game Records'!$E:$E,$H104)&amp;"")="n/a")),"Game Type; ","")&amp;IF(INDEX('Game Records'!$F:$F,$H104)="","Payment Type; ","")&amp;IF(AND(INDEX('Game Records'!$U:$U,$H104)&lt;&gt;"Subscription",INDEX('Game Records'!$U:$U,$H104)&lt;&gt;"Free Game",INDEX('Game Records'!$U:$U,$H104)&lt;&gt;"Disqualified — Free Game",INDEX('Game Records'!$G:$G,$H104)=""),"Gross Pot; ","")&amp;IF(AND(INDEX('Game Records'!$U:$U,$H104)&lt;&gt;"Free Game",INDEX('Game Records'!$U:$U,$H104)&lt;&gt;"Disqualified — Free Game",INDEX('Game Records'!$H:$H,$H104)=""),"Entry Fee; ","")&amp;IF(AND(INDEX('Game Records'!$U:$U,$H104)&lt;&gt;"Subscription",INDEX('Game Records'!$U:$U,$H104)&lt;&gt;"Free Game",INDEX('Game Records'!$U:$U,$H104)&lt;&gt;"Disqualified — Free Game",INDEX('Game Records'!$I:$I,$H104)=""),"Eligible Players; ","")&amp;IF(AND(INDEX('Game Records'!$U:$U,$H104)&lt;&gt;"Subscription",INDEX('Game Records'!$U:$U,$H104)&lt;&gt;"Free Game",INDEX('Game Records'!$U:$U,$H104)&lt;&gt;"Disqualified — Free Game",INDEX('Game Records'!$J:$J,$H104)=""),"Total Players; ","")&amp;IF(AND(LOWER(INDEX('Game Records'!$D:$D,$H104)&amp;"")="finalized",LOWER(INDEX('Game Records'!$L:$L,$H104)&amp;"")&lt;&gt;"yes",INDEX('Game Records'!$U:$U,$H104)&lt;&gt;"Subscription",INDEX('Game Records'!$U:$U,$H104)&lt;&gt;"Free Game",INDEX('Game Records'!$U:$U,$H104)&lt;&gt;"Disqualified — Free Game",INDEX('Game Records'!$K:$K,$H104)=""),"Final Payout; ","")&amp;IF(AND(LOWER(INDEX('Game Records'!$D:$D,$H104)&amp;"")="finalized",INDEX('Game Records'!$U:$U,$H104)&lt;&gt;"Subscription",INDEX('Game Records'!$U:$U,$H104)&lt;&gt;"Free Game",INDEX('Game Records'!$U:$U,$H104)&lt;&gt;"Disqualified — Free Game",OR(INDEX('Game Records'!$L:$L,$H104)="",LOWER(INDEX('Game Records'!$L:$L,$H104)&amp;"")="n/a")),"Disqualified Status; ",""))</f>
        <v/>
      </c>
      <c r="G104" s="23" t="str">
        <f t="array" ref="G104">IF($H104="","",IFERROR(INDEX('Game Records'!$M:$M,$H104),""))</f>
        <v/>
      </c>
      <c r="H104" s="3"/>
      <c r="I104" s="3"/>
      <c r="J104" s="3"/>
    </row>
    <row r="105" ht="24.0" customHeight="1">
      <c r="A105" s="18" t="str">
        <f t="shared" si="1"/>
        <v/>
      </c>
      <c r="B105" s="18" t="str">
        <f t="shared" si="2"/>
        <v/>
      </c>
      <c r="C105" s="23" t="str">
        <f t="array" ref="C105">IF($H105="","",IFERROR(INDEX('Game Records'!$A:$A,$H105),""))</f>
        <v/>
      </c>
      <c r="D105" s="23" t="str">
        <f t="array" ref="D105">IF($H105="","",IFERROR(INDEX('Game Records'!$U:$U,$H105),""))</f>
        <v/>
      </c>
      <c r="E105" s="23" t="str">
        <f t="array" ref="E105">IF($H105="","",LET(r,$H105,mode,LOWER(INDEX('Game Records'!$D:$D,r)&amp;""),endDate,INDEX('Game Records'!$C:$C,r),IF(mode="estimate",IF(endDate="","Estimate — End Date missing",IF(NOT(ISNUMBER(endDate)),"Estimate — Check End Date",IF(INT(endDate)&gt;=TODAY(),"In Progress — ends "&amp;TEXT(endDate,"mmm d, yyyy"),"Ready to Finalize"))),IF($F105="","No Highlighted Fields","Highlighted Fields Present"))))</f>
        <v/>
      </c>
      <c r="F105" s="23" t="str">
        <f t="array" ref="F105">IF($H105="","",IF(OR(NOT(_xlfn.ISFORMULA(INDEX('Game Records'!$N:$N,$H105))),NOT(_xlfn.ISFORMULA(INDEX('Game Records'!$O:$O,$H105))),NOT(_xlfn.ISFORMULA(INDEX('Game Records'!$P:$P,$H105))),NOT(_xlfn.ISFORMULA(INDEX('Game Records'!$Q:$Q,$H105))),NOT(_xlfn.ISFORMULA(INDEX('Game Records'!$R:$R,$H105))),NOT(_xlfn.ISFORMULA(INDEX('Game Records'!$S:$S,$H105))),NOT(_xlfn.ISFORMULA(INDEX('Game Records'!$T:$T,$H105))),NOT(_xlfn.ISFORMULA(INDEX('Game Records'!$U:$U,$H105))),NOT(_xlfn.ISFORMULA(INDEX('Game Records'!$V:$V,$H105))),NOT(_xlfn.ISFORMULA(INDEX('Game Records'!$W:$W,$H105))),NOT(_xlfn.ISFORMULA(INDEX('Game Records'!$X:$X,$H105))),NOT(_xlfn.ISFORMULA(INDEX('Game Records'!$Y:$Y,$H105))),NOT(_xlfn.ISFORMULA(INDEX('Game Records'!$Z:$Z,$H105)))),"","")&amp;IF(INDEX('Game Records'!$B:$B,$H105)="","Start Date; ","")&amp;IF(INDEX('Game Records'!$C:$C,$H105)="","End Date; ","")&amp;IF(AND(INDEX('Game Records'!$U:$U,$H105)&lt;&gt;"Subscription",INDEX('Game Records'!$U:$U,$H105)&lt;&gt;"Free Game",INDEX('Game Records'!$U:$U,$H105)&lt;&gt;"Disqualified — Free Game",OR(INDEX('Game Records'!$D:$D,$H105)="",LOWER(INDEX('Game Records'!$D:$D,$H105)&amp;"")="n/a")),"Entry Mode; ","")&amp;IF(AND(INDEX('Game Records'!$U:$U,$H105)&lt;&gt;"Subscription",INDEX('Game Records'!$U:$U,$H105)&lt;&gt;"Free Game",INDEX('Game Records'!$U:$U,$H105)&lt;&gt;"Disqualified — Free Game",OR(INDEX('Game Records'!$E:$E,$H105)="",LOWER(INDEX('Game Records'!$E:$E,$H105)&amp;"")="n/a")),"Game Type; ","")&amp;IF(INDEX('Game Records'!$F:$F,$H105)="","Payment Type; ","")&amp;IF(AND(INDEX('Game Records'!$U:$U,$H105)&lt;&gt;"Subscription",INDEX('Game Records'!$U:$U,$H105)&lt;&gt;"Free Game",INDEX('Game Records'!$U:$U,$H105)&lt;&gt;"Disqualified — Free Game",INDEX('Game Records'!$G:$G,$H105)=""),"Gross Pot; ","")&amp;IF(AND(INDEX('Game Records'!$U:$U,$H105)&lt;&gt;"Free Game",INDEX('Game Records'!$U:$U,$H105)&lt;&gt;"Disqualified — Free Game",INDEX('Game Records'!$H:$H,$H105)=""),"Entry Fee; ","")&amp;IF(AND(INDEX('Game Records'!$U:$U,$H105)&lt;&gt;"Subscription",INDEX('Game Records'!$U:$U,$H105)&lt;&gt;"Free Game",INDEX('Game Records'!$U:$U,$H105)&lt;&gt;"Disqualified — Free Game",INDEX('Game Records'!$I:$I,$H105)=""),"Eligible Players; ","")&amp;IF(AND(INDEX('Game Records'!$U:$U,$H105)&lt;&gt;"Subscription",INDEX('Game Records'!$U:$U,$H105)&lt;&gt;"Free Game",INDEX('Game Records'!$U:$U,$H105)&lt;&gt;"Disqualified — Free Game",INDEX('Game Records'!$J:$J,$H105)=""),"Total Players; ","")&amp;IF(AND(LOWER(INDEX('Game Records'!$D:$D,$H105)&amp;"")="finalized",LOWER(INDEX('Game Records'!$L:$L,$H105)&amp;"")&lt;&gt;"yes",INDEX('Game Records'!$U:$U,$H105)&lt;&gt;"Subscription",INDEX('Game Records'!$U:$U,$H105)&lt;&gt;"Free Game",INDEX('Game Records'!$U:$U,$H105)&lt;&gt;"Disqualified — Free Game",INDEX('Game Records'!$K:$K,$H105)=""),"Final Payout; ","")&amp;IF(AND(LOWER(INDEX('Game Records'!$D:$D,$H105)&amp;"")="finalized",INDEX('Game Records'!$U:$U,$H105)&lt;&gt;"Subscription",INDEX('Game Records'!$U:$U,$H105)&lt;&gt;"Free Game",INDEX('Game Records'!$U:$U,$H105)&lt;&gt;"Disqualified — Free Game",OR(INDEX('Game Records'!$L:$L,$H105)="",LOWER(INDEX('Game Records'!$L:$L,$H105)&amp;"")="n/a")),"Disqualified Status; ",""))</f>
        <v/>
      </c>
      <c r="G105" s="23" t="str">
        <f t="array" ref="G105">IF($H105="","",IFERROR(INDEX('Game Records'!$M:$M,$H105),""))</f>
        <v/>
      </c>
      <c r="H105" s="3"/>
      <c r="I105" s="3"/>
      <c r="J105" s="3"/>
    </row>
    <row r="106" ht="24.0" customHeight="1">
      <c r="A106" s="18" t="str">
        <f t="shared" si="1"/>
        <v/>
      </c>
      <c r="B106" s="18" t="str">
        <f t="shared" si="2"/>
        <v/>
      </c>
      <c r="C106" s="23" t="str">
        <f t="array" ref="C106">IF($H106="","",IFERROR(INDEX('Game Records'!$A:$A,$H106),""))</f>
        <v/>
      </c>
      <c r="D106" s="23" t="str">
        <f t="array" ref="D106">IF($H106="","",IFERROR(INDEX('Game Records'!$U:$U,$H106),""))</f>
        <v/>
      </c>
      <c r="E106" s="23" t="str">
        <f t="array" ref="E106">IF($H106="","",LET(r,$H106,mode,LOWER(INDEX('Game Records'!$D:$D,r)&amp;""),endDate,INDEX('Game Records'!$C:$C,r),IF(mode="estimate",IF(endDate="","Estimate — End Date missing",IF(NOT(ISNUMBER(endDate)),"Estimate — Check End Date",IF(INT(endDate)&gt;=TODAY(),"In Progress — ends "&amp;TEXT(endDate,"mmm d, yyyy"),"Ready to Finalize"))),IF($F106="","No Highlighted Fields","Highlighted Fields Present"))))</f>
        <v/>
      </c>
      <c r="F106" s="23" t="str">
        <f t="array" ref="F106">IF($H106="","",IF(OR(NOT(_xlfn.ISFORMULA(INDEX('Game Records'!$N:$N,$H106))),NOT(_xlfn.ISFORMULA(INDEX('Game Records'!$O:$O,$H106))),NOT(_xlfn.ISFORMULA(INDEX('Game Records'!$P:$P,$H106))),NOT(_xlfn.ISFORMULA(INDEX('Game Records'!$Q:$Q,$H106))),NOT(_xlfn.ISFORMULA(INDEX('Game Records'!$R:$R,$H106))),NOT(_xlfn.ISFORMULA(INDEX('Game Records'!$S:$S,$H106))),NOT(_xlfn.ISFORMULA(INDEX('Game Records'!$T:$T,$H106))),NOT(_xlfn.ISFORMULA(INDEX('Game Records'!$U:$U,$H106))),NOT(_xlfn.ISFORMULA(INDEX('Game Records'!$V:$V,$H106))),NOT(_xlfn.ISFORMULA(INDEX('Game Records'!$W:$W,$H106))),NOT(_xlfn.ISFORMULA(INDEX('Game Records'!$X:$X,$H106))),NOT(_xlfn.ISFORMULA(INDEX('Game Records'!$Y:$Y,$H106))),NOT(_xlfn.ISFORMULA(INDEX('Game Records'!$Z:$Z,$H106)))),"","")&amp;IF(INDEX('Game Records'!$B:$B,$H106)="","Start Date; ","")&amp;IF(INDEX('Game Records'!$C:$C,$H106)="","End Date; ","")&amp;IF(AND(INDEX('Game Records'!$U:$U,$H106)&lt;&gt;"Subscription",INDEX('Game Records'!$U:$U,$H106)&lt;&gt;"Free Game",INDEX('Game Records'!$U:$U,$H106)&lt;&gt;"Disqualified — Free Game",OR(INDEX('Game Records'!$D:$D,$H106)="",LOWER(INDEX('Game Records'!$D:$D,$H106)&amp;"")="n/a")),"Entry Mode; ","")&amp;IF(AND(INDEX('Game Records'!$U:$U,$H106)&lt;&gt;"Subscription",INDEX('Game Records'!$U:$U,$H106)&lt;&gt;"Free Game",INDEX('Game Records'!$U:$U,$H106)&lt;&gt;"Disqualified — Free Game",OR(INDEX('Game Records'!$E:$E,$H106)="",LOWER(INDEX('Game Records'!$E:$E,$H106)&amp;"")="n/a")),"Game Type; ","")&amp;IF(INDEX('Game Records'!$F:$F,$H106)="","Payment Type; ","")&amp;IF(AND(INDEX('Game Records'!$U:$U,$H106)&lt;&gt;"Subscription",INDEX('Game Records'!$U:$U,$H106)&lt;&gt;"Free Game",INDEX('Game Records'!$U:$U,$H106)&lt;&gt;"Disqualified — Free Game",INDEX('Game Records'!$G:$G,$H106)=""),"Gross Pot; ","")&amp;IF(AND(INDEX('Game Records'!$U:$U,$H106)&lt;&gt;"Free Game",INDEX('Game Records'!$U:$U,$H106)&lt;&gt;"Disqualified — Free Game",INDEX('Game Records'!$H:$H,$H106)=""),"Entry Fee; ","")&amp;IF(AND(INDEX('Game Records'!$U:$U,$H106)&lt;&gt;"Subscription",INDEX('Game Records'!$U:$U,$H106)&lt;&gt;"Free Game",INDEX('Game Records'!$U:$U,$H106)&lt;&gt;"Disqualified — Free Game",INDEX('Game Records'!$I:$I,$H106)=""),"Eligible Players; ","")&amp;IF(AND(INDEX('Game Records'!$U:$U,$H106)&lt;&gt;"Subscription",INDEX('Game Records'!$U:$U,$H106)&lt;&gt;"Free Game",INDEX('Game Records'!$U:$U,$H106)&lt;&gt;"Disqualified — Free Game",INDEX('Game Records'!$J:$J,$H106)=""),"Total Players; ","")&amp;IF(AND(LOWER(INDEX('Game Records'!$D:$D,$H106)&amp;"")="finalized",LOWER(INDEX('Game Records'!$L:$L,$H106)&amp;"")&lt;&gt;"yes",INDEX('Game Records'!$U:$U,$H106)&lt;&gt;"Subscription",INDEX('Game Records'!$U:$U,$H106)&lt;&gt;"Free Game",INDEX('Game Records'!$U:$U,$H106)&lt;&gt;"Disqualified — Free Game",INDEX('Game Records'!$K:$K,$H106)=""),"Final Payout; ","")&amp;IF(AND(LOWER(INDEX('Game Records'!$D:$D,$H106)&amp;"")="finalized",INDEX('Game Records'!$U:$U,$H106)&lt;&gt;"Subscription",INDEX('Game Records'!$U:$U,$H106)&lt;&gt;"Free Game",INDEX('Game Records'!$U:$U,$H106)&lt;&gt;"Disqualified — Free Game",OR(INDEX('Game Records'!$L:$L,$H106)="",LOWER(INDEX('Game Records'!$L:$L,$H106)&amp;"")="n/a")),"Disqualified Status; ",""))</f>
        <v/>
      </c>
      <c r="G106" s="23" t="str">
        <f t="array" ref="G106">IF($H106="","",IFERROR(INDEX('Game Records'!$M:$M,$H106),""))</f>
        <v/>
      </c>
      <c r="H106" s="3"/>
      <c r="I106" s="3"/>
      <c r="J106" s="3"/>
    </row>
    <row r="107" ht="24.0" customHeight="1">
      <c r="A107" s="18" t="str">
        <f t="shared" si="1"/>
        <v/>
      </c>
      <c r="B107" s="18" t="str">
        <f t="shared" si="2"/>
        <v/>
      </c>
      <c r="C107" s="23" t="str">
        <f t="array" ref="C107">IF($H107="","",IFERROR(INDEX('Game Records'!$A:$A,$H107),""))</f>
        <v/>
      </c>
      <c r="D107" s="23" t="str">
        <f t="array" ref="D107">IF($H107="","",IFERROR(INDEX('Game Records'!$U:$U,$H107),""))</f>
        <v/>
      </c>
      <c r="E107" s="23" t="str">
        <f t="array" ref="E107">IF($H107="","",LET(r,$H107,mode,LOWER(INDEX('Game Records'!$D:$D,r)&amp;""),endDate,INDEX('Game Records'!$C:$C,r),IF(mode="estimate",IF(endDate="","Estimate — End Date missing",IF(NOT(ISNUMBER(endDate)),"Estimate — Check End Date",IF(INT(endDate)&gt;=TODAY(),"In Progress — ends "&amp;TEXT(endDate,"mmm d, yyyy"),"Ready to Finalize"))),IF($F107="","No Highlighted Fields","Highlighted Fields Present"))))</f>
        <v/>
      </c>
      <c r="F107" s="23" t="str">
        <f t="array" ref="F107">IF($H107="","",IF(OR(NOT(_xlfn.ISFORMULA(INDEX('Game Records'!$N:$N,$H107))),NOT(_xlfn.ISFORMULA(INDEX('Game Records'!$O:$O,$H107))),NOT(_xlfn.ISFORMULA(INDEX('Game Records'!$P:$P,$H107))),NOT(_xlfn.ISFORMULA(INDEX('Game Records'!$Q:$Q,$H107))),NOT(_xlfn.ISFORMULA(INDEX('Game Records'!$R:$R,$H107))),NOT(_xlfn.ISFORMULA(INDEX('Game Records'!$S:$S,$H107))),NOT(_xlfn.ISFORMULA(INDEX('Game Records'!$T:$T,$H107))),NOT(_xlfn.ISFORMULA(INDEX('Game Records'!$U:$U,$H107))),NOT(_xlfn.ISFORMULA(INDEX('Game Records'!$V:$V,$H107))),NOT(_xlfn.ISFORMULA(INDEX('Game Records'!$W:$W,$H107))),NOT(_xlfn.ISFORMULA(INDEX('Game Records'!$X:$X,$H107))),NOT(_xlfn.ISFORMULA(INDEX('Game Records'!$Y:$Y,$H107))),NOT(_xlfn.ISFORMULA(INDEX('Game Records'!$Z:$Z,$H107)))),"","")&amp;IF(INDEX('Game Records'!$B:$B,$H107)="","Start Date; ","")&amp;IF(INDEX('Game Records'!$C:$C,$H107)="","End Date; ","")&amp;IF(AND(INDEX('Game Records'!$U:$U,$H107)&lt;&gt;"Subscription",INDEX('Game Records'!$U:$U,$H107)&lt;&gt;"Free Game",INDEX('Game Records'!$U:$U,$H107)&lt;&gt;"Disqualified — Free Game",OR(INDEX('Game Records'!$D:$D,$H107)="",LOWER(INDEX('Game Records'!$D:$D,$H107)&amp;"")="n/a")),"Entry Mode; ","")&amp;IF(AND(INDEX('Game Records'!$U:$U,$H107)&lt;&gt;"Subscription",INDEX('Game Records'!$U:$U,$H107)&lt;&gt;"Free Game",INDEX('Game Records'!$U:$U,$H107)&lt;&gt;"Disqualified — Free Game",OR(INDEX('Game Records'!$E:$E,$H107)="",LOWER(INDEX('Game Records'!$E:$E,$H107)&amp;"")="n/a")),"Game Type; ","")&amp;IF(INDEX('Game Records'!$F:$F,$H107)="","Payment Type; ","")&amp;IF(AND(INDEX('Game Records'!$U:$U,$H107)&lt;&gt;"Subscription",INDEX('Game Records'!$U:$U,$H107)&lt;&gt;"Free Game",INDEX('Game Records'!$U:$U,$H107)&lt;&gt;"Disqualified — Free Game",INDEX('Game Records'!$G:$G,$H107)=""),"Gross Pot; ","")&amp;IF(AND(INDEX('Game Records'!$U:$U,$H107)&lt;&gt;"Free Game",INDEX('Game Records'!$U:$U,$H107)&lt;&gt;"Disqualified — Free Game",INDEX('Game Records'!$H:$H,$H107)=""),"Entry Fee; ","")&amp;IF(AND(INDEX('Game Records'!$U:$U,$H107)&lt;&gt;"Subscription",INDEX('Game Records'!$U:$U,$H107)&lt;&gt;"Free Game",INDEX('Game Records'!$U:$U,$H107)&lt;&gt;"Disqualified — Free Game",INDEX('Game Records'!$I:$I,$H107)=""),"Eligible Players; ","")&amp;IF(AND(INDEX('Game Records'!$U:$U,$H107)&lt;&gt;"Subscription",INDEX('Game Records'!$U:$U,$H107)&lt;&gt;"Free Game",INDEX('Game Records'!$U:$U,$H107)&lt;&gt;"Disqualified — Free Game",INDEX('Game Records'!$J:$J,$H107)=""),"Total Players; ","")&amp;IF(AND(LOWER(INDEX('Game Records'!$D:$D,$H107)&amp;"")="finalized",LOWER(INDEX('Game Records'!$L:$L,$H107)&amp;"")&lt;&gt;"yes",INDEX('Game Records'!$U:$U,$H107)&lt;&gt;"Subscription",INDEX('Game Records'!$U:$U,$H107)&lt;&gt;"Free Game",INDEX('Game Records'!$U:$U,$H107)&lt;&gt;"Disqualified — Free Game",INDEX('Game Records'!$K:$K,$H107)=""),"Final Payout; ","")&amp;IF(AND(LOWER(INDEX('Game Records'!$D:$D,$H107)&amp;"")="finalized",INDEX('Game Records'!$U:$U,$H107)&lt;&gt;"Subscription",INDEX('Game Records'!$U:$U,$H107)&lt;&gt;"Free Game",INDEX('Game Records'!$U:$U,$H107)&lt;&gt;"Disqualified — Free Game",OR(INDEX('Game Records'!$L:$L,$H107)="",LOWER(INDEX('Game Records'!$L:$L,$H107)&amp;"")="n/a")),"Disqualified Status; ",""))</f>
        <v/>
      </c>
      <c r="G107" s="23" t="str">
        <f t="array" ref="G107">IF($H107="","",IFERROR(INDEX('Game Records'!$M:$M,$H107),""))</f>
        <v/>
      </c>
      <c r="H107" s="3"/>
      <c r="I107" s="3"/>
      <c r="J107" s="3"/>
    </row>
    <row r="108" ht="24.0" customHeight="1">
      <c r="A108" s="18" t="str">
        <f t="shared" si="1"/>
        <v/>
      </c>
      <c r="B108" s="18" t="str">
        <f t="shared" si="2"/>
        <v/>
      </c>
      <c r="C108" s="23" t="str">
        <f t="array" ref="C108">IF($H108="","",IFERROR(INDEX('Game Records'!$A:$A,$H108),""))</f>
        <v/>
      </c>
      <c r="D108" s="23" t="str">
        <f t="array" ref="D108">IF($H108="","",IFERROR(INDEX('Game Records'!$U:$U,$H108),""))</f>
        <v/>
      </c>
      <c r="E108" s="23" t="str">
        <f t="array" ref="E108">IF($H108="","",LET(r,$H108,mode,LOWER(INDEX('Game Records'!$D:$D,r)&amp;""),endDate,INDEX('Game Records'!$C:$C,r),IF(mode="estimate",IF(endDate="","Estimate — End Date missing",IF(NOT(ISNUMBER(endDate)),"Estimate — Check End Date",IF(INT(endDate)&gt;=TODAY(),"In Progress — ends "&amp;TEXT(endDate,"mmm d, yyyy"),"Ready to Finalize"))),IF($F108="","No Highlighted Fields","Highlighted Fields Present"))))</f>
        <v/>
      </c>
      <c r="F108" s="23" t="str">
        <f t="array" ref="F108">IF($H108="","",IF(OR(NOT(_xlfn.ISFORMULA(INDEX('Game Records'!$N:$N,$H108))),NOT(_xlfn.ISFORMULA(INDEX('Game Records'!$O:$O,$H108))),NOT(_xlfn.ISFORMULA(INDEX('Game Records'!$P:$P,$H108))),NOT(_xlfn.ISFORMULA(INDEX('Game Records'!$Q:$Q,$H108))),NOT(_xlfn.ISFORMULA(INDEX('Game Records'!$R:$R,$H108))),NOT(_xlfn.ISFORMULA(INDEX('Game Records'!$S:$S,$H108))),NOT(_xlfn.ISFORMULA(INDEX('Game Records'!$T:$T,$H108))),NOT(_xlfn.ISFORMULA(INDEX('Game Records'!$U:$U,$H108))),NOT(_xlfn.ISFORMULA(INDEX('Game Records'!$V:$V,$H108))),NOT(_xlfn.ISFORMULA(INDEX('Game Records'!$W:$W,$H108))),NOT(_xlfn.ISFORMULA(INDEX('Game Records'!$X:$X,$H108))),NOT(_xlfn.ISFORMULA(INDEX('Game Records'!$Y:$Y,$H108))),NOT(_xlfn.ISFORMULA(INDEX('Game Records'!$Z:$Z,$H108)))),"","")&amp;IF(INDEX('Game Records'!$B:$B,$H108)="","Start Date; ","")&amp;IF(INDEX('Game Records'!$C:$C,$H108)="","End Date; ","")&amp;IF(AND(INDEX('Game Records'!$U:$U,$H108)&lt;&gt;"Subscription",INDEX('Game Records'!$U:$U,$H108)&lt;&gt;"Free Game",INDEX('Game Records'!$U:$U,$H108)&lt;&gt;"Disqualified — Free Game",OR(INDEX('Game Records'!$D:$D,$H108)="",LOWER(INDEX('Game Records'!$D:$D,$H108)&amp;"")="n/a")),"Entry Mode; ","")&amp;IF(AND(INDEX('Game Records'!$U:$U,$H108)&lt;&gt;"Subscription",INDEX('Game Records'!$U:$U,$H108)&lt;&gt;"Free Game",INDEX('Game Records'!$U:$U,$H108)&lt;&gt;"Disqualified — Free Game",OR(INDEX('Game Records'!$E:$E,$H108)="",LOWER(INDEX('Game Records'!$E:$E,$H108)&amp;"")="n/a")),"Game Type; ","")&amp;IF(INDEX('Game Records'!$F:$F,$H108)="","Payment Type; ","")&amp;IF(AND(INDEX('Game Records'!$U:$U,$H108)&lt;&gt;"Subscription",INDEX('Game Records'!$U:$U,$H108)&lt;&gt;"Free Game",INDEX('Game Records'!$U:$U,$H108)&lt;&gt;"Disqualified — Free Game",INDEX('Game Records'!$G:$G,$H108)=""),"Gross Pot; ","")&amp;IF(AND(INDEX('Game Records'!$U:$U,$H108)&lt;&gt;"Free Game",INDEX('Game Records'!$U:$U,$H108)&lt;&gt;"Disqualified — Free Game",INDEX('Game Records'!$H:$H,$H108)=""),"Entry Fee; ","")&amp;IF(AND(INDEX('Game Records'!$U:$U,$H108)&lt;&gt;"Subscription",INDEX('Game Records'!$U:$U,$H108)&lt;&gt;"Free Game",INDEX('Game Records'!$U:$U,$H108)&lt;&gt;"Disqualified — Free Game",INDEX('Game Records'!$I:$I,$H108)=""),"Eligible Players; ","")&amp;IF(AND(INDEX('Game Records'!$U:$U,$H108)&lt;&gt;"Subscription",INDEX('Game Records'!$U:$U,$H108)&lt;&gt;"Free Game",INDEX('Game Records'!$U:$U,$H108)&lt;&gt;"Disqualified — Free Game",INDEX('Game Records'!$J:$J,$H108)=""),"Total Players; ","")&amp;IF(AND(LOWER(INDEX('Game Records'!$D:$D,$H108)&amp;"")="finalized",LOWER(INDEX('Game Records'!$L:$L,$H108)&amp;"")&lt;&gt;"yes",INDEX('Game Records'!$U:$U,$H108)&lt;&gt;"Subscription",INDEX('Game Records'!$U:$U,$H108)&lt;&gt;"Free Game",INDEX('Game Records'!$U:$U,$H108)&lt;&gt;"Disqualified — Free Game",INDEX('Game Records'!$K:$K,$H108)=""),"Final Payout; ","")&amp;IF(AND(LOWER(INDEX('Game Records'!$D:$D,$H108)&amp;"")="finalized",INDEX('Game Records'!$U:$U,$H108)&lt;&gt;"Subscription",INDEX('Game Records'!$U:$U,$H108)&lt;&gt;"Free Game",INDEX('Game Records'!$U:$U,$H108)&lt;&gt;"Disqualified — Free Game",OR(INDEX('Game Records'!$L:$L,$H108)="",LOWER(INDEX('Game Records'!$L:$L,$H108)&amp;"")="n/a")),"Disqualified Status; ",""))</f>
        <v/>
      </c>
      <c r="G108" s="23" t="str">
        <f t="array" ref="G108">IF($H108="","",IFERROR(INDEX('Game Records'!$M:$M,$H108),""))</f>
        <v/>
      </c>
      <c r="H108" s="3"/>
      <c r="I108" s="3"/>
      <c r="J108" s="3"/>
    </row>
    <row r="109" ht="24.0" customHeight="1">
      <c r="A109" s="18" t="str">
        <f t="shared" si="1"/>
        <v/>
      </c>
      <c r="B109" s="18" t="str">
        <f t="shared" si="2"/>
        <v/>
      </c>
      <c r="C109" s="23" t="str">
        <f t="array" ref="C109">IF($H109="","",IFERROR(INDEX('Game Records'!$A:$A,$H109),""))</f>
        <v/>
      </c>
      <c r="D109" s="23" t="str">
        <f t="array" ref="D109">IF($H109="","",IFERROR(INDEX('Game Records'!$U:$U,$H109),""))</f>
        <v/>
      </c>
      <c r="E109" s="23" t="str">
        <f t="array" ref="E109">IF($H109="","",LET(r,$H109,mode,LOWER(INDEX('Game Records'!$D:$D,r)&amp;""),endDate,INDEX('Game Records'!$C:$C,r),IF(mode="estimate",IF(endDate="","Estimate — End Date missing",IF(NOT(ISNUMBER(endDate)),"Estimate — Check End Date",IF(INT(endDate)&gt;=TODAY(),"In Progress — ends "&amp;TEXT(endDate,"mmm d, yyyy"),"Ready to Finalize"))),IF($F109="","No Highlighted Fields","Highlighted Fields Present"))))</f>
        <v/>
      </c>
      <c r="F109" s="23" t="str">
        <f t="array" ref="F109">IF($H109="","",IF(OR(NOT(_xlfn.ISFORMULA(INDEX('Game Records'!$N:$N,$H109))),NOT(_xlfn.ISFORMULA(INDEX('Game Records'!$O:$O,$H109))),NOT(_xlfn.ISFORMULA(INDEX('Game Records'!$P:$P,$H109))),NOT(_xlfn.ISFORMULA(INDEX('Game Records'!$Q:$Q,$H109))),NOT(_xlfn.ISFORMULA(INDEX('Game Records'!$R:$R,$H109))),NOT(_xlfn.ISFORMULA(INDEX('Game Records'!$S:$S,$H109))),NOT(_xlfn.ISFORMULA(INDEX('Game Records'!$T:$T,$H109))),NOT(_xlfn.ISFORMULA(INDEX('Game Records'!$U:$U,$H109))),NOT(_xlfn.ISFORMULA(INDEX('Game Records'!$V:$V,$H109))),NOT(_xlfn.ISFORMULA(INDEX('Game Records'!$W:$W,$H109))),NOT(_xlfn.ISFORMULA(INDEX('Game Records'!$X:$X,$H109))),NOT(_xlfn.ISFORMULA(INDEX('Game Records'!$Y:$Y,$H109))),NOT(_xlfn.ISFORMULA(INDEX('Game Records'!$Z:$Z,$H109)))),"","")&amp;IF(INDEX('Game Records'!$B:$B,$H109)="","Start Date; ","")&amp;IF(INDEX('Game Records'!$C:$C,$H109)="","End Date; ","")&amp;IF(AND(INDEX('Game Records'!$U:$U,$H109)&lt;&gt;"Subscription",INDEX('Game Records'!$U:$U,$H109)&lt;&gt;"Free Game",INDEX('Game Records'!$U:$U,$H109)&lt;&gt;"Disqualified — Free Game",OR(INDEX('Game Records'!$D:$D,$H109)="",LOWER(INDEX('Game Records'!$D:$D,$H109)&amp;"")="n/a")),"Entry Mode; ","")&amp;IF(AND(INDEX('Game Records'!$U:$U,$H109)&lt;&gt;"Subscription",INDEX('Game Records'!$U:$U,$H109)&lt;&gt;"Free Game",INDEX('Game Records'!$U:$U,$H109)&lt;&gt;"Disqualified — Free Game",OR(INDEX('Game Records'!$E:$E,$H109)="",LOWER(INDEX('Game Records'!$E:$E,$H109)&amp;"")="n/a")),"Game Type; ","")&amp;IF(INDEX('Game Records'!$F:$F,$H109)="","Payment Type; ","")&amp;IF(AND(INDEX('Game Records'!$U:$U,$H109)&lt;&gt;"Subscription",INDEX('Game Records'!$U:$U,$H109)&lt;&gt;"Free Game",INDEX('Game Records'!$U:$U,$H109)&lt;&gt;"Disqualified — Free Game",INDEX('Game Records'!$G:$G,$H109)=""),"Gross Pot; ","")&amp;IF(AND(INDEX('Game Records'!$U:$U,$H109)&lt;&gt;"Free Game",INDEX('Game Records'!$U:$U,$H109)&lt;&gt;"Disqualified — Free Game",INDEX('Game Records'!$H:$H,$H109)=""),"Entry Fee; ","")&amp;IF(AND(INDEX('Game Records'!$U:$U,$H109)&lt;&gt;"Subscription",INDEX('Game Records'!$U:$U,$H109)&lt;&gt;"Free Game",INDEX('Game Records'!$U:$U,$H109)&lt;&gt;"Disqualified — Free Game",INDEX('Game Records'!$I:$I,$H109)=""),"Eligible Players; ","")&amp;IF(AND(INDEX('Game Records'!$U:$U,$H109)&lt;&gt;"Subscription",INDEX('Game Records'!$U:$U,$H109)&lt;&gt;"Free Game",INDEX('Game Records'!$U:$U,$H109)&lt;&gt;"Disqualified — Free Game",INDEX('Game Records'!$J:$J,$H109)=""),"Total Players; ","")&amp;IF(AND(LOWER(INDEX('Game Records'!$D:$D,$H109)&amp;"")="finalized",LOWER(INDEX('Game Records'!$L:$L,$H109)&amp;"")&lt;&gt;"yes",INDEX('Game Records'!$U:$U,$H109)&lt;&gt;"Subscription",INDEX('Game Records'!$U:$U,$H109)&lt;&gt;"Free Game",INDEX('Game Records'!$U:$U,$H109)&lt;&gt;"Disqualified — Free Game",INDEX('Game Records'!$K:$K,$H109)=""),"Final Payout; ","")&amp;IF(AND(LOWER(INDEX('Game Records'!$D:$D,$H109)&amp;"")="finalized",INDEX('Game Records'!$U:$U,$H109)&lt;&gt;"Subscription",INDEX('Game Records'!$U:$U,$H109)&lt;&gt;"Free Game",INDEX('Game Records'!$U:$U,$H109)&lt;&gt;"Disqualified — Free Game",OR(INDEX('Game Records'!$L:$L,$H109)="",LOWER(INDEX('Game Records'!$L:$L,$H109)&amp;"")="n/a")),"Disqualified Status; ",""))</f>
        <v/>
      </c>
      <c r="G109" s="23" t="str">
        <f t="array" ref="G109">IF($H109="","",IFERROR(INDEX('Game Records'!$M:$M,$H109),""))</f>
        <v/>
      </c>
      <c r="H109" s="3"/>
      <c r="I109" s="3"/>
      <c r="J109" s="3"/>
    </row>
    <row r="110" ht="24.0" customHeight="1">
      <c r="A110" s="18" t="str">
        <f t="shared" si="1"/>
        <v/>
      </c>
      <c r="B110" s="18" t="str">
        <f t="shared" si="2"/>
        <v/>
      </c>
      <c r="C110" s="23" t="str">
        <f t="array" ref="C110">IF($H110="","",IFERROR(INDEX('Game Records'!$A:$A,$H110),""))</f>
        <v/>
      </c>
      <c r="D110" s="23" t="str">
        <f t="array" ref="D110">IF($H110="","",IFERROR(INDEX('Game Records'!$U:$U,$H110),""))</f>
        <v/>
      </c>
      <c r="E110" s="23" t="str">
        <f t="array" ref="E110">IF($H110="","",LET(r,$H110,mode,LOWER(INDEX('Game Records'!$D:$D,r)&amp;""),endDate,INDEX('Game Records'!$C:$C,r),IF(mode="estimate",IF(endDate="","Estimate — End Date missing",IF(NOT(ISNUMBER(endDate)),"Estimate — Check End Date",IF(INT(endDate)&gt;=TODAY(),"In Progress — ends "&amp;TEXT(endDate,"mmm d, yyyy"),"Ready to Finalize"))),IF($F110="","No Highlighted Fields","Highlighted Fields Present"))))</f>
        <v/>
      </c>
      <c r="F110" s="23" t="str">
        <f t="array" ref="F110">IF($H110="","",IF(OR(NOT(_xlfn.ISFORMULA(INDEX('Game Records'!$N:$N,$H110))),NOT(_xlfn.ISFORMULA(INDEX('Game Records'!$O:$O,$H110))),NOT(_xlfn.ISFORMULA(INDEX('Game Records'!$P:$P,$H110))),NOT(_xlfn.ISFORMULA(INDEX('Game Records'!$Q:$Q,$H110))),NOT(_xlfn.ISFORMULA(INDEX('Game Records'!$R:$R,$H110))),NOT(_xlfn.ISFORMULA(INDEX('Game Records'!$S:$S,$H110))),NOT(_xlfn.ISFORMULA(INDEX('Game Records'!$T:$T,$H110))),NOT(_xlfn.ISFORMULA(INDEX('Game Records'!$U:$U,$H110))),NOT(_xlfn.ISFORMULA(INDEX('Game Records'!$V:$V,$H110))),NOT(_xlfn.ISFORMULA(INDEX('Game Records'!$W:$W,$H110))),NOT(_xlfn.ISFORMULA(INDEX('Game Records'!$X:$X,$H110))),NOT(_xlfn.ISFORMULA(INDEX('Game Records'!$Y:$Y,$H110))),NOT(_xlfn.ISFORMULA(INDEX('Game Records'!$Z:$Z,$H110)))),"","")&amp;IF(INDEX('Game Records'!$B:$B,$H110)="","Start Date; ","")&amp;IF(INDEX('Game Records'!$C:$C,$H110)="","End Date; ","")&amp;IF(AND(INDEX('Game Records'!$U:$U,$H110)&lt;&gt;"Subscription",INDEX('Game Records'!$U:$U,$H110)&lt;&gt;"Free Game",INDEX('Game Records'!$U:$U,$H110)&lt;&gt;"Disqualified — Free Game",OR(INDEX('Game Records'!$D:$D,$H110)="",LOWER(INDEX('Game Records'!$D:$D,$H110)&amp;"")="n/a")),"Entry Mode; ","")&amp;IF(AND(INDEX('Game Records'!$U:$U,$H110)&lt;&gt;"Subscription",INDEX('Game Records'!$U:$U,$H110)&lt;&gt;"Free Game",INDEX('Game Records'!$U:$U,$H110)&lt;&gt;"Disqualified — Free Game",OR(INDEX('Game Records'!$E:$E,$H110)="",LOWER(INDEX('Game Records'!$E:$E,$H110)&amp;"")="n/a")),"Game Type; ","")&amp;IF(INDEX('Game Records'!$F:$F,$H110)="","Payment Type; ","")&amp;IF(AND(INDEX('Game Records'!$U:$U,$H110)&lt;&gt;"Subscription",INDEX('Game Records'!$U:$U,$H110)&lt;&gt;"Free Game",INDEX('Game Records'!$U:$U,$H110)&lt;&gt;"Disqualified — Free Game",INDEX('Game Records'!$G:$G,$H110)=""),"Gross Pot; ","")&amp;IF(AND(INDEX('Game Records'!$U:$U,$H110)&lt;&gt;"Free Game",INDEX('Game Records'!$U:$U,$H110)&lt;&gt;"Disqualified — Free Game",INDEX('Game Records'!$H:$H,$H110)=""),"Entry Fee; ","")&amp;IF(AND(INDEX('Game Records'!$U:$U,$H110)&lt;&gt;"Subscription",INDEX('Game Records'!$U:$U,$H110)&lt;&gt;"Free Game",INDEX('Game Records'!$U:$U,$H110)&lt;&gt;"Disqualified — Free Game",INDEX('Game Records'!$I:$I,$H110)=""),"Eligible Players; ","")&amp;IF(AND(INDEX('Game Records'!$U:$U,$H110)&lt;&gt;"Subscription",INDEX('Game Records'!$U:$U,$H110)&lt;&gt;"Free Game",INDEX('Game Records'!$U:$U,$H110)&lt;&gt;"Disqualified — Free Game",INDEX('Game Records'!$J:$J,$H110)=""),"Total Players; ","")&amp;IF(AND(LOWER(INDEX('Game Records'!$D:$D,$H110)&amp;"")="finalized",LOWER(INDEX('Game Records'!$L:$L,$H110)&amp;"")&lt;&gt;"yes",INDEX('Game Records'!$U:$U,$H110)&lt;&gt;"Subscription",INDEX('Game Records'!$U:$U,$H110)&lt;&gt;"Free Game",INDEX('Game Records'!$U:$U,$H110)&lt;&gt;"Disqualified — Free Game",INDEX('Game Records'!$K:$K,$H110)=""),"Final Payout; ","")&amp;IF(AND(LOWER(INDEX('Game Records'!$D:$D,$H110)&amp;"")="finalized",INDEX('Game Records'!$U:$U,$H110)&lt;&gt;"Subscription",INDEX('Game Records'!$U:$U,$H110)&lt;&gt;"Free Game",INDEX('Game Records'!$U:$U,$H110)&lt;&gt;"Disqualified — Free Game",OR(INDEX('Game Records'!$L:$L,$H110)="",LOWER(INDEX('Game Records'!$L:$L,$H110)&amp;"")="n/a")),"Disqualified Status; ",""))</f>
        <v/>
      </c>
      <c r="G110" s="23" t="str">
        <f t="array" ref="G110">IF($H110="","",IFERROR(INDEX('Game Records'!$M:$M,$H110),""))</f>
        <v/>
      </c>
      <c r="H110" s="3"/>
      <c r="I110" s="3"/>
      <c r="J110" s="3"/>
    </row>
    <row r="111" ht="24.0" customHeight="1">
      <c r="A111" s="18" t="str">
        <f t="shared" si="1"/>
        <v/>
      </c>
      <c r="B111" s="18" t="str">
        <f t="shared" si="2"/>
        <v/>
      </c>
      <c r="C111" s="23" t="str">
        <f t="array" ref="C111">IF($H111="","",IFERROR(INDEX('Game Records'!$A:$A,$H111),""))</f>
        <v/>
      </c>
      <c r="D111" s="23" t="str">
        <f t="array" ref="D111">IF($H111="","",IFERROR(INDEX('Game Records'!$U:$U,$H111),""))</f>
        <v/>
      </c>
      <c r="E111" s="23" t="str">
        <f t="array" ref="E111">IF($H111="","",LET(r,$H111,mode,LOWER(INDEX('Game Records'!$D:$D,r)&amp;""),endDate,INDEX('Game Records'!$C:$C,r),IF(mode="estimate",IF(endDate="","Estimate — End Date missing",IF(NOT(ISNUMBER(endDate)),"Estimate — Check End Date",IF(INT(endDate)&gt;=TODAY(),"In Progress — ends "&amp;TEXT(endDate,"mmm d, yyyy"),"Ready to Finalize"))),IF($F111="","No Highlighted Fields","Highlighted Fields Present"))))</f>
        <v/>
      </c>
      <c r="F111" s="23" t="str">
        <f t="array" ref="F111">IF($H111="","",IF(OR(NOT(_xlfn.ISFORMULA(INDEX('Game Records'!$N:$N,$H111))),NOT(_xlfn.ISFORMULA(INDEX('Game Records'!$O:$O,$H111))),NOT(_xlfn.ISFORMULA(INDEX('Game Records'!$P:$P,$H111))),NOT(_xlfn.ISFORMULA(INDEX('Game Records'!$Q:$Q,$H111))),NOT(_xlfn.ISFORMULA(INDEX('Game Records'!$R:$R,$H111))),NOT(_xlfn.ISFORMULA(INDEX('Game Records'!$S:$S,$H111))),NOT(_xlfn.ISFORMULA(INDEX('Game Records'!$T:$T,$H111))),NOT(_xlfn.ISFORMULA(INDEX('Game Records'!$U:$U,$H111))),NOT(_xlfn.ISFORMULA(INDEX('Game Records'!$V:$V,$H111))),NOT(_xlfn.ISFORMULA(INDEX('Game Records'!$W:$W,$H111))),NOT(_xlfn.ISFORMULA(INDEX('Game Records'!$X:$X,$H111))),NOT(_xlfn.ISFORMULA(INDEX('Game Records'!$Y:$Y,$H111))),NOT(_xlfn.ISFORMULA(INDEX('Game Records'!$Z:$Z,$H111)))),"","")&amp;IF(INDEX('Game Records'!$B:$B,$H111)="","Start Date; ","")&amp;IF(INDEX('Game Records'!$C:$C,$H111)="","End Date; ","")&amp;IF(AND(INDEX('Game Records'!$U:$U,$H111)&lt;&gt;"Subscription",INDEX('Game Records'!$U:$U,$H111)&lt;&gt;"Free Game",INDEX('Game Records'!$U:$U,$H111)&lt;&gt;"Disqualified — Free Game",OR(INDEX('Game Records'!$D:$D,$H111)="",LOWER(INDEX('Game Records'!$D:$D,$H111)&amp;"")="n/a")),"Entry Mode; ","")&amp;IF(AND(INDEX('Game Records'!$U:$U,$H111)&lt;&gt;"Subscription",INDEX('Game Records'!$U:$U,$H111)&lt;&gt;"Free Game",INDEX('Game Records'!$U:$U,$H111)&lt;&gt;"Disqualified — Free Game",OR(INDEX('Game Records'!$E:$E,$H111)="",LOWER(INDEX('Game Records'!$E:$E,$H111)&amp;"")="n/a")),"Game Type; ","")&amp;IF(INDEX('Game Records'!$F:$F,$H111)="","Payment Type; ","")&amp;IF(AND(INDEX('Game Records'!$U:$U,$H111)&lt;&gt;"Subscription",INDEX('Game Records'!$U:$U,$H111)&lt;&gt;"Free Game",INDEX('Game Records'!$U:$U,$H111)&lt;&gt;"Disqualified — Free Game",INDEX('Game Records'!$G:$G,$H111)=""),"Gross Pot; ","")&amp;IF(AND(INDEX('Game Records'!$U:$U,$H111)&lt;&gt;"Free Game",INDEX('Game Records'!$U:$U,$H111)&lt;&gt;"Disqualified — Free Game",INDEX('Game Records'!$H:$H,$H111)=""),"Entry Fee; ","")&amp;IF(AND(INDEX('Game Records'!$U:$U,$H111)&lt;&gt;"Subscription",INDEX('Game Records'!$U:$U,$H111)&lt;&gt;"Free Game",INDEX('Game Records'!$U:$U,$H111)&lt;&gt;"Disqualified — Free Game",INDEX('Game Records'!$I:$I,$H111)=""),"Eligible Players; ","")&amp;IF(AND(INDEX('Game Records'!$U:$U,$H111)&lt;&gt;"Subscription",INDEX('Game Records'!$U:$U,$H111)&lt;&gt;"Free Game",INDEX('Game Records'!$U:$U,$H111)&lt;&gt;"Disqualified — Free Game",INDEX('Game Records'!$J:$J,$H111)=""),"Total Players; ","")&amp;IF(AND(LOWER(INDEX('Game Records'!$D:$D,$H111)&amp;"")="finalized",LOWER(INDEX('Game Records'!$L:$L,$H111)&amp;"")&lt;&gt;"yes",INDEX('Game Records'!$U:$U,$H111)&lt;&gt;"Subscription",INDEX('Game Records'!$U:$U,$H111)&lt;&gt;"Free Game",INDEX('Game Records'!$U:$U,$H111)&lt;&gt;"Disqualified — Free Game",INDEX('Game Records'!$K:$K,$H111)=""),"Final Payout; ","")&amp;IF(AND(LOWER(INDEX('Game Records'!$D:$D,$H111)&amp;"")="finalized",INDEX('Game Records'!$U:$U,$H111)&lt;&gt;"Subscription",INDEX('Game Records'!$U:$U,$H111)&lt;&gt;"Free Game",INDEX('Game Records'!$U:$U,$H111)&lt;&gt;"Disqualified — Free Game",OR(INDEX('Game Records'!$L:$L,$H111)="",LOWER(INDEX('Game Records'!$L:$L,$H111)&amp;"")="n/a")),"Disqualified Status; ",""))</f>
        <v/>
      </c>
      <c r="G111" s="23" t="str">
        <f t="array" ref="G111">IF($H111="","",IFERROR(INDEX('Game Records'!$M:$M,$H111),""))</f>
        <v/>
      </c>
      <c r="H111" s="3"/>
      <c r="I111" s="3"/>
      <c r="J111" s="3"/>
    </row>
    <row r="112" ht="24.0" customHeight="1">
      <c r="A112" s="18" t="str">
        <f t="shared" si="1"/>
        <v/>
      </c>
      <c r="B112" s="18" t="str">
        <f t="shared" si="2"/>
        <v/>
      </c>
      <c r="C112" s="23" t="str">
        <f t="array" ref="C112">IF($H112="","",IFERROR(INDEX('Game Records'!$A:$A,$H112),""))</f>
        <v/>
      </c>
      <c r="D112" s="23" t="str">
        <f t="array" ref="D112">IF($H112="","",IFERROR(INDEX('Game Records'!$U:$U,$H112),""))</f>
        <v/>
      </c>
      <c r="E112" s="23" t="str">
        <f t="array" ref="E112">IF($H112="","",LET(r,$H112,mode,LOWER(INDEX('Game Records'!$D:$D,r)&amp;""),endDate,INDEX('Game Records'!$C:$C,r),IF(mode="estimate",IF(endDate="","Estimate — End Date missing",IF(NOT(ISNUMBER(endDate)),"Estimate — Check End Date",IF(INT(endDate)&gt;=TODAY(),"In Progress — ends "&amp;TEXT(endDate,"mmm d, yyyy"),"Ready to Finalize"))),IF($F112="","No Highlighted Fields","Highlighted Fields Present"))))</f>
        <v/>
      </c>
      <c r="F112" s="23" t="str">
        <f t="array" ref="F112">IF($H112="","",IF(OR(NOT(_xlfn.ISFORMULA(INDEX('Game Records'!$N:$N,$H112))),NOT(_xlfn.ISFORMULA(INDEX('Game Records'!$O:$O,$H112))),NOT(_xlfn.ISFORMULA(INDEX('Game Records'!$P:$P,$H112))),NOT(_xlfn.ISFORMULA(INDEX('Game Records'!$Q:$Q,$H112))),NOT(_xlfn.ISFORMULA(INDEX('Game Records'!$R:$R,$H112))),NOT(_xlfn.ISFORMULA(INDEX('Game Records'!$S:$S,$H112))),NOT(_xlfn.ISFORMULA(INDEX('Game Records'!$T:$T,$H112))),NOT(_xlfn.ISFORMULA(INDEX('Game Records'!$U:$U,$H112))),NOT(_xlfn.ISFORMULA(INDEX('Game Records'!$V:$V,$H112))),NOT(_xlfn.ISFORMULA(INDEX('Game Records'!$W:$W,$H112))),NOT(_xlfn.ISFORMULA(INDEX('Game Records'!$X:$X,$H112))),NOT(_xlfn.ISFORMULA(INDEX('Game Records'!$Y:$Y,$H112))),NOT(_xlfn.ISFORMULA(INDEX('Game Records'!$Z:$Z,$H112)))),"","")&amp;IF(INDEX('Game Records'!$B:$B,$H112)="","Start Date; ","")&amp;IF(INDEX('Game Records'!$C:$C,$H112)="","End Date; ","")&amp;IF(AND(INDEX('Game Records'!$U:$U,$H112)&lt;&gt;"Subscription",INDEX('Game Records'!$U:$U,$H112)&lt;&gt;"Free Game",INDEX('Game Records'!$U:$U,$H112)&lt;&gt;"Disqualified — Free Game",OR(INDEX('Game Records'!$D:$D,$H112)="",LOWER(INDEX('Game Records'!$D:$D,$H112)&amp;"")="n/a")),"Entry Mode; ","")&amp;IF(AND(INDEX('Game Records'!$U:$U,$H112)&lt;&gt;"Subscription",INDEX('Game Records'!$U:$U,$H112)&lt;&gt;"Free Game",INDEX('Game Records'!$U:$U,$H112)&lt;&gt;"Disqualified — Free Game",OR(INDEX('Game Records'!$E:$E,$H112)="",LOWER(INDEX('Game Records'!$E:$E,$H112)&amp;"")="n/a")),"Game Type; ","")&amp;IF(INDEX('Game Records'!$F:$F,$H112)="","Payment Type; ","")&amp;IF(AND(INDEX('Game Records'!$U:$U,$H112)&lt;&gt;"Subscription",INDEX('Game Records'!$U:$U,$H112)&lt;&gt;"Free Game",INDEX('Game Records'!$U:$U,$H112)&lt;&gt;"Disqualified — Free Game",INDEX('Game Records'!$G:$G,$H112)=""),"Gross Pot; ","")&amp;IF(AND(INDEX('Game Records'!$U:$U,$H112)&lt;&gt;"Free Game",INDEX('Game Records'!$U:$U,$H112)&lt;&gt;"Disqualified — Free Game",INDEX('Game Records'!$H:$H,$H112)=""),"Entry Fee; ","")&amp;IF(AND(INDEX('Game Records'!$U:$U,$H112)&lt;&gt;"Subscription",INDEX('Game Records'!$U:$U,$H112)&lt;&gt;"Free Game",INDEX('Game Records'!$U:$U,$H112)&lt;&gt;"Disqualified — Free Game",INDEX('Game Records'!$I:$I,$H112)=""),"Eligible Players; ","")&amp;IF(AND(INDEX('Game Records'!$U:$U,$H112)&lt;&gt;"Subscription",INDEX('Game Records'!$U:$U,$H112)&lt;&gt;"Free Game",INDEX('Game Records'!$U:$U,$H112)&lt;&gt;"Disqualified — Free Game",INDEX('Game Records'!$J:$J,$H112)=""),"Total Players; ","")&amp;IF(AND(LOWER(INDEX('Game Records'!$D:$D,$H112)&amp;"")="finalized",LOWER(INDEX('Game Records'!$L:$L,$H112)&amp;"")&lt;&gt;"yes",INDEX('Game Records'!$U:$U,$H112)&lt;&gt;"Subscription",INDEX('Game Records'!$U:$U,$H112)&lt;&gt;"Free Game",INDEX('Game Records'!$U:$U,$H112)&lt;&gt;"Disqualified — Free Game",INDEX('Game Records'!$K:$K,$H112)=""),"Final Payout; ","")&amp;IF(AND(LOWER(INDEX('Game Records'!$D:$D,$H112)&amp;"")="finalized",INDEX('Game Records'!$U:$U,$H112)&lt;&gt;"Subscription",INDEX('Game Records'!$U:$U,$H112)&lt;&gt;"Free Game",INDEX('Game Records'!$U:$U,$H112)&lt;&gt;"Disqualified — Free Game",OR(INDEX('Game Records'!$L:$L,$H112)="",LOWER(INDEX('Game Records'!$L:$L,$H112)&amp;"")="n/a")),"Disqualified Status; ",""))</f>
        <v/>
      </c>
      <c r="G112" s="23" t="str">
        <f t="array" ref="G112">IF($H112="","",IFERROR(INDEX('Game Records'!$M:$M,$H112),""))</f>
        <v/>
      </c>
      <c r="H112" s="3"/>
      <c r="I112" s="3"/>
      <c r="J112" s="3"/>
    </row>
    <row r="113" ht="24.0" customHeight="1">
      <c r="A113" s="18" t="str">
        <f t="shared" si="1"/>
        <v/>
      </c>
      <c r="B113" s="18" t="str">
        <f t="shared" si="2"/>
        <v/>
      </c>
      <c r="C113" s="23" t="str">
        <f t="array" ref="C113">IF($H113="","",IFERROR(INDEX('Game Records'!$A:$A,$H113),""))</f>
        <v/>
      </c>
      <c r="D113" s="23" t="str">
        <f t="array" ref="D113">IF($H113="","",IFERROR(INDEX('Game Records'!$U:$U,$H113),""))</f>
        <v/>
      </c>
      <c r="E113" s="23" t="str">
        <f t="array" ref="E113">IF($H113="","",LET(r,$H113,mode,LOWER(INDEX('Game Records'!$D:$D,r)&amp;""),endDate,INDEX('Game Records'!$C:$C,r),IF(mode="estimate",IF(endDate="","Estimate — End Date missing",IF(NOT(ISNUMBER(endDate)),"Estimate — Check End Date",IF(INT(endDate)&gt;=TODAY(),"In Progress — ends "&amp;TEXT(endDate,"mmm d, yyyy"),"Ready to Finalize"))),IF($F113="","No Highlighted Fields","Highlighted Fields Present"))))</f>
        <v/>
      </c>
      <c r="F113" s="23" t="str">
        <f t="array" ref="F113">IF($H113="","",IF(OR(NOT(_xlfn.ISFORMULA(INDEX('Game Records'!$N:$N,$H113))),NOT(_xlfn.ISFORMULA(INDEX('Game Records'!$O:$O,$H113))),NOT(_xlfn.ISFORMULA(INDEX('Game Records'!$P:$P,$H113))),NOT(_xlfn.ISFORMULA(INDEX('Game Records'!$Q:$Q,$H113))),NOT(_xlfn.ISFORMULA(INDEX('Game Records'!$R:$R,$H113))),NOT(_xlfn.ISFORMULA(INDEX('Game Records'!$S:$S,$H113))),NOT(_xlfn.ISFORMULA(INDEX('Game Records'!$T:$T,$H113))),NOT(_xlfn.ISFORMULA(INDEX('Game Records'!$U:$U,$H113))),NOT(_xlfn.ISFORMULA(INDEX('Game Records'!$V:$V,$H113))),NOT(_xlfn.ISFORMULA(INDEX('Game Records'!$W:$W,$H113))),NOT(_xlfn.ISFORMULA(INDEX('Game Records'!$X:$X,$H113))),NOT(_xlfn.ISFORMULA(INDEX('Game Records'!$Y:$Y,$H113))),NOT(_xlfn.ISFORMULA(INDEX('Game Records'!$Z:$Z,$H113)))),"","")&amp;IF(INDEX('Game Records'!$B:$B,$H113)="","Start Date; ","")&amp;IF(INDEX('Game Records'!$C:$C,$H113)="","End Date; ","")&amp;IF(AND(INDEX('Game Records'!$U:$U,$H113)&lt;&gt;"Subscription",INDEX('Game Records'!$U:$U,$H113)&lt;&gt;"Free Game",INDEX('Game Records'!$U:$U,$H113)&lt;&gt;"Disqualified — Free Game",OR(INDEX('Game Records'!$D:$D,$H113)="",LOWER(INDEX('Game Records'!$D:$D,$H113)&amp;"")="n/a")),"Entry Mode; ","")&amp;IF(AND(INDEX('Game Records'!$U:$U,$H113)&lt;&gt;"Subscription",INDEX('Game Records'!$U:$U,$H113)&lt;&gt;"Free Game",INDEX('Game Records'!$U:$U,$H113)&lt;&gt;"Disqualified — Free Game",OR(INDEX('Game Records'!$E:$E,$H113)="",LOWER(INDEX('Game Records'!$E:$E,$H113)&amp;"")="n/a")),"Game Type; ","")&amp;IF(INDEX('Game Records'!$F:$F,$H113)="","Payment Type; ","")&amp;IF(AND(INDEX('Game Records'!$U:$U,$H113)&lt;&gt;"Subscription",INDEX('Game Records'!$U:$U,$H113)&lt;&gt;"Free Game",INDEX('Game Records'!$U:$U,$H113)&lt;&gt;"Disqualified — Free Game",INDEX('Game Records'!$G:$G,$H113)=""),"Gross Pot; ","")&amp;IF(AND(INDEX('Game Records'!$U:$U,$H113)&lt;&gt;"Free Game",INDEX('Game Records'!$U:$U,$H113)&lt;&gt;"Disqualified — Free Game",INDEX('Game Records'!$H:$H,$H113)=""),"Entry Fee; ","")&amp;IF(AND(INDEX('Game Records'!$U:$U,$H113)&lt;&gt;"Subscription",INDEX('Game Records'!$U:$U,$H113)&lt;&gt;"Free Game",INDEX('Game Records'!$U:$U,$H113)&lt;&gt;"Disqualified — Free Game",INDEX('Game Records'!$I:$I,$H113)=""),"Eligible Players; ","")&amp;IF(AND(INDEX('Game Records'!$U:$U,$H113)&lt;&gt;"Subscription",INDEX('Game Records'!$U:$U,$H113)&lt;&gt;"Free Game",INDEX('Game Records'!$U:$U,$H113)&lt;&gt;"Disqualified — Free Game",INDEX('Game Records'!$J:$J,$H113)=""),"Total Players; ","")&amp;IF(AND(LOWER(INDEX('Game Records'!$D:$D,$H113)&amp;"")="finalized",LOWER(INDEX('Game Records'!$L:$L,$H113)&amp;"")&lt;&gt;"yes",INDEX('Game Records'!$U:$U,$H113)&lt;&gt;"Subscription",INDEX('Game Records'!$U:$U,$H113)&lt;&gt;"Free Game",INDEX('Game Records'!$U:$U,$H113)&lt;&gt;"Disqualified — Free Game",INDEX('Game Records'!$K:$K,$H113)=""),"Final Payout; ","")&amp;IF(AND(LOWER(INDEX('Game Records'!$D:$D,$H113)&amp;"")="finalized",INDEX('Game Records'!$U:$U,$H113)&lt;&gt;"Subscription",INDEX('Game Records'!$U:$U,$H113)&lt;&gt;"Free Game",INDEX('Game Records'!$U:$U,$H113)&lt;&gt;"Disqualified — Free Game",OR(INDEX('Game Records'!$L:$L,$H113)="",LOWER(INDEX('Game Records'!$L:$L,$H113)&amp;"")="n/a")),"Disqualified Status; ",""))</f>
        <v/>
      </c>
      <c r="G113" s="23" t="str">
        <f t="array" ref="G113">IF($H113="","",IFERROR(INDEX('Game Records'!$M:$M,$H113),""))</f>
        <v/>
      </c>
      <c r="H113" s="3"/>
      <c r="I113" s="3"/>
      <c r="J113" s="3"/>
    </row>
    <row r="114" ht="24.0" customHeight="1">
      <c r="A114" s="18" t="str">
        <f t="shared" si="1"/>
        <v/>
      </c>
      <c r="B114" s="18" t="str">
        <f t="shared" si="2"/>
        <v/>
      </c>
      <c r="C114" s="23" t="str">
        <f t="array" ref="C114">IF($H114="","",IFERROR(INDEX('Game Records'!$A:$A,$H114),""))</f>
        <v/>
      </c>
      <c r="D114" s="23" t="str">
        <f t="array" ref="D114">IF($H114="","",IFERROR(INDEX('Game Records'!$U:$U,$H114),""))</f>
        <v/>
      </c>
      <c r="E114" s="23" t="str">
        <f t="array" ref="E114">IF($H114="","",LET(r,$H114,mode,LOWER(INDEX('Game Records'!$D:$D,r)&amp;""),endDate,INDEX('Game Records'!$C:$C,r),IF(mode="estimate",IF(endDate="","Estimate — End Date missing",IF(NOT(ISNUMBER(endDate)),"Estimate — Check End Date",IF(INT(endDate)&gt;=TODAY(),"In Progress — ends "&amp;TEXT(endDate,"mmm d, yyyy"),"Ready to Finalize"))),IF($F114="","No Highlighted Fields","Highlighted Fields Present"))))</f>
        <v/>
      </c>
      <c r="F114" s="23" t="str">
        <f t="array" ref="F114">IF($H114="","",IF(OR(NOT(_xlfn.ISFORMULA(INDEX('Game Records'!$N:$N,$H114))),NOT(_xlfn.ISFORMULA(INDEX('Game Records'!$O:$O,$H114))),NOT(_xlfn.ISFORMULA(INDEX('Game Records'!$P:$P,$H114))),NOT(_xlfn.ISFORMULA(INDEX('Game Records'!$Q:$Q,$H114))),NOT(_xlfn.ISFORMULA(INDEX('Game Records'!$R:$R,$H114))),NOT(_xlfn.ISFORMULA(INDEX('Game Records'!$S:$S,$H114))),NOT(_xlfn.ISFORMULA(INDEX('Game Records'!$T:$T,$H114))),NOT(_xlfn.ISFORMULA(INDEX('Game Records'!$U:$U,$H114))),NOT(_xlfn.ISFORMULA(INDEX('Game Records'!$V:$V,$H114))),NOT(_xlfn.ISFORMULA(INDEX('Game Records'!$W:$W,$H114))),NOT(_xlfn.ISFORMULA(INDEX('Game Records'!$X:$X,$H114))),NOT(_xlfn.ISFORMULA(INDEX('Game Records'!$Y:$Y,$H114))),NOT(_xlfn.ISFORMULA(INDEX('Game Records'!$Z:$Z,$H114)))),"","")&amp;IF(INDEX('Game Records'!$B:$B,$H114)="","Start Date; ","")&amp;IF(INDEX('Game Records'!$C:$C,$H114)="","End Date; ","")&amp;IF(AND(INDEX('Game Records'!$U:$U,$H114)&lt;&gt;"Subscription",INDEX('Game Records'!$U:$U,$H114)&lt;&gt;"Free Game",INDEX('Game Records'!$U:$U,$H114)&lt;&gt;"Disqualified — Free Game",OR(INDEX('Game Records'!$D:$D,$H114)="",LOWER(INDEX('Game Records'!$D:$D,$H114)&amp;"")="n/a")),"Entry Mode; ","")&amp;IF(AND(INDEX('Game Records'!$U:$U,$H114)&lt;&gt;"Subscription",INDEX('Game Records'!$U:$U,$H114)&lt;&gt;"Free Game",INDEX('Game Records'!$U:$U,$H114)&lt;&gt;"Disqualified — Free Game",OR(INDEX('Game Records'!$E:$E,$H114)="",LOWER(INDEX('Game Records'!$E:$E,$H114)&amp;"")="n/a")),"Game Type; ","")&amp;IF(INDEX('Game Records'!$F:$F,$H114)="","Payment Type; ","")&amp;IF(AND(INDEX('Game Records'!$U:$U,$H114)&lt;&gt;"Subscription",INDEX('Game Records'!$U:$U,$H114)&lt;&gt;"Free Game",INDEX('Game Records'!$U:$U,$H114)&lt;&gt;"Disqualified — Free Game",INDEX('Game Records'!$G:$G,$H114)=""),"Gross Pot; ","")&amp;IF(AND(INDEX('Game Records'!$U:$U,$H114)&lt;&gt;"Free Game",INDEX('Game Records'!$U:$U,$H114)&lt;&gt;"Disqualified — Free Game",INDEX('Game Records'!$H:$H,$H114)=""),"Entry Fee; ","")&amp;IF(AND(INDEX('Game Records'!$U:$U,$H114)&lt;&gt;"Subscription",INDEX('Game Records'!$U:$U,$H114)&lt;&gt;"Free Game",INDEX('Game Records'!$U:$U,$H114)&lt;&gt;"Disqualified — Free Game",INDEX('Game Records'!$I:$I,$H114)=""),"Eligible Players; ","")&amp;IF(AND(INDEX('Game Records'!$U:$U,$H114)&lt;&gt;"Subscription",INDEX('Game Records'!$U:$U,$H114)&lt;&gt;"Free Game",INDEX('Game Records'!$U:$U,$H114)&lt;&gt;"Disqualified — Free Game",INDEX('Game Records'!$J:$J,$H114)=""),"Total Players; ","")&amp;IF(AND(LOWER(INDEX('Game Records'!$D:$D,$H114)&amp;"")="finalized",LOWER(INDEX('Game Records'!$L:$L,$H114)&amp;"")&lt;&gt;"yes",INDEX('Game Records'!$U:$U,$H114)&lt;&gt;"Subscription",INDEX('Game Records'!$U:$U,$H114)&lt;&gt;"Free Game",INDEX('Game Records'!$U:$U,$H114)&lt;&gt;"Disqualified — Free Game",INDEX('Game Records'!$K:$K,$H114)=""),"Final Payout; ","")&amp;IF(AND(LOWER(INDEX('Game Records'!$D:$D,$H114)&amp;"")="finalized",INDEX('Game Records'!$U:$U,$H114)&lt;&gt;"Subscription",INDEX('Game Records'!$U:$U,$H114)&lt;&gt;"Free Game",INDEX('Game Records'!$U:$U,$H114)&lt;&gt;"Disqualified — Free Game",OR(INDEX('Game Records'!$L:$L,$H114)="",LOWER(INDEX('Game Records'!$L:$L,$H114)&amp;"")="n/a")),"Disqualified Status; ",""))</f>
        <v/>
      </c>
      <c r="G114" s="23" t="str">
        <f t="array" ref="G114">IF($H114="","",IFERROR(INDEX('Game Records'!$M:$M,$H114),""))</f>
        <v/>
      </c>
      <c r="H114" s="3"/>
      <c r="I114" s="3"/>
      <c r="J114" s="3"/>
    </row>
    <row r="115" ht="24.0" customHeight="1">
      <c r="A115" s="18" t="str">
        <f t="shared" si="1"/>
        <v/>
      </c>
      <c r="B115" s="18" t="str">
        <f t="shared" si="2"/>
        <v/>
      </c>
      <c r="C115" s="23" t="str">
        <f t="array" ref="C115">IF($H115="","",IFERROR(INDEX('Game Records'!$A:$A,$H115),""))</f>
        <v/>
      </c>
      <c r="D115" s="23" t="str">
        <f t="array" ref="D115">IF($H115="","",IFERROR(INDEX('Game Records'!$U:$U,$H115),""))</f>
        <v/>
      </c>
      <c r="E115" s="23" t="str">
        <f t="array" ref="E115">IF($H115="","",LET(r,$H115,mode,LOWER(INDEX('Game Records'!$D:$D,r)&amp;""),endDate,INDEX('Game Records'!$C:$C,r),IF(mode="estimate",IF(endDate="","Estimate — End Date missing",IF(NOT(ISNUMBER(endDate)),"Estimate — Check End Date",IF(INT(endDate)&gt;=TODAY(),"In Progress — ends "&amp;TEXT(endDate,"mmm d, yyyy"),"Ready to Finalize"))),IF($F115="","No Highlighted Fields","Highlighted Fields Present"))))</f>
        <v/>
      </c>
      <c r="F115" s="23" t="str">
        <f t="array" ref="F115">IF($H115="","",IF(OR(NOT(_xlfn.ISFORMULA(INDEX('Game Records'!$N:$N,$H115))),NOT(_xlfn.ISFORMULA(INDEX('Game Records'!$O:$O,$H115))),NOT(_xlfn.ISFORMULA(INDEX('Game Records'!$P:$P,$H115))),NOT(_xlfn.ISFORMULA(INDEX('Game Records'!$Q:$Q,$H115))),NOT(_xlfn.ISFORMULA(INDEX('Game Records'!$R:$R,$H115))),NOT(_xlfn.ISFORMULA(INDEX('Game Records'!$S:$S,$H115))),NOT(_xlfn.ISFORMULA(INDEX('Game Records'!$T:$T,$H115))),NOT(_xlfn.ISFORMULA(INDEX('Game Records'!$U:$U,$H115))),NOT(_xlfn.ISFORMULA(INDEX('Game Records'!$V:$V,$H115))),NOT(_xlfn.ISFORMULA(INDEX('Game Records'!$W:$W,$H115))),NOT(_xlfn.ISFORMULA(INDEX('Game Records'!$X:$X,$H115))),NOT(_xlfn.ISFORMULA(INDEX('Game Records'!$Y:$Y,$H115))),NOT(_xlfn.ISFORMULA(INDEX('Game Records'!$Z:$Z,$H115)))),"","")&amp;IF(INDEX('Game Records'!$B:$B,$H115)="","Start Date; ","")&amp;IF(INDEX('Game Records'!$C:$C,$H115)="","End Date; ","")&amp;IF(AND(INDEX('Game Records'!$U:$U,$H115)&lt;&gt;"Subscription",INDEX('Game Records'!$U:$U,$H115)&lt;&gt;"Free Game",INDEX('Game Records'!$U:$U,$H115)&lt;&gt;"Disqualified — Free Game",OR(INDEX('Game Records'!$D:$D,$H115)="",LOWER(INDEX('Game Records'!$D:$D,$H115)&amp;"")="n/a")),"Entry Mode; ","")&amp;IF(AND(INDEX('Game Records'!$U:$U,$H115)&lt;&gt;"Subscription",INDEX('Game Records'!$U:$U,$H115)&lt;&gt;"Free Game",INDEX('Game Records'!$U:$U,$H115)&lt;&gt;"Disqualified — Free Game",OR(INDEX('Game Records'!$E:$E,$H115)="",LOWER(INDEX('Game Records'!$E:$E,$H115)&amp;"")="n/a")),"Game Type; ","")&amp;IF(INDEX('Game Records'!$F:$F,$H115)="","Payment Type; ","")&amp;IF(AND(INDEX('Game Records'!$U:$U,$H115)&lt;&gt;"Subscription",INDEX('Game Records'!$U:$U,$H115)&lt;&gt;"Free Game",INDEX('Game Records'!$U:$U,$H115)&lt;&gt;"Disqualified — Free Game",INDEX('Game Records'!$G:$G,$H115)=""),"Gross Pot; ","")&amp;IF(AND(INDEX('Game Records'!$U:$U,$H115)&lt;&gt;"Free Game",INDEX('Game Records'!$U:$U,$H115)&lt;&gt;"Disqualified — Free Game",INDEX('Game Records'!$H:$H,$H115)=""),"Entry Fee; ","")&amp;IF(AND(INDEX('Game Records'!$U:$U,$H115)&lt;&gt;"Subscription",INDEX('Game Records'!$U:$U,$H115)&lt;&gt;"Free Game",INDEX('Game Records'!$U:$U,$H115)&lt;&gt;"Disqualified — Free Game",INDEX('Game Records'!$I:$I,$H115)=""),"Eligible Players; ","")&amp;IF(AND(INDEX('Game Records'!$U:$U,$H115)&lt;&gt;"Subscription",INDEX('Game Records'!$U:$U,$H115)&lt;&gt;"Free Game",INDEX('Game Records'!$U:$U,$H115)&lt;&gt;"Disqualified — Free Game",INDEX('Game Records'!$J:$J,$H115)=""),"Total Players; ","")&amp;IF(AND(LOWER(INDEX('Game Records'!$D:$D,$H115)&amp;"")="finalized",LOWER(INDEX('Game Records'!$L:$L,$H115)&amp;"")&lt;&gt;"yes",INDEX('Game Records'!$U:$U,$H115)&lt;&gt;"Subscription",INDEX('Game Records'!$U:$U,$H115)&lt;&gt;"Free Game",INDEX('Game Records'!$U:$U,$H115)&lt;&gt;"Disqualified — Free Game",INDEX('Game Records'!$K:$K,$H115)=""),"Final Payout; ","")&amp;IF(AND(LOWER(INDEX('Game Records'!$D:$D,$H115)&amp;"")="finalized",INDEX('Game Records'!$U:$U,$H115)&lt;&gt;"Subscription",INDEX('Game Records'!$U:$U,$H115)&lt;&gt;"Free Game",INDEX('Game Records'!$U:$U,$H115)&lt;&gt;"Disqualified — Free Game",OR(INDEX('Game Records'!$L:$L,$H115)="",LOWER(INDEX('Game Records'!$L:$L,$H115)&amp;"")="n/a")),"Disqualified Status; ",""))</f>
        <v/>
      </c>
      <c r="G115" s="23" t="str">
        <f t="array" ref="G115">IF($H115="","",IFERROR(INDEX('Game Records'!$M:$M,$H115),""))</f>
        <v/>
      </c>
      <c r="H115" s="3"/>
      <c r="I115" s="3"/>
      <c r="J115" s="3"/>
    </row>
    <row r="116" ht="24.0" customHeight="1">
      <c r="A116" s="18" t="str">
        <f t="shared" si="1"/>
        <v/>
      </c>
      <c r="B116" s="18" t="str">
        <f t="shared" si="2"/>
        <v/>
      </c>
      <c r="C116" s="23" t="str">
        <f t="array" ref="C116">IF($H116="","",IFERROR(INDEX('Game Records'!$A:$A,$H116),""))</f>
        <v/>
      </c>
      <c r="D116" s="23" t="str">
        <f t="array" ref="D116">IF($H116="","",IFERROR(INDEX('Game Records'!$U:$U,$H116),""))</f>
        <v/>
      </c>
      <c r="E116" s="23" t="str">
        <f t="array" ref="E116">IF($H116="","",LET(r,$H116,mode,LOWER(INDEX('Game Records'!$D:$D,r)&amp;""),endDate,INDEX('Game Records'!$C:$C,r),IF(mode="estimate",IF(endDate="","Estimate — End Date missing",IF(NOT(ISNUMBER(endDate)),"Estimate — Check End Date",IF(INT(endDate)&gt;=TODAY(),"In Progress — ends "&amp;TEXT(endDate,"mmm d, yyyy"),"Ready to Finalize"))),IF($F116="","No Highlighted Fields","Highlighted Fields Present"))))</f>
        <v/>
      </c>
      <c r="F116" s="23" t="str">
        <f t="array" ref="F116">IF($H116="","",IF(OR(NOT(_xlfn.ISFORMULA(INDEX('Game Records'!$N:$N,$H116))),NOT(_xlfn.ISFORMULA(INDEX('Game Records'!$O:$O,$H116))),NOT(_xlfn.ISFORMULA(INDEX('Game Records'!$P:$P,$H116))),NOT(_xlfn.ISFORMULA(INDEX('Game Records'!$Q:$Q,$H116))),NOT(_xlfn.ISFORMULA(INDEX('Game Records'!$R:$R,$H116))),NOT(_xlfn.ISFORMULA(INDEX('Game Records'!$S:$S,$H116))),NOT(_xlfn.ISFORMULA(INDEX('Game Records'!$T:$T,$H116))),NOT(_xlfn.ISFORMULA(INDEX('Game Records'!$U:$U,$H116))),NOT(_xlfn.ISFORMULA(INDEX('Game Records'!$V:$V,$H116))),NOT(_xlfn.ISFORMULA(INDEX('Game Records'!$W:$W,$H116))),NOT(_xlfn.ISFORMULA(INDEX('Game Records'!$X:$X,$H116))),NOT(_xlfn.ISFORMULA(INDEX('Game Records'!$Y:$Y,$H116))),NOT(_xlfn.ISFORMULA(INDEX('Game Records'!$Z:$Z,$H116)))),"","")&amp;IF(INDEX('Game Records'!$B:$B,$H116)="","Start Date; ","")&amp;IF(INDEX('Game Records'!$C:$C,$H116)="","End Date; ","")&amp;IF(AND(INDEX('Game Records'!$U:$U,$H116)&lt;&gt;"Subscription",INDEX('Game Records'!$U:$U,$H116)&lt;&gt;"Free Game",INDEX('Game Records'!$U:$U,$H116)&lt;&gt;"Disqualified — Free Game",OR(INDEX('Game Records'!$D:$D,$H116)="",LOWER(INDEX('Game Records'!$D:$D,$H116)&amp;"")="n/a")),"Entry Mode; ","")&amp;IF(AND(INDEX('Game Records'!$U:$U,$H116)&lt;&gt;"Subscription",INDEX('Game Records'!$U:$U,$H116)&lt;&gt;"Free Game",INDEX('Game Records'!$U:$U,$H116)&lt;&gt;"Disqualified — Free Game",OR(INDEX('Game Records'!$E:$E,$H116)="",LOWER(INDEX('Game Records'!$E:$E,$H116)&amp;"")="n/a")),"Game Type; ","")&amp;IF(INDEX('Game Records'!$F:$F,$H116)="","Payment Type; ","")&amp;IF(AND(INDEX('Game Records'!$U:$U,$H116)&lt;&gt;"Subscription",INDEX('Game Records'!$U:$U,$H116)&lt;&gt;"Free Game",INDEX('Game Records'!$U:$U,$H116)&lt;&gt;"Disqualified — Free Game",INDEX('Game Records'!$G:$G,$H116)=""),"Gross Pot; ","")&amp;IF(AND(INDEX('Game Records'!$U:$U,$H116)&lt;&gt;"Free Game",INDEX('Game Records'!$U:$U,$H116)&lt;&gt;"Disqualified — Free Game",INDEX('Game Records'!$H:$H,$H116)=""),"Entry Fee; ","")&amp;IF(AND(INDEX('Game Records'!$U:$U,$H116)&lt;&gt;"Subscription",INDEX('Game Records'!$U:$U,$H116)&lt;&gt;"Free Game",INDEX('Game Records'!$U:$U,$H116)&lt;&gt;"Disqualified — Free Game",INDEX('Game Records'!$I:$I,$H116)=""),"Eligible Players; ","")&amp;IF(AND(INDEX('Game Records'!$U:$U,$H116)&lt;&gt;"Subscription",INDEX('Game Records'!$U:$U,$H116)&lt;&gt;"Free Game",INDEX('Game Records'!$U:$U,$H116)&lt;&gt;"Disqualified — Free Game",INDEX('Game Records'!$J:$J,$H116)=""),"Total Players; ","")&amp;IF(AND(LOWER(INDEX('Game Records'!$D:$D,$H116)&amp;"")="finalized",LOWER(INDEX('Game Records'!$L:$L,$H116)&amp;"")&lt;&gt;"yes",INDEX('Game Records'!$U:$U,$H116)&lt;&gt;"Subscription",INDEX('Game Records'!$U:$U,$H116)&lt;&gt;"Free Game",INDEX('Game Records'!$U:$U,$H116)&lt;&gt;"Disqualified — Free Game",INDEX('Game Records'!$K:$K,$H116)=""),"Final Payout; ","")&amp;IF(AND(LOWER(INDEX('Game Records'!$D:$D,$H116)&amp;"")="finalized",INDEX('Game Records'!$U:$U,$H116)&lt;&gt;"Subscription",INDEX('Game Records'!$U:$U,$H116)&lt;&gt;"Free Game",INDEX('Game Records'!$U:$U,$H116)&lt;&gt;"Disqualified — Free Game",OR(INDEX('Game Records'!$L:$L,$H116)="",LOWER(INDEX('Game Records'!$L:$L,$H116)&amp;"")="n/a")),"Disqualified Status; ",""))</f>
        <v/>
      </c>
      <c r="G116" s="23" t="str">
        <f t="array" ref="G116">IF($H116="","",IFERROR(INDEX('Game Records'!$M:$M,$H116),""))</f>
        <v/>
      </c>
      <c r="H116" s="3"/>
      <c r="I116" s="3"/>
      <c r="J116" s="3"/>
    </row>
    <row r="117" ht="24.0" customHeight="1">
      <c r="A117" s="18" t="str">
        <f t="shared" si="1"/>
        <v/>
      </c>
      <c r="B117" s="18" t="str">
        <f t="shared" si="2"/>
        <v/>
      </c>
      <c r="C117" s="23" t="str">
        <f t="array" ref="C117">IF($H117="","",IFERROR(INDEX('Game Records'!$A:$A,$H117),""))</f>
        <v/>
      </c>
      <c r="D117" s="23" t="str">
        <f t="array" ref="D117">IF($H117="","",IFERROR(INDEX('Game Records'!$U:$U,$H117),""))</f>
        <v/>
      </c>
      <c r="E117" s="23" t="str">
        <f t="array" ref="E117">IF($H117="","",LET(r,$H117,mode,LOWER(INDEX('Game Records'!$D:$D,r)&amp;""),endDate,INDEX('Game Records'!$C:$C,r),IF(mode="estimate",IF(endDate="","Estimate — End Date missing",IF(NOT(ISNUMBER(endDate)),"Estimate — Check End Date",IF(INT(endDate)&gt;=TODAY(),"In Progress — ends "&amp;TEXT(endDate,"mmm d, yyyy"),"Ready to Finalize"))),IF($F117="","No Highlighted Fields","Highlighted Fields Present"))))</f>
        <v/>
      </c>
      <c r="F117" s="23" t="str">
        <f t="array" ref="F117">IF($H117="","",IF(OR(NOT(_xlfn.ISFORMULA(INDEX('Game Records'!$N:$N,$H117))),NOT(_xlfn.ISFORMULA(INDEX('Game Records'!$O:$O,$H117))),NOT(_xlfn.ISFORMULA(INDEX('Game Records'!$P:$P,$H117))),NOT(_xlfn.ISFORMULA(INDEX('Game Records'!$Q:$Q,$H117))),NOT(_xlfn.ISFORMULA(INDEX('Game Records'!$R:$R,$H117))),NOT(_xlfn.ISFORMULA(INDEX('Game Records'!$S:$S,$H117))),NOT(_xlfn.ISFORMULA(INDEX('Game Records'!$T:$T,$H117))),NOT(_xlfn.ISFORMULA(INDEX('Game Records'!$U:$U,$H117))),NOT(_xlfn.ISFORMULA(INDEX('Game Records'!$V:$V,$H117))),NOT(_xlfn.ISFORMULA(INDEX('Game Records'!$W:$W,$H117))),NOT(_xlfn.ISFORMULA(INDEX('Game Records'!$X:$X,$H117))),NOT(_xlfn.ISFORMULA(INDEX('Game Records'!$Y:$Y,$H117))),NOT(_xlfn.ISFORMULA(INDEX('Game Records'!$Z:$Z,$H117)))),"","")&amp;IF(INDEX('Game Records'!$B:$B,$H117)="","Start Date; ","")&amp;IF(INDEX('Game Records'!$C:$C,$H117)="","End Date; ","")&amp;IF(AND(INDEX('Game Records'!$U:$U,$H117)&lt;&gt;"Subscription",INDEX('Game Records'!$U:$U,$H117)&lt;&gt;"Free Game",INDEX('Game Records'!$U:$U,$H117)&lt;&gt;"Disqualified — Free Game",OR(INDEX('Game Records'!$D:$D,$H117)="",LOWER(INDEX('Game Records'!$D:$D,$H117)&amp;"")="n/a")),"Entry Mode; ","")&amp;IF(AND(INDEX('Game Records'!$U:$U,$H117)&lt;&gt;"Subscription",INDEX('Game Records'!$U:$U,$H117)&lt;&gt;"Free Game",INDEX('Game Records'!$U:$U,$H117)&lt;&gt;"Disqualified — Free Game",OR(INDEX('Game Records'!$E:$E,$H117)="",LOWER(INDEX('Game Records'!$E:$E,$H117)&amp;"")="n/a")),"Game Type; ","")&amp;IF(INDEX('Game Records'!$F:$F,$H117)="","Payment Type; ","")&amp;IF(AND(INDEX('Game Records'!$U:$U,$H117)&lt;&gt;"Subscription",INDEX('Game Records'!$U:$U,$H117)&lt;&gt;"Free Game",INDEX('Game Records'!$U:$U,$H117)&lt;&gt;"Disqualified — Free Game",INDEX('Game Records'!$G:$G,$H117)=""),"Gross Pot; ","")&amp;IF(AND(INDEX('Game Records'!$U:$U,$H117)&lt;&gt;"Free Game",INDEX('Game Records'!$U:$U,$H117)&lt;&gt;"Disqualified — Free Game",INDEX('Game Records'!$H:$H,$H117)=""),"Entry Fee; ","")&amp;IF(AND(INDEX('Game Records'!$U:$U,$H117)&lt;&gt;"Subscription",INDEX('Game Records'!$U:$U,$H117)&lt;&gt;"Free Game",INDEX('Game Records'!$U:$U,$H117)&lt;&gt;"Disqualified — Free Game",INDEX('Game Records'!$I:$I,$H117)=""),"Eligible Players; ","")&amp;IF(AND(INDEX('Game Records'!$U:$U,$H117)&lt;&gt;"Subscription",INDEX('Game Records'!$U:$U,$H117)&lt;&gt;"Free Game",INDEX('Game Records'!$U:$U,$H117)&lt;&gt;"Disqualified — Free Game",INDEX('Game Records'!$J:$J,$H117)=""),"Total Players; ","")&amp;IF(AND(LOWER(INDEX('Game Records'!$D:$D,$H117)&amp;"")="finalized",LOWER(INDEX('Game Records'!$L:$L,$H117)&amp;"")&lt;&gt;"yes",INDEX('Game Records'!$U:$U,$H117)&lt;&gt;"Subscription",INDEX('Game Records'!$U:$U,$H117)&lt;&gt;"Free Game",INDEX('Game Records'!$U:$U,$H117)&lt;&gt;"Disqualified — Free Game",INDEX('Game Records'!$K:$K,$H117)=""),"Final Payout; ","")&amp;IF(AND(LOWER(INDEX('Game Records'!$D:$D,$H117)&amp;"")="finalized",INDEX('Game Records'!$U:$U,$H117)&lt;&gt;"Subscription",INDEX('Game Records'!$U:$U,$H117)&lt;&gt;"Free Game",INDEX('Game Records'!$U:$U,$H117)&lt;&gt;"Disqualified — Free Game",OR(INDEX('Game Records'!$L:$L,$H117)="",LOWER(INDEX('Game Records'!$L:$L,$H117)&amp;"")="n/a")),"Disqualified Status; ",""))</f>
        <v/>
      </c>
      <c r="G117" s="23" t="str">
        <f t="array" ref="G117">IF($H117="","",IFERROR(INDEX('Game Records'!$M:$M,$H117),""))</f>
        <v/>
      </c>
      <c r="H117" s="3"/>
      <c r="I117" s="3"/>
      <c r="J117" s="3"/>
    </row>
    <row r="118" ht="24.0" customHeight="1">
      <c r="A118" s="18" t="str">
        <f t="shared" si="1"/>
        <v/>
      </c>
      <c r="B118" s="18" t="str">
        <f t="shared" si="2"/>
        <v/>
      </c>
      <c r="C118" s="23" t="str">
        <f t="array" ref="C118">IF($H118="","",IFERROR(INDEX('Game Records'!$A:$A,$H118),""))</f>
        <v/>
      </c>
      <c r="D118" s="23" t="str">
        <f t="array" ref="D118">IF($H118="","",IFERROR(INDEX('Game Records'!$U:$U,$H118),""))</f>
        <v/>
      </c>
      <c r="E118" s="23" t="str">
        <f t="array" ref="E118">IF($H118="","",LET(r,$H118,mode,LOWER(INDEX('Game Records'!$D:$D,r)&amp;""),endDate,INDEX('Game Records'!$C:$C,r),IF(mode="estimate",IF(endDate="","Estimate — End Date missing",IF(NOT(ISNUMBER(endDate)),"Estimate — Check End Date",IF(INT(endDate)&gt;=TODAY(),"In Progress — ends "&amp;TEXT(endDate,"mmm d, yyyy"),"Ready to Finalize"))),IF($F118="","No Highlighted Fields","Highlighted Fields Present"))))</f>
        <v/>
      </c>
      <c r="F118" s="23" t="str">
        <f t="array" ref="F118">IF($H118="","",IF(OR(NOT(_xlfn.ISFORMULA(INDEX('Game Records'!$N:$N,$H118))),NOT(_xlfn.ISFORMULA(INDEX('Game Records'!$O:$O,$H118))),NOT(_xlfn.ISFORMULA(INDEX('Game Records'!$P:$P,$H118))),NOT(_xlfn.ISFORMULA(INDEX('Game Records'!$Q:$Q,$H118))),NOT(_xlfn.ISFORMULA(INDEX('Game Records'!$R:$R,$H118))),NOT(_xlfn.ISFORMULA(INDEX('Game Records'!$S:$S,$H118))),NOT(_xlfn.ISFORMULA(INDEX('Game Records'!$T:$T,$H118))),NOT(_xlfn.ISFORMULA(INDEX('Game Records'!$U:$U,$H118))),NOT(_xlfn.ISFORMULA(INDEX('Game Records'!$V:$V,$H118))),NOT(_xlfn.ISFORMULA(INDEX('Game Records'!$W:$W,$H118))),NOT(_xlfn.ISFORMULA(INDEX('Game Records'!$X:$X,$H118))),NOT(_xlfn.ISFORMULA(INDEX('Game Records'!$Y:$Y,$H118))),NOT(_xlfn.ISFORMULA(INDEX('Game Records'!$Z:$Z,$H118)))),"","")&amp;IF(INDEX('Game Records'!$B:$B,$H118)="","Start Date; ","")&amp;IF(INDEX('Game Records'!$C:$C,$H118)="","End Date; ","")&amp;IF(AND(INDEX('Game Records'!$U:$U,$H118)&lt;&gt;"Subscription",INDEX('Game Records'!$U:$U,$H118)&lt;&gt;"Free Game",INDEX('Game Records'!$U:$U,$H118)&lt;&gt;"Disqualified — Free Game",OR(INDEX('Game Records'!$D:$D,$H118)="",LOWER(INDEX('Game Records'!$D:$D,$H118)&amp;"")="n/a")),"Entry Mode; ","")&amp;IF(AND(INDEX('Game Records'!$U:$U,$H118)&lt;&gt;"Subscription",INDEX('Game Records'!$U:$U,$H118)&lt;&gt;"Free Game",INDEX('Game Records'!$U:$U,$H118)&lt;&gt;"Disqualified — Free Game",OR(INDEX('Game Records'!$E:$E,$H118)="",LOWER(INDEX('Game Records'!$E:$E,$H118)&amp;"")="n/a")),"Game Type; ","")&amp;IF(INDEX('Game Records'!$F:$F,$H118)="","Payment Type; ","")&amp;IF(AND(INDEX('Game Records'!$U:$U,$H118)&lt;&gt;"Subscription",INDEX('Game Records'!$U:$U,$H118)&lt;&gt;"Free Game",INDEX('Game Records'!$U:$U,$H118)&lt;&gt;"Disqualified — Free Game",INDEX('Game Records'!$G:$G,$H118)=""),"Gross Pot; ","")&amp;IF(AND(INDEX('Game Records'!$U:$U,$H118)&lt;&gt;"Free Game",INDEX('Game Records'!$U:$U,$H118)&lt;&gt;"Disqualified — Free Game",INDEX('Game Records'!$H:$H,$H118)=""),"Entry Fee; ","")&amp;IF(AND(INDEX('Game Records'!$U:$U,$H118)&lt;&gt;"Subscription",INDEX('Game Records'!$U:$U,$H118)&lt;&gt;"Free Game",INDEX('Game Records'!$U:$U,$H118)&lt;&gt;"Disqualified — Free Game",INDEX('Game Records'!$I:$I,$H118)=""),"Eligible Players; ","")&amp;IF(AND(INDEX('Game Records'!$U:$U,$H118)&lt;&gt;"Subscription",INDEX('Game Records'!$U:$U,$H118)&lt;&gt;"Free Game",INDEX('Game Records'!$U:$U,$H118)&lt;&gt;"Disqualified — Free Game",INDEX('Game Records'!$J:$J,$H118)=""),"Total Players; ","")&amp;IF(AND(LOWER(INDEX('Game Records'!$D:$D,$H118)&amp;"")="finalized",LOWER(INDEX('Game Records'!$L:$L,$H118)&amp;"")&lt;&gt;"yes",INDEX('Game Records'!$U:$U,$H118)&lt;&gt;"Subscription",INDEX('Game Records'!$U:$U,$H118)&lt;&gt;"Free Game",INDEX('Game Records'!$U:$U,$H118)&lt;&gt;"Disqualified — Free Game",INDEX('Game Records'!$K:$K,$H118)=""),"Final Payout; ","")&amp;IF(AND(LOWER(INDEX('Game Records'!$D:$D,$H118)&amp;"")="finalized",INDEX('Game Records'!$U:$U,$H118)&lt;&gt;"Subscription",INDEX('Game Records'!$U:$U,$H118)&lt;&gt;"Free Game",INDEX('Game Records'!$U:$U,$H118)&lt;&gt;"Disqualified — Free Game",OR(INDEX('Game Records'!$L:$L,$H118)="",LOWER(INDEX('Game Records'!$L:$L,$H118)&amp;"")="n/a")),"Disqualified Status; ",""))</f>
        <v/>
      </c>
      <c r="G118" s="23" t="str">
        <f t="array" ref="G118">IF($H118="","",IFERROR(INDEX('Game Records'!$M:$M,$H118),""))</f>
        <v/>
      </c>
      <c r="H118" s="3"/>
      <c r="I118" s="3"/>
      <c r="J118" s="3"/>
    </row>
    <row r="119" ht="24.0" customHeight="1">
      <c r="A119" s="18" t="str">
        <f t="shared" si="1"/>
        <v/>
      </c>
      <c r="B119" s="18" t="str">
        <f t="shared" si="2"/>
        <v/>
      </c>
      <c r="C119" s="23" t="str">
        <f t="array" ref="C119">IF($H119="","",IFERROR(INDEX('Game Records'!$A:$A,$H119),""))</f>
        <v/>
      </c>
      <c r="D119" s="23" t="str">
        <f t="array" ref="D119">IF($H119="","",IFERROR(INDEX('Game Records'!$U:$U,$H119),""))</f>
        <v/>
      </c>
      <c r="E119" s="23" t="str">
        <f t="array" ref="E119">IF($H119="","",LET(r,$H119,mode,LOWER(INDEX('Game Records'!$D:$D,r)&amp;""),endDate,INDEX('Game Records'!$C:$C,r),IF(mode="estimate",IF(endDate="","Estimate — End Date missing",IF(NOT(ISNUMBER(endDate)),"Estimate — Check End Date",IF(INT(endDate)&gt;=TODAY(),"In Progress — ends "&amp;TEXT(endDate,"mmm d, yyyy"),"Ready to Finalize"))),IF($F119="","No Highlighted Fields","Highlighted Fields Present"))))</f>
        <v/>
      </c>
      <c r="F119" s="23" t="str">
        <f t="array" ref="F119">IF($H119="","",IF(OR(NOT(_xlfn.ISFORMULA(INDEX('Game Records'!$N:$N,$H119))),NOT(_xlfn.ISFORMULA(INDEX('Game Records'!$O:$O,$H119))),NOT(_xlfn.ISFORMULA(INDEX('Game Records'!$P:$P,$H119))),NOT(_xlfn.ISFORMULA(INDEX('Game Records'!$Q:$Q,$H119))),NOT(_xlfn.ISFORMULA(INDEX('Game Records'!$R:$R,$H119))),NOT(_xlfn.ISFORMULA(INDEX('Game Records'!$S:$S,$H119))),NOT(_xlfn.ISFORMULA(INDEX('Game Records'!$T:$T,$H119))),NOT(_xlfn.ISFORMULA(INDEX('Game Records'!$U:$U,$H119))),NOT(_xlfn.ISFORMULA(INDEX('Game Records'!$V:$V,$H119))),NOT(_xlfn.ISFORMULA(INDEX('Game Records'!$W:$W,$H119))),NOT(_xlfn.ISFORMULA(INDEX('Game Records'!$X:$X,$H119))),NOT(_xlfn.ISFORMULA(INDEX('Game Records'!$Y:$Y,$H119))),NOT(_xlfn.ISFORMULA(INDEX('Game Records'!$Z:$Z,$H119)))),"","")&amp;IF(INDEX('Game Records'!$B:$B,$H119)="","Start Date; ","")&amp;IF(INDEX('Game Records'!$C:$C,$H119)="","End Date; ","")&amp;IF(AND(INDEX('Game Records'!$U:$U,$H119)&lt;&gt;"Subscription",INDEX('Game Records'!$U:$U,$H119)&lt;&gt;"Free Game",INDEX('Game Records'!$U:$U,$H119)&lt;&gt;"Disqualified — Free Game",OR(INDEX('Game Records'!$D:$D,$H119)="",LOWER(INDEX('Game Records'!$D:$D,$H119)&amp;"")="n/a")),"Entry Mode; ","")&amp;IF(AND(INDEX('Game Records'!$U:$U,$H119)&lt;&gt;"Subscription",INDEX('Game Records'!$U:$U,$H119)&lt;&gt;"Free Game",INDEX('Game Records'!$U:$U,$H119)&lt;&gt;"Disqualified — Free Game",OR(INDEX('Game Records'!$E:$E,$H119)="",LOWER(INDEX('Game Records'!$E:$E,$H119)&amp;"")="n/a")),"Game Type; ","")&amp;IF(INDEX('Game Records'!$F:$F,$H119)="","Payment Type; ","")&amp;IF(AND(INDEX('Game Records'!$U:$U,$H119)&lt;&gt;"Subscription",INDEX('Game Records'!$U:$U,$H119)&lt;&gt;"Free Game",INDEX('Game Records'!$U:$U,$H119)&lt;&gt;"Disqualified — Free Game",INDEX('Game Records'!$G:$G,$H119)=""),"Gross Pot; ","")&amp;IF(AND(INDEX('Game Records'!$U:$U,$H119)&lt;&gt;"Free Game",INDEX('Game Records'!$U:$U,$H119)&lt;&gt;"Disqualified — Free Game",INDEX('Game Records'!$H:$H,$H119)=""),"Entry Fee; ","")&amp;IF(AND(INDEX('Game Records'!$U:$U,$H119)&lt;&gt;"Subscription",INDEX('Game Records'!$U:$U,$H119)&lt;&gt;"Free Game",INDEX('Game Records'!$U:$U,$H119)&lt;&gt;"Disqualified — Free Game",INDEX('Game Records'!$I:$I,$H119)=""),"Eligible Players; ","")&amp;IF(AND(INDEX('Game Records'!$U:$U,$H119)&lt;&gt;"Subscription",INDEX('Game Records'!$U:$U,$H119)&lt;&gt;"Free Game",INDEX('Game Records'!$U:$U,$H119)&lt;&gt;"Disqualified — Free Game",INDEX('Game Records'!$J:$J,$H119)=""),"Total Players; ","")&amp;IF(AND(LOWER(INDEX('Game Records'!$D:$D,$H119)&amp;"")="finalized",LOWER(INDEX('Game Records'!$L:$L,$H119)&amp;"")&lt;&gt;"yes",INDEX('Game Records'!$U:$U,$H119)&lt;&gt;"Subscription",INDEX('Game Records'!$U:$U,$H119)&lt;&gt;"Free Game",INDEX('Game Records'!$U:$U,$H119)&lt;&gt;"Disqualified — Free Game",INDEX('Game Records'!$K:$K,$H119)=""),"Final Payout; ","")&amp;IF(AND(LOWER(INDEX('Game Records'!$D:$D,$H119)&amp;"")="finalized",INDEX('Game Records'!$U:$U,$H119)&lt;&gt;"Subscription",INDEX('Game Records'!$U:$U,$H119)&lt;&gt;"Free Game",INDEX('Game Records'!$U:$U,$H119)&lt;&gt;"Disqualified — Free Game",OR(INDEX('Game Records'!$L:$L,$H119)="",LOWER(INDEX('Game Records'!$L:$L,$H119)&amp;"")="n/a")),"Disqualified Status; ",""))</f>
        <v/>
      </c>
      <c r="G119" s="23" t="str">
        <f t="array" ref="G119">IF($H119="","",IFERROR(INDEX('Game Records'!$M:$M,$H119),""))</f>
        <v/>
      </c>
      <c r="H119" s="3"/>
      <c r="I119" s="3"/>
      <c r="J119" s="3"/>
    </row>
    <row r="120" ht="24.0" customHeight="1">
      <c r="A120" s="18" t="str">
        <f t="shared" si="1"/>
        <v/>
      </c>
      <c r="B120" s="18" t="str">
        <f t="shared" si="2"/>
        <v/>
      </c>
      <c r="C120" s="23" t="str">
        <f t="array" ref="C120">IF($H120="","",IFERROR(INDEX('Game Records'!$A:$A,$H120),""))</f>
        <v/>
      </c>
      <c r="D120" s="23" t="str">
        <f t="array" ref="D120">IF($H120="","",IFERROR(INDEX('Game Records'!$U:$U,$H120),""))</f>
        <v/>
      </c>
      <c r="E120" s="23" t="str">
        <f t="array" ref="E120">IF($H120="","",LET(r,$H120,mode,LOWER(INDEX('Game Records'!$D:$D,r)&amp;""),endDate,INDEX('Game Records'!$C:$C,r),IF(mode="estimate",IF(endDate="","Estimate — End Date missing",IF(NOT(ISNUMBER(endDate)),"Estimate — Check End Date",IF(INT(endDate)&gt;=TODAY(),"In Progress — ends "&amp;TEXT(endDate,"mmm d, yyyy"),"Ready to Finalize"))),IF($F120="","No Highlighted Fields","Highlighted Fields Present"))))</f>
        <v/>
      </c>
      <c r="F120" s="23" t="str">
        <f t="array" ref="F120">IF($H120="","",IF(OR(NOT(_xlfn.ISFORMULA(INDEX('Game Records'!$N:$N,$H120))),NOT(_xlfn.ISFORMULA(INDEX('Game Records'!$O:$O,$H120))),NOT(_xlfn.ISFORMULA(INDEX('Game Records'!$P:$P,$H120))),NOT(_xlfn.ISFORMULA(INDEX('Game Records'!$Q:$Q,$H120))),NOT(_xlfn.ISFORMULA(INDEX('Game Records'!$R:$R,$H120))),NOT(_xlfn.ISFORMULA(INDEX('Game Records'!$S:$S,$H120))),NOT(_xlfn.ISFORMULA(INDEX('Game Records'!$T:$T,$H120))),NOT(_xlfn.ISFORMULA(INDEX('Game Records'!$U:$U,$H120))),NOT(_xlfn.ISFORMULA(INDEX('Game Records'!$V:$V,$H120))),NOT(_xlfn.ISFORMULA(INDEX('Game Records'!$W:$W,$H120))),NOT(_xlfn.ISFORMULA(INDEX('Game Records'!$X:$X,$H120))),NOT(_xlfn.ISFORMULA(INDEX('Game Records'!$Y:$Y,$H120))),NOT(_xlfn.ISFORMULA(INDEX('Game Records'!$Z:$Z,$H120)))),"","")&amp;IF(INDEX('Game Records'!$B:$B,$H120)="","Start Date; ","")&amp;IF(INDEX('Game Records'!$C:$C,$H120)="","End Date; ","")&amp;IF(AND(INDEX('Game Records'!$U:$U,$H120)&lt;&gt;"Subscription",INDEX('Game Records'!$U:$U,$H120)&lt;&gt;"Free Game",INDEX('Game Records'!$U:$U,$H120)&lt;&gt;"Disqualified — Free Game",OR(INDEX('Game Records'!$D:$D,$H120)="",LOWER(INDEX('Game Records'!$D:$D,$H120)&amp;"")="n/a")),"Entry Mode; ","")&amp;IF(AND(INDEX('Game Records'!$U:$U,$H120)&lt;&gt;"Subscription",INDEX('Game Records'!$U:$U,$H120)&lt;&gt;"Free Game",INDEX('Game Records'!$U:$U,$H120)&lt;&gt;"Disqualified — Free Game",OR(INDEX('Game Records'!$E:$E,$H120)="",LOWER(INDEX('Game Records'!$E:$E,$H120)&amp;"")="n/a")),"Game Type; ","")&amp;IF(INDEX('Game Records'!$F:$F,$H120)="","Payment Type; ","")&amp;IF(AND(INDEX('Game Records'!$U:$U,$H120)&lt;&gt;"Subscription",INDEX('Game Records'!$U:$U,$H120)&lt;&gt;"Free Game",INDEX('Game Records'!$U:$U,$H120)&lt;&gt;"Disqualified — Free Game",INDEX('Game Records'!$G:$G,$H120)=""),"Gross Pot; ","")&amp;IF(AND(INDEX('Game Records'!$U:$U,$H120)&lt;&gt;"Free Game",INDEX('Game Records'!$U:$U,$H120)&lt;&gt;"Disqualified — Free Game",INDEX('Game Records'!$H:$H,$H120)=""),"Entry Fee; ","")&amp;IF(AND(INDEX('Game Records'!$U:$U,$H120)&lt;&gt;"Subscription",INDEX('Game Records'!$U:$U,$H120)&lt;&gt;"Free Game",INDEX('Game Records'!$U:$U,$H120)&lt;&gt;"Disqualified — Free Game",INDEX('Game Records'!$I:$I,$H120)=""),"Eligible Players; ","")&amp;IF(AND(INDEX('Game Records'!$U:$U,$H120)&lt;&gt;"Subscription",INDEX('Game Records'!$U:$U,$H120)&lt;&gt;"Free Game",INDEX('Game Records'!$U:$U,$H120)&lt;&gt;"Disqualified — Free Game",INDEX('Game Records'!$J:$J,$H120)=""),"Total Players; ","")&amp;IF(AND(LOWER(INDEX('Game Records'!$D:$D,$H120)&amp;"")="finalized",LOWER(INDEX('Game Records'!$L:$L,$H120)&amp;"")&lt;&gt;"yes",INDEX('Game Records'!$U:$U,$H120)&lt;&gt;"Subscription",INDEX('Game Records'!$U:$U,$H120)&lt;&gt;"Free Game",INDEX('Game Records'!$U:$U,$H120)&lt;&gt;"Disqualified — Free Game",INDEX('Game Records'!$K:$K,$H120)=""),"Final Payout; ","")&amp;IF(AND(LOWER(INDEX('Game Records'!$D:$D,$H120)&amp;"")="finalized",INDEX('Game Records'!$U:$U,$H120)&lt;&gt;"Subscription",INDEX('Game Records'!$U:$U,$H120)&lt;&gt;"Free Game",INDEX('Game Records'!$U:$U,$H120)&lt;&gt;"Disqualified — Free Game",OR(INDEX('Game Records'!$L:$L,$H120)="",LOWER(INDEX('Game Records'!$L:$L,$H120)&amp;"")="n/a")),"Disqualified Status; ",""))</f>
        <v/>
      </c>
      <c r="G120" s="23" t="str">
        <f t="array" ref="G120">IF($H120="","",IFERROR(INDEX('Game Records'!$M:$M,$H120),""))</f>
        <v/>
      </c>
      <c r="H120" s="3"/>
      <c r="I120" s="3"/>
      <c r="J120" s="3"/>
    </row>
    <row r="121" ht="24.0" customHeight="1">
      <c r="A121" s="18" t="str">
        <f t="shared" si="1"/>
        <v/>
      </c>
      <c r="B121" s="18" t="str">
        <f t="shared" si="2"/>
        <v/>
      </c>
      <c r="C121" s="23" t="str">
        <f t="array" ref="C121">IF($H121="","",IFERROR(INDEX('Game Records'!$A:$A,$H121),""))</f>
        <v/>
      </c>
      <c r="D121" s="23" t="str">
        <f t="array" ref="D121">IF($H121="","",IFERROR(INDEX('Game Records'!$U:$U,$H121),""))</f>
        <v/>
      </c>
      <c r="E121" s="23" t="str">
        <f t="array" ref="E121">IF($H121="","",LET(r,$H121,mode,LOWER(INDEX('Game Records'!$D:$D,r)&amp;""),endDate,INDEX('Game Records'!$C:$C,r),IF(mode="estimate",IF(endDate="","Estimate — End Date missing",IF(NOT(ISNUMBER(endDate)),"Estimate — Check End Date",IF(INT(endDate)&gt;=TODAY(),"In Progress — ends "&amp;TEXT(endDate,"mmm d, yyyy"),"Ready to Finalize"))),IF($F121="","No Highlighted Fields","Highlighted Fields Present"))))</f>
        <v/>
      </c>
      <c r="F121" s="23" t="str">
        <f t="array" ref="F121">IF($H121="","",IF(OR(NOT(_xlfn.ISFORMULA(INDEX('Game Records'!$N:$N,$H121))),NOT(_xlfn.ISFORMULA(INDEX('Game Records'!$O:$O,$H121))),NOT(_xlfn.ISFORMULA(INDEX('Game Records'!$P:$P,$H121))),NOT(_xlfn.ISFORMULA(INDEX('Game Records'!$Q:$Q,$H121))),NOT(_xlfn.ISFORMULA(INDEX('Game Records'!$R:$R,$H121))),NOT(_xlfn.ISFORMULA(INDEX('Game Records'!$S:$S,$H121))),NOT(_xlfn.ISFORMULA(INDEX('Game Records'!$T:$T,$H121))),NOT(_xlfn.ISFORMULA(INDEX('Game Records'!$U:$U,$H121))),NOT(_xlfn.ISFORMULA(INDEX('Game Records'!$V:$V,$H121))),NOT(_xlfn.ISFORMULA(INDEX('Game Records'!$W:$W,$H121))),NOT(_xlfn.ISFORMULA(INDEX('Game Records'!$X:$X,$H121))),NOT(_xlfn.ISFORMULA(INDEX('Game Records'!$Y:$Y,$H121))),NOT(_xlfn.ISFORMULA(INDEX('Game Records'!$Z:$Z,$H121)))),"","")&amp;IF(INDEX('Game Records'!$B:$B,$H121)="","Start Date; ","")&amp;IF(INDEX('Game Records'!$C:$C,$H121)="","End Date; ","")&amp;IF(AND(INDEX('Game Records'!$U:$U,$H121)&lt;&gt;"Subscription",INDEX('Game Records'!$U:$U,$H121)&lt;&gt;"Free Game",INDEX('Game Records'!$U:$U,$H121)&lt;&gt;"Disqualified — Free Game",OR(INDEX('Game Records'!$D:$D,$H121)="",LOWER(INDEX('Game Records'!$D:$D,$H121)&amp;"")="n/a")),"Entry Mode; ","")&amp;IF(AND(INDEX('Game Records'!$U:$U,$H121)&lt;&gt;"Subscription",INDEX('Game Records'!$U:$U,$H121)&lt;&gt;"Free Game",INDEX('Game Records'!$U:$U,$H121)&lt;&gt;"Disqualified — Free Game",OR(INDEX('Game Records'!$E:$E,$H121)="",LOWER(INDEX('Game Records'!$E:$E,$H121)&amp;"")="n/a")),"Game Type; ","")&amp;IF(INDEX('Game Records'!$F:$F,$H121)="","Payment Type; ","")&amp;IF(AND(INDEX('Game Records'!$U:$U,$H121)&lt;&gt;"Subscription",INDEX('Game Records'!$U:$U,$H121)&lt;&gt;"Free Game",INDEX('Game Records'!$U:$U,$H121)&lt;&gt;"Disqualified — Free Game",INDEX('Game Records'!$G:$G,$H121)=""),"Gross Pot; ","")&amp;IF(AND(INDEX('Game Records'!$U:$U,$H121)&lt;&gt;"Free Game",INDEX('Game Records'!$U:$U,$H121)&lt;&gt;"Disqualified — Free Game",INDEX('Game Records'!$H:$H,$H121)=""),"Entry Fee; ","")&amp;IF(AND(INDEX('Game Records'!$U:$U,$H121)&lt;&gt;"Subscription",INDEX('Game Records'!$U:$U,$H121)&lt;&gt;"Free Game",INDEX('Game Records'!$U:$U,$H121)&lt;&gt;"Disqualified — Free Game",INDEX('Game Records'!$I:$I,$H121)=""),"Eligible Players; ","")&amp;IF(AND(INDEX('Game Records'!$U:$U,$H121)&lt;&gt;"Subscription",INDEX('Game Records'!$U:$U,$H121)&lt;&gt;"Free Game",INDEX('Game Records'!$U:$U,$H121)&lt;&gt;"Disqualified — Free Game",INDEX('Game Records'!$J:$J,$H121)=""),"Total Players; ","")&amp;IF(AND(LOWER(INDEX('Game Records'!$D:$D,$H121)&amp;"")="finalized",LOWER(INDEX('Game Records'!$L:$L,$H121)&amp;"")&lt;&gt;"yes",INDEX('Game Records'!$U:$U,$H121)&lt;&gt;"Subscription",INDEX('Game Records'!$U:$U,$H121)&lt;&gt;"Free Game",INDEX('Game Records'!$U:$U,$H121)&lt;&gt;"Disqualified — Free Game",INDEX('Game Records'!$K:$K,$H121)=""),"Final Payout; ","")&amp;IF(AND(LOWER(INDEX('Game Records'!$D:$D,$H121)&amp;"")="finalized",INDEX('Game Records'!$U:$U,$H121)&lt;&gt;"Subscription",INDEX('Game Records'!$U:$U,$H121)&lt;&gt;"Free Game",INDEX('Game Records'!$U:$U,$H121)&lt;&gt;"Disqualified — Free Game",OR(INDEX('Game Records'!$L:$L,$H121)="",LOWER(INDEX('Game Records'!$L:$L,$H121)&amp;"")="n/a")),"Disqualified Status; ",""))</f>
        <v/>
      </c>
      <c r="G121" s="23" t="str">
        <f t="array" ref="G121">IF($H121="","",IFERROR(INDEX('Game Records'!$M:$M,$H121),""))</f>
        <v/>
      </c>
      <c r="H121" s="3"/>
      <c r="I121" s="3"/>
      <c r="J121" s="3"/>
    </row>
    <row r="122" ht="24.0" customHeight="1">
      <c r="A122" s="18" t="str">
        <f t="shared" si="1"/>
        <v/>
      </c>
      <c r="B122" s="18" t="str">
        <f t="shared" si="2"/>
        <v/>
      </c>
      <c r="C122" s="23" t="str">
        <f t="array" ref="C122">IF($H122="","",IFERROR(INDEX('Game Records'!$A:$A,$H122),""))</f>
        <v/>
      </c>
      <c r="D122" s="23" t="str">
        <f t="array" ref="D122">IF($H122="","",IFERROR(INDEX('Game Records'!$U:$U,$H122),""))</f>
        <v/>
      </c>
      <c r="E122" s="23" t="str">
        <f t="array" ref="E122">IF($H122="","",LET(r,$H122,mode,LOWER(INDEX('Game Records'!$D:$D,r)&amp;""),endDate,INDEX('Game Records'!$C:$C,r),IF(mode="estimate",IF(endDate="","Estimate — End Date missing",IF(NOT(ISNUMBER(endDate)),"Estimate — Check End Date",IF(INT(endDate)&gt;=TODAY(),"In Progress — ends "&amp;TEXT(endDate,"mmm d, yyyy"),"Ready to Finalize"))),IF($F122="","No Highlighted Fields","Highlighted Fields Present"))))</f>
        <v/>
      </c>
      <c r="F122" s="23" t="str">
        <f t="array" ref="F122">IF($H122="","",IF(OR(NOT(_xlfn.ISFORMULA(INDEX('Game Records'!$N:$N,$H122))),NOT(_xlfn.ISFORMULA(INDEX('Game Records'!$O:$O,$H122))),NOT(_xlfn.ISFORMULA(INDEX('Game Records'!$P:$P,$H122))),NOT(_xlfn.ISFORMULA(INDEX('Game Records'!$Q:$Q,$H122))),NOT(_xlfn.ISFORMULA(INDEX('Game Records'!$R:$R,$H122))),NOT(_xlfn.ISFORMULA(INDEX('Game Records'!$S:$S,$H122))),NOT(_xlfn.ISFORMULA(INDEX('Game Records'!$T:$T,$H122))),NOT(_xlfn.ISFORMULA(INDEX('Game Records'!$U:$U,$H122))),NOT(_xlfn.ISFORMULA(INDEX('Game Records'!$V:$V,$H122))),NOT(_xlfn.ISFORMULA(INDEX('Game Records'!$W:$W,$H122))),NOT(_xlfn.ISFORMULA(INDEX('Game Records'!$X:$X,$H122))),NOT(_xlfn.ISFORMULA(INDEX('Game Records'!$Y:$Y,$H122))),NOT(_xlfn.ISFORMULA(INDEX('Game Records'!$Z:$Z,$H122)))),"","")&amp;IF(INDEX('Game Records'!$B:$B,$H122)="","Start Date; ","")&amp;IF(INDEX('Game Records'!$C:$C,$H122)="","End Date; ","")&amp;IF(AND(INDEX('Game Records'!$U:$U,$H122)&lt;&gt;"Subscription",INDEX('Game Records'!$U:$U,$H122)&lt;&gt;"Free Game",INDEX('Game Records'!$U:$U,$H122)&lt;&gt;"Disqualified — Free Game",OR(INDEX('Game Records'!$D:$D,$H122)="",LOWER(INDEX('Game Records'!$D:$D,$H122)&amp;"")="n/a")),"Entry Mode; ","")&amp;IF(AND(INDEX('Game Records'!$U:$U,$H122)&lt;&gt;"Subscription",INDEX('Game Records'!$U:$U,$H122)&lt;&gt;"Free Game",INDEX('Game Records'!$U:$U,$H122)&lt;&gt;"Disqualified — Free Game",OR(INDEX('Game Records'!$E:$E,$H122)="",LOWER(INDEX('Game Records'!$E:$E,$H122)&amp;"")="n/a")),"Game Type; ","")&amp;IF(INDEX('Game Records'!$F:$F,$H122)="","Payment Type; ","")&amp;IF(AND(INDEX('Game Records'!$U:$U,$H122)&lt;&gt;"Subscription",INDEX('Game Records'!$U:$U,$H122)&lt;&gt;"Free Game",INDEX('Game Records'!$U:$U,$H122)&lt;&gt;"Disqualified — Free Game",INDEX('Game Records'!$G:$G,$H122)=""),"Gross Pot; ","")&amp;IF(AND(INDEX('Game Records'!$U:$U,$H122)&lt;&gt;"Free Game",INDEX('Game Records'!$U:$U,$H122)&lt;&gt;"Disqualified — Free Game",INDEX('Game Records'!$H:$H,$H122)=""),"Entry Fee; ","")&amp;IF(AND(INDEX('Game Records'!$U:$U,$H122)&lt;&gt;"Subscription",INDEX('Game Records'!$U:$U,$H122)&lt;&gt;"Free Game",INDEX('Game Records'!$U:$U,$H122)&lt;&gt;"Disqualified — Free Game",INDEX('Game Records'!$I:$I,$H122)=""),"Eligible Players; ","")&amp;IF(AND(INDEX('Game Records'!$U:$U,$H122)&lt;&gt;"Subscription",INDEX('Game Records'!$U:$U,$H122)&lt;&gt;"Free Game",INDEX('Game Records'!$U:$U,$H122)&lt;&gt;"Disqualified — Free Game",INDEX('Game Records'!$J:$J,$H122)=""),"Total Players; ","")&amp;IF(AND(LOWER(INDEX('Game Records'!$D:$D,$H122)&amp;"")="finalized",LOWER(INDEX('Game Records'!$L:$L,$H122)&amp;"")&lt;&gt;"yes",INDEX('Game Records'!$U:$U,$H122)&lt;&gt;"Subscription",INDEX('Game Records'!$U:$U,$H122)&lt;&gt;"Free Game",INDEX('Game Records'!$U:$U,$H122)&lt;&gt;"Disqualified — Free Game",INDEX('Game Records'!$K:$K,$H122)=""),"Final Payout; ","")&amp;IF(AND(LOWER(INDEX('Game Records'!$D:$D,$H122)&amp;"")="finalized",INDEX('Game Records'!$U:$U,$H122)&lt;&gt;"Subscription",INDEX('Game Records'!$U:$U,$H122)&lt;&gt;"Free Game",INDEX('Game Records'!$U:$U,$H122)&lt;&gt;"Disqualified — Free Game",OR(INDEX('Game Records'!$L:$L,$H122)="",LOWER(INDEX('Game Records'!$L:$L,$H122)&amp;"")="n/a")),"Disqualified Status; ",""))</f>
        <v/>
      </c>
      <c r="G122" s="23" t="str">
        <f t="array" ref="G122">IF($H122="","",IFERROR(INDEX('Game Records'!$M:$M,$H122),""))</f>
        <v/>
      </c>
      <c r="H122" s="3"/>
      <c r="I122" s="3"/>
      <c r="J122" s="3"/>
    </row>
    <row r="123" ht="24.0" customHeight="1">
      <c r="A123" s="18" t="str">
        <f t="shared" si="1"/>
        <v/>
      </c>
      <c r="B123" s="18" t="str">
        <f t="shared" si="2"/>
        <v/>
      </c>
      <c r="C123" s="23" t="str">
        <f t="array" ref="C123">IF($H123="","",IFERROR(INDEX('Game Records'!$A:$A,$H123),""))</f>
        <v/>
      </c>
      <c r="D123" s="23" t="str">
        <f t="array" ref="D123">IF($H123="","",IFERROR(INDEX('Game Records'!$U:$U,$H123),""))</f>
        <v/>
      </c>
      <c r="E123" s="23" t="str">
        <f t="array" ref="E123">IF($H123="","",LET(r,$H123,mode,LOWER(INDEX('Game Records'!$D:$D,r)&amp;""),endDate,INDEX('Game Records'!$C:$C,r),IF(mode="estimate",IF(endDate="","Estimate — End Date missing",IF(NOT(ISNUMBER(endDate)),"Estimate — Check End Date",IF(INT(endDate)&gt;=TODAY(),"In Progress — ends "&amp;TEXT(endDate,"mmm d, yyyy"),"Ready to Finalize"))),IF($F123="","No Highlighted Fields","Highlighted Fields Present"))))</f>
        <v/>
      </c>
      <c r="F123" s="23" t="str">
        <f t="array" ref="F123">IF($H123="","",IF(OR(NOT(_xlfn.ISFORMULA(INDEX('Game Records'!$N:$N,$H123))),NOT(_xlfn.ISFORMULA(INDEX('Game Records'!$O:$O,$H123))),NOT(_xlfn.ISFORMULA(INDEX('Game Records'!$P:$P,$H123))),NOT(_xlfn.ISFORMULA(INDEX('Game Records'!$Q:$Q,$H123))),NOT(_xlfn.ISFORMULA(INDEX('Game Records'!$R:$R,$H123))),NOT(_xlfn.ISFORMULA(INDEX('Game Records'!$S:$S,$H123))),NOT(_xlfn.ISFORMULA(INDEX('Game Records'!$T:$T,$H123))),NOT(_xlfn.ISFORMULA(INDEX('Game Records'!$U:$U,$H123))),NOT(_xlfn.ISFORMULA(INDEX('Game Records'!$V:$V,$H123))),NOT(_xlfn.ISFORMULA(INDEX('Game Records'!$W:$W,$H123))),NOT(_xlfn.ISFORMULA(INDEX('Game Records'!$X:$X,$H123))),NOT(_xlfn.ISFORMULA(INDEX('Game Records'!$Y:$Y,$H123))),NOT(_xlfn.ISFORMULA(INDEX('Game Records'!$Z:$Z,$H123)))),"","")&amp;IF(INDEX('Game Records'!$B:$B,$H123)="","Start Date; ","")&amp;IF(INDEX('Game Records'!$C:$C,$H123)="","End Date; ","")&amp;IF(AND(INDEX('Game Records'!$U:$U,$H123)&lt;&gt;"Subscription",INDEX('Game Records'!$U:$U,$H123)&lt;&gt;"Free Game",INDEX('Game Records'!$U:$U,$H123)&lt;&gt;"Disqualified — Free Game",OR(INDEX('Game Records'!$D:$D,$H123)="",LOWER(INDEX('Game Records'!$D:$D,$H123)&amp;"")="n/a")),"Entry Mode; ","")&amp;IF(AND(INDEX('Game Records'!$U:$U,$H123)&lt;&gt;"Subscription",INDEX('Game Records'!$U:$U,$H123)&lt;&gt;"Free Game",INDEX('Game Records'!$U:$U,$H123)&lt;&gt;"Disqualified — Free Game",OR(INDEX('Game Records'!$E:$E,$H123)="",LOWER(INDEX('Game Records'!$E:$E,$H123)&amp;"")="n/a")),"Game Type; ","")&amp;IF(INDEX('Game Records'!$F:$F,$H123)="","Payment Type; ","")&amp;IF(AND(INDEX('Game Records'!$U:$U,$H123)&lt;&gt;"Subscription",INDEX('Game Records'!$U:$U,$H123)&lt;&gt;"Free Game",INDEX('Game Records'!$U:$U,$H123)&lt;&gt;"Disqualified — Free Game",INDEX('Game Records'!$G:$G,$H123)=""),"Gross Pot; ","")&amp;IF(AND(INDEX('Game Records'!$U:$U,$H123)&lt;&gt;"Free Game",INDEX('Game Records'!$U:$U,$H123)&lt;&gt;"Disqualified — Free Game",INDEX('Game Records'!$H:$H,$H123)=""),"Entry Fee; ","")&amp;IF(AND(INDEX('Game Records'!$U:$U,$H123)&lt;&gt;"Subscription",INDEX('Game Records'!$U:$U,$H123)&lt;&gt;"Free Game",INDEX('Game Records'!$U:$U,$H123)&lt;&gt;"Disqualified — Free Game",INDEX('Game Records'!$I:$I,$H123)=""),"Eligible Players; ","")&amp;IF(AND(INDEX('Game Records'!$U:$U,$H123)&lt;&gt;"Subscription",INDEX('Game Records'!$U:$U,$H123)&lt;&gt;"Free Game",INDEX('Game Records'!$U:$U,$H123)&lt;&gt;"Disqualified — Free Game",INDEX('Game Records'!$J:$J,$H123)=""),"Total Players; ","")&amp;IF(AND(LOWER(INDEX('Game Records'!$D:$D,$H123)&amp;"")="finalized",LOWER(INDEX('Game Records'!$L:$L,$H123)&amp;"")&lt;&gt;"yes",INDEX('Game Records'!$U:$U,$H123)&lt;&gt;"Subscription",INDEX('Game Records'!$U:$U,$H123)&lt;&gt;"Free Game",INDEX('Game Records'!$U:$U,$H123)&lt;&gt;"Disqualified — Free Game",INDEX('Game Records'!$K:$K,$H123)=""),"Final Payout; ","")&amp;IF(AND(LOWER(INDEX('Game Records'!$D:$D,$H123)&amp;"")="finalized",INDEX('Game Records'!$U:$U,$H123)&lt;&gt;"Subscription",INDEX('Game Records'!$U:$U,$H123)&lt;&gt;"Free Game",INDEX('Game Records'!$U:$U,$H123)&lt;&gt;"Disqualified — Free Game",OR(INDEX('Game Records'!$L:$L,$H123)="",LOWER(INDEX('Game Records'!$L:$L,$H123)&amp;"")="n/a")),"Disqualified Status; ",""))</f>
        <v/>
      </c>
      <c r="G123" s="23" t="str">
        <f t="array" ref="G123">IF($H123="","",IFERROR(INDEX('Game Records'!$M:$M,$H123),""))</f>
        <v/>
      </c>
      <c r="H123" s="3"/>
      <c r="I123" s="3"/>
      <c r="J123" s="3"/>
    </row>
    <row r="124" ht="24.0" customHeight="1">
      <c r="A124" s="18" t="str">
        <f t="shared" si="1"/>
        <v/>
      </c>
      <c r="B124" s="18" t="str">
        <f t="shared" si="2"/>
        <v/>
      </c>
      <c r="C124" s="23" t="str">
        <f t="array" ref="C124">IF($H124="","",IFERROR(INDEX('Game Records'!$A:$A,$H124),""))</f>
        <v/>
      </c>
      <c r="D124" s="23" t="str">
        <f t="array" ref="D124">IF($H124="","",IFERROR(INDEX('Game Records'!$U:$U,$H124),""))</f>
        <v/>
      </c>
      <c r="E124" s="23" t="str">
        <f t="array" ref="E124">IF($H124="","",LET(r,$H124,mode,LOWER(INDEX('Game Records'!$D:$D,r)&amp;""),endDate,INDEX('Game Records'!$C:$C,r),IF(mode="estimate",IF(endDate="","Estimate — End Date missing",IF(NOT(ISNUMBER(endDate)),"Estimate — Check End Date",IF(INT(endDate)&gt;=TODAY(),"In Progress — ends "&amp;TEXT(endDate,"mmm d, yyyy"),"Ready to Finalize"))),IF($F124="","No Highlighted Fields","Highlighted Fields Present"))))</f>
        <v/>
      </c>
      <c r="F124" s="23" t="str">
        <f t="array" ref="F124">IF($H124="","",IF(OR(NOT(_xlfn.ISFORMULA(INDEX('Game Records'!$N:$N,$H124))),NOT(_xlfn.ISFORMULA(INDEX('Game Records'!$O:$O,$H124))),NOT(_xlfn.ISFORMULA(INDEX('Game Records'!$P:$P,$H124))),NOT(_xlfn.ISFORMULA(INDEX('Game Records'!$Q:$Q,$H124))),NOT(_xlfn.ISFORMULA(INDEX('Game Records'!$R:$R,$H124))),NOT(_xlfn.ISFORMULA(INDEX('Game Records'!$S:$S,$H124))),NOT(_xlfn.ISFORMULA(INDEX('Game Records'!$T:$T,$H124))),NOT(_xlfn.ISFORMULA(INDEX('Game Records'!$U:$U,$H124))),NOT(_xlfn.ISFORMULA(INDEX('Game Records'!$V:$V,$H124))),NOT(_xlfn.ISFORMULA(INDEX('Game Records'!$W:$W,$H124))),NOT(_xlfn.ISFORMULA(INDEX('Game Records'!$X:$X,$H124))),NOT(_xlfn.ISFORMULA(INDEX('Game Records'!$Y:$Y,$H124))),NOT(_xlfn.ISFORMULA(INDEX('Game Records'!$Z:$Z,$H124)))),"","")&amp;IF(INDEX('Game Records'!$B:$B,$H124)="","Start Date; ","")&amp;IF(INDEX('Game Records'!$C:$C,$H124)="","End Date; ","")&amp;IF(AND(INDEX('Game Records'!$U:$U,$H124)&lt;&gt;"Subscription",INDEX('Game Records'!$U:$U,$H124)&lt;&gt;"Free Game",INDEX('Game Records'!$U:$U,$H124)&lt;&gt;"Disqualified — Free Game",OR(INDEX('Game Records'!$D:$D,$H124)="",LOWER(INDEX('Game Records'!$D:$D,$H124)&amp;"")="n/a")),"Entry Mode; ","")&amp;IF(AND(INDEX('Game Records'!$U:$U,$H124)&lt;&gt;"Subscription",INDEX('Game Records'!$U:$U,$H124)&lt;&gt;"Free Game",INDEX('Game Records'!$U:$U,$H124)&lt;&gt;"Disqualified — Free Game",OR(INDEX('Game Records'!$E:$E,$H124)="",LOWER(INDEX('Game Records'!$E:$E,$H124)&amp;"")="n/a")),"Game Type; ","")&amp;IF(INDEX('Game Records'!$F:$F,$H124)="","Payment Type; ","")&amp;IF(AND(INDEX('Game Records'!$U:$U,$H124)&lt;&gt;"Subscription",INDEX('Game Records'!$U:$U,$H124)&lt;&gt;"Free Game",INDEX('Game Records'!$U:$U,$H124)&lt;&gt;"Disqualified — Free Game",INDEX('Game Records'!$G:$G,$H124)=""),"Gross Pot; ","")&amp;IF(AND(INDEX('Game Records'!$U:$U,$H124)&lt;&gt;"Free Game",INDEX('Game Records'!$U:$U,$H124)&lt;&gt;"Disqualified — Free Game",INDEX('Game Records'!$H:$H,$H124)=""),"Entry Fee; ","")&amp;IF(AND(INDEX('Game Records'!$U:$U,$H124)&lt;&gt;"Subscription",INDEX('Game Records'!$U:$U,$H124)&lt;&gt;"Free Game",INDEX('Game Records'!$U:$U,$H124)&lt;&gt;"Disqualified — Free Game",INDEX('Game Records'!$I:$I,$H124)=""),"Eligible Players; ","")&amp;IF(AND(INDEX('Game Records'!$U:$U,$H124)&lt;&gt;"Subscription",INDEX('Game Records'!$U:$U,$H124)&lt;&gt;"Free Game",INDEX('Game Records'!$U:$U,$H124)&lt;&gt;"Disqualified — Free Game",INDEX('Game Records'!$J:$J,$H124)=""),"Total Players; ","")&amp;IF(AND(LOWER(INDEX('Game Records'!$D:$D,$H124)&amp;"")="finalized",LOWER(INDEX('Game Records'!$L:$L,$H124)&amp;"")&lt;&gt;"yes",INDEX('Game Records'!$U:$U,$H124)&lt;&gt;"Subscription",INDEX('Game Records'!$U:$U,$H124)&lt;&gt;"Free Game",INDEX('Game Records'!$U:$U,$H124)&lt;&gt;"Disqualified — Free Game",INDEX('Game Records'!$K:$K,$H124)=""),"Final Payout; ","")&amp;IF(AND(LOWER(INDEX('Game Records'!$D:$D,$H124)&amp;"")="finalized",INDEX('Game Records'!$U:$U,$H124)&lt;&gt;"Subscription",INDEX('Game Records'!$U:$U,$H124)&lt;&gt;"Free Game",INDEX('Game Records'!$U:$U,$H124)&lt;&gt;"Disqualified — Free Game",OR(INDEX('Game Records'!$L:$L,$H124)="",LOWER(INDEX('Game Records'!$L:$L,$H124)&amp;"")="n/a")),"Disqualified Status; ",""))</f>
        <v/>
      </c>
      <c r="G124" s="23" t="str">
        <f t="array" ref="G124">IF($H124="","",IFERROR(INDEX('Game Records'!$M:$M,$H124),""))</f>
        <v/>
      </c>
      <c r="H124" s="3"/>
      <c r="I124" s="3"/>
      <c r="J124" s="3"/>
    </row>
    <row r="125" ht="24.0" customHeight="1">
      <c r="A125" s="18" t="str">
        <f t="shared" si="1"/>
        <v/>
      </c>
      <c r="B125" s="18" t="str">
        <f t="shared" si="2"/>
        <v/>
      </c>
      <c r="C125" s="23" t="str">
        <f t="array" ref="C125">IF($H125="","",IFERROR(INDEX('Game Records'!$A:$A,$H125),""))</f>
        <v/>
      </c>
      <c r="D125" s="23" t="str">
        <f t="array" ref="D125">IF($H125="","",IFERROR(INDEX('Game Records'!$U:$U,$H125),""))</f>
        <v/>
      </c>
      <c r="E125" s="23" t="str">
        <f t="array" ref="E125">IF($H125="","",LET(r,$H125,mode,LOWER(INDEX('Game Records'!$D:$D,r)&amp;""),endDate,INDEX('Game Records'!$C:$C,r),IF(mode="estimate",IF(endDate="","Estimate — End Date missing",IF(NOT(ISNUMBER(endDate)),"Estimate — Check End Date",IF(INT(endDate)&gt;=TODAY(),"In Progress — ends "&amp;TEXT(endDate,"mmm d, yyyy"),"Ready to Finalize"))),IF($F125="","No Highlighted Fields","Highlighted Fields Present"))))</f>
        <v/>
      </c>
      <c r="F125" s="23" t="str">
        <f t="array" ref="F125">IF($H125="","",IF(OR(NOT(_xlfn.ISFORMULA(INDEX('Game Records'!$N:$N,$H125))),NOT(_xlfn.ISFORMULA(INDEX('Game Records'!$O:$O,$H125))),NOT(_xlfn.ISFORMULA(INDEX('Game Records'!$P:$P,$H125))),NOT(_xlfn.ISFORMULA(INDEX('Game Records'!$Q:$Q,$H125))),NOT(_xlfn.ISFORMULA(INDEX('Game Records'!$R:$R,$H125))),NOT(_xlfn.ISFORMULA(INDEX('Game Records'!$S:$S,$H125))),NOT(_xlfn.ISFORMULA(INDEX('Game Records'!$T:$T,$H125))),NOT(_xlfn.ISFORMULA(INDEX('Game Records'!$U:$U,$H125))),NOT(_xlfn.ISFORMULA(INDEX('Game Records'!$V:$V,$H125))),NOT(_xlfn.ISFORMULA(INDEX('Game Records'!$W:$W,$H125))),NOT(_xlfn.ISFORMULA(INDEX('Game Records'!$X:$X,$H125))),NOT(_xlfn.ISFORMULA(INDEX('Game Records'!$Y:$Y,$H125))),NOT(_xlfn.ISFORMULA(INDEX('Game Records'!$Z:$Z,$H125)))),"","")&amp;IF(INDEX('Game Records'!$B:$B,$H125)="","Start Date; ","")&amp;IF(INDEX('Game Records'!$C:$C,$H125)="","End Date; ","")&amp;IF(AND(INDEX('Game Records'!$U:$U,$H125)&lt;&gt;"Subscription",INDEX('Game Records'!$U:$U,$H125)&lt;&gt;"Free Game",INDEX('Game Records'!$U:$U,$H125)&lt;&gt;"Disqualified — Free Game",OR(INDEX('Game Records'!$D:$D,$H125)="",LOWER(INDEX('Game Records'!$D:$D,$H125)&amp;"")="n/a")),"Entry Mode; ","")&amp;IF(AND(INDEX('Game Records'!$U:$U,$H125)&lt;&gt;"Subscription",INDEX('Game Records'!$U:$U,$H125)&lt;&gt;"Free Game",INDEX('Game Records'!$U:$U,$H125)&lt;&gt;"Disqualified — Free Game",OR(INDEX('Game Records'!$E:$E,$H125)="",LOWER(INDEX('Game Records'!$E:$E,$H125)&amp;"")="n/a")),"Game Type; ","")&amp;IF(INDEX('Game Records'!$F:$F,$H125)="","Payment Type; ","")&amp;IF(AND(INDEX('Game Records'!$U:$U,$H125)&lt;&gt;"Subscription",INDEX('Game Records'!$U:$U,$H125)&lt;&gt;"Free Game",INDEX('Game Records'!$U:$U,$H125)&lt;&gt;"Disqualified — Free Game",INDEX('Game Records'!$G:$G,$H125)=""),"Gross Pot; ","")&amp;IF(AND(INDEX('Game Records'!$U:$U,$H125)&lt;&gt;"Free Game",INDEX('Game Records'!$U:$U,$H125)&lt;&gt;"Disqualified — Free Game",INDEX('Game Records'!$H:$H,$H125)=""),"Entry Fee; ","")&amp;IF(AND(INDEX('Game Records'!$U:$U,$H125)&lt;&gt;"Subscription",INDEX('Game Records'!$U:$U,$H125)&lt;&gt;"Free Game",INDEX('Game Records'!$U:$U,$H125)&lt;&gt;"Disqualified — Free Game",INDEX('Game Records'!$I:$I,$H125)=""),"Eligible Players; ","")&amp;IF(AND(INDEX('Game Records'!$U:$U,$H125)&lt;&gt;"Subscription",INDEX('Game Records'!$U:$U,$H125)&lt;&gt;"Free Game",INDEX('Game Records'!$U:$U,$H125)&lt;&gt;"Disqualified — Free Game",INDEX('Game Records'!$J:$J,$H125)=""),"Total Players; ","")&amp;IF(AND(LOWER(INDEX('Game Records'!$D:$D,$H125)&amp;"")="finalized",LOWER(INDEX('Game Records'!$L:$L,$H125)&amp;"")&lt;&gt;"yes",INDEX('Game Records'!$U:$U,$H125)&lt;&gt;"Subscription",INDEX('Game Records'!$U:$U,$H125)&lt;&gt;"Free Game",INDEX('Game Records'!$U:$U,$H125)&lt;&gt;"Disqualified — Free Game",INDEX('Game Records'!$K:$K,$H125)=""),"Final Payout; ","")&amp;IF(AND(LOWER(INDEX('Game Records'!$D:$D,$H125)&amp;"")="finalized",INDEX('Game Records'!$U:$U,$H125)&lt;&gt;"Subscription",INDEX('Game Records'!$U:$U,$H125)&lt;&gt;"Free Game",INDEX('Game Records'!$U:$U,$H125)&lt;&gt;"Disqualified — Free Game",OR(INDEX('Game Records'!$L:$L,$H125)="",LOWER(INDEX('Game Records'!$L:$L,$H125)&amp;"")="n/a")),"Disqualified Status; ",""))</f>
        <v/>
      </c>
      <c r="G125" s="23" t="str">
        <f t="array" ref="G125">IF($H125="","",IFERROR(INDEX('Game Records'!$M:$M,$H125),""))</f>
        <v/>
      </c>
      <c r="H125" s="3"/>
      <c r="I125" s="3"/>
      <c r="J125" s="3"/>
    </row>
    <row r="126" ht="24.0" customHeight="1">
      <c r="A126" s="18" t="str">
        <f t="shared" si="1"/>
        <v/>
      </c>
      <c r="B126" s="18" t="str">
        <f t="shared" si="2"/>
        <v/>
      </c>
      <c r="C126" s="23" t="str">
        <f t="array" ref="C126">IF($H126="","",IFERROR(INDEX('Game Records'!$A:$A,$H126),""))</f>
        <v/>
      </c>
      <c r="D126" s="23" t="str">
        <f t="array" ref="D126">IF($H126="","",IFERROR(INDEX('Game Records'!$U:$U,$H126),""))</f>
        <v/>
      </c>
      <c r="E126" s="23" t="str">
        <f t="array" ref="E126">IF($H126="","",LET(r,$H126,mode,LOWER(INDEX('Game Records'!$D:$D,r)&amp;""),endDate,INDEX('Game Records'!$C:$C,r),IF(mode="estimate",IF(endDate="","Estimate — End Date missing",IF(NOT(ISNUMBER(endDate)),"Estimate — Check End Date",IF(INT(endDate)&gt;=TODAY(),"In Progress — ends "&amp;TEXT(endDate,"mmm d, yyyy"),"Ready to Finalize"))),IF($F126="","No Highlighted Fields","Highlighted Fields Present"))))</f>
        <v/>
      </c>
      <c r="F126" s="23" t="str">
        <f t="array" ref="F126">IF($H126="","",IF(OR(NOT(_xlfn.ISFORMULA(INDEX('Game Records'!$N:$N,$H126))),NOT(_xlfn.ISFORMULA(INDEX('Game Records'!$O:$O,$H126))),NOT(_xlfn.ISFORMULA(INDEX('Game Records'!$P:$P,$H126))),NOT(_xlfn.ISFORMULA(INDEX('Game Records'!$Q:$Q,$H126))),NOT(_xlfn.ISFORMULA(INDEX('Game Records'!$R:$R,$H126))),NOT(_xlfn.ISFORMULA(INDEX('Game Records'!$S:$S,$H126))),NOT(_xlfn.ISFORMULA(INDEX('Game Records'!$T:$T,$H126))),NOT(_xlfn.ISFORMULA(INDEX('Game Records'!$U:$U,$H126))),NOT(_xlfn.ISFORMULA(INDEX('Game Records'!$V:$V,$H126))),NOT(_xlfn.ISFORMULA(INDEX('Game Records'!$W:$W,$H126))),NOT(_xlfn.ISFORMULA(INDEX('Game Records'!$X:$X,$H126))),NOT(_xlfn.ISFORMULA(INDEX('Game Records'!$Y:$Y,$H126))),NOT(_xlfn.ISFORMULA(INDEX('Game Records'!$Z:$Z,$H126)))),"","")&amp;IF(INDEX('Game Records'!$B:$B,$H126)="","Start Date; ","")&amp;IF(INDEX('Game Records'!$C:$C,$H126)="","End Date; ","")&amp;IF(AND(INDEX('Game Records'!$U:$U,$H126)&lt;&gt;"Subscription",INDEX('Game Records'!$U:$U,$H126)&lt;&gt;"Free Game",INDEX('Game Records'!$U:$U,$H126)&lt;&gt;"Disqualified — Free Game",OR(INDEX('Game Records'!$D:$D,$H126)="",LOWER(INDEX('Game Records'!$D:$D,$H126)&amp;"")="n/a")),"Entry Mode; ","")&amp;IF(AND(INDEX('Game Records'!$U:$U,$H126)&lt;&gt;"Subscription",INDEX('Game Records'!$U:$U,$H126)&lt;&gt;"Free Game",INDEX('Game Records'!$U:$U,$H126)&lt;&gt;"Disqualified — Free Game",OR(INDEX('Game Records'!$E:$E,$H126)="",LOWER(INDEX('Game Records'!$E:$E,$H126)&amp;"")="n/a")),"Game Type; ","")&amp;IF(INDEX('Game Records'!$F:$F,$H126)="","Payment Type; ","")&amp;IF(AND(INDEX('Game Records'!$U:$U,$H126)&lt;&gt;"Subscription",INDEX('Game Records'!$U:$U,$H126)&lt;&gt;"Free Game",INDEX('Game Records'!$U:$U,$H126)&lt;&gt;"Disqualified — Free Game",INDEX('Game Records'!$G:$G,$H126)=""),"Gross Pot; ","")&amp;IF(AND(INDEX('Game Records'!$U:$U,$H126)&lt;&gt;"Free Game",INDEX('Game Records'!$U:$U,$H126)&lt;&gt;"Disqualified — Free Game",INDEX('Game Records'!$H:$H,$H126)=""),"Entry Fee; ","")&amp;IF(AND(INDEX('Game Records'!$U:$U,$H126)&lt;&gt;"Subscription",INDEX('Game Records'!$U:$U,$H126)&lt;&gt;"Free Game",INDEX('Game Records'!$U:$U,$H126)&lt;&gt;"Disqualified — Free Game",INDEX('Game Records'!$I:$I,$H126)=""),"Eligible Players; ","")&amp;IF(AND(INDEX('Game Records'!$U:$U,$H126)&lt;&gt;"Subscription",INDEX('Game Records'!$U:$U,$H126)&lt;&gt;"Free Game",INDEX('Game Records'!$U:$U,$H126)&lt;&gt;"Disqualified — Free Game",INDEX('Game Records'!$J:$J,$H126)=""),"Total Players; ","")&amp;IF(AND(LOWER(INDEX('Game Records'!$D:$D,$H126)&amp;"")="finalized",LOWER(INDEX('Game Records'!$L:$L,$H126)&amp;"")&lt;&gt;"yes",INDEX('Game Records'!$U:$U,$H126)&lt;&gt;"Subscription",INDEX('Game Records'!$U:$U,$H126)&lt;&gt;"Free Game",INDEX('Game Records'!$U:$U,$H126)&lt;&gt;"Disqualified — Free Game",INDEX('Game Records'!$K:$K,$H126)=""),"Final Payout; ","")&amp;IF(AND(LOWER(INDEX('Game Records'!$D:$D,$H126)&amp;"")="finalized",INDEX('Game Records'!$U:$U,$H126)&lt;&gt;"Subscription",INDEX('Game Records'!$U:$U,$H126)&lt;&gt;"Free Game",INDEX('Game Records'!$U:$U,$H126)&lt;&gt;"Disqualified — Free Game",OR(INDEX('Game Records'!$L:$L,$H126)="",LOWER(INDEX('Game Records'!$L:$L,$H126)&amp;"")="n/a")),"Disqualified Status; ",""))</f>
        <v/>
      </c>
      <c r="G126" s="23" t="str">
        <f t="array" ref="G126">IF($H126="","",IFERROR(INDEX('Game Records'!$M:$M,$H126),""))</f>
        <v/>
      </c>
      <c r="H126" s="3"/>
      <c r="I126" s="3"/>
      <c r="J126" s="3"/>
    </row>
    <row r="127" ht="24.0" customHeight="1">
      <c r="A127" s="18" t="str">
        <f t="shared" si="1"/>
        <v/>
      </c>
      <c r="B127" s="18" t="str">
        <f t="shared" si="2"/>
        <v/>
      </c>
      <c r="C127" s="23" t="str">
        <f t="array" ref="C127">IF($H127="","",IFERROR(INDEX('Game Records'!$A:$A,$H127),""))</f>
        <v/>
      </c>
      <c r="D127" s="23" t="str">
        <f t="array" ref="D127">IF($H127="","",IFERROR(INDEX('Game Records'!$U:$U,$H127),""))</f>
        <v/>
      </c>
      <c r="E127" s="23" t="str">
        <f t="array" ref="E127">IF($H127="","",LET(r,$H127,mode,LOWER(INDEX('Game Records'!$D:$D,r)&amp;""),endDate,INDEX('Game Records'!$C:$C,r),IF(mode="estimate",IF(endDate="","Estimate — End Date missing",IF(NOT(ISNUMBER(endDate)),"Estimate — Check End Date",IF(INT(endDate)&gt;=TODAY(),"In Progress — ends "&amp;TEXT(endDate,"mmm d, yyyy"),"Ready to Finalize"))),IF($F127="","No Highlighted Fields","Highlighted Fields Present"))))</f>
        <v/>
      </c>
      <c r="F127" s="23" t="str">
        <f t="array" ref="F127">IF($H127="","",IF(OR(NOT(_xlfn.ISFORMULA(INDEX('Game Records'!$N:$N,$H127))),NOT(_xlfn.ISFORMULA(INDEX('Game Records'!$O:$O,$H127))),NOT(_xlfn.ISFORMULA(INDEX('Game Records'!$P:$P,$H127))),NOT(_xlfn.ISFORMULA(INDEX('Game Records'!$Q:$Q,$H127))),NOT(_xlfn.ISFORMULA(INDEX('Game Records'!$R:$R,$H127))),NOT(_xlfn.ISFORMULA(INDEX('Game Records'!$S:$S,$H127))),NOT(_xlfn.ISFORMULA(INDEX('Game Records'!$T:$T,$H127))),NOT(_xlfn.ISFORMULA(INDEX('Game Records'!$U:$U,$H127))),NOT(_xlfn.ISFORMULA(INDEX('Game Records'!$V:$V,$H127))),NOT(_xlfn.ISFORMULA(INDEX('Game Records'!$W:$W,$H127))),NOT(_xlfn.ISFORMULA(INDEX('Game Records'!$X:$X,$H127))),NOT(_xlfn.ISFORMULA(INDEX('Game Records'!$Y:$Y,$H127))),NOT(_xlfn.ISFORMULA(INDEX('Game Records'!$Z:$Z,$H127)))),"","")&amp;IF(INDEX('Game Records'!$B:$B,$H127)="","Start Date; ","")&amp;IF(INDEX('Game Records'!$C:$C,$H127)="","End Date; ","")&amp;IF(AND(INDEX('Game Records'!$U:$U,$H127)&lt;&gt;"Subscription",INDEX('Game Records'!$U:$U,$H127)&lt;&gt;"Free Game",INDEX('Game Records'!$U:$U,$H127)&lt;&gt;"Disqualified — Free Game",OR(INDEX('Game Records'!$D:$D,$H127)="",LOWER(INDEX('Game Records'!$D:$D,$H127)&amp;"")="n/a")),"Entry Mode; ","")&amp;IF(AND(INDEX('Game Records'!$U:$U,$H127)&lt;&gt;"Subscription",INDEX('Game Records'!$U:$U,$H127)&lt;&gt;"Free Game",INDEX('Game Records'!$U:$U,$H127)&lt;&gt;"Disqualified — Free Game",OR(INDEX('Game Records'!$E:$E,$H127)="",LOWER(INDEX('Game Records'!$E:$E,$H127)&amp;"")="n/a")),"Game Type; ","")&amp;IF(INDEX('Game Records'!$F:$F,$H127)="","Payment Type; ","")&amp;IF(AND(INDEX('Game Records'!$U:$U,$H127)&lt;&gt;"Subscription",INDEX('Game Records'!$U:$U,$H127)&lt;&gt;"Free Game",INDEX('Game Records'!$U:$U,$H127)&lt;&gt;"Disqualified — Free Game",INDEX('Game Records'!$G:$G,$H127)=""),"Gross Pot; ","")&amp;IF(AND(INDEX('Game Records'!$U:$U,$H127)&lt;&gt;"Free Game",INDEX('Game Records'!$U:$U,$H127)&lt;&gt;"Disqualified — Free Game",INDEX('Game Records'!$H:$H,$H127)=""),"Entry Fee; ","")&amp;IF(AND(INDEX('Game Records'!$U:$U,$H127)&lt;&gt;"Subscription",INDEX('Game Records'!$U:$U,$H127)&lt;&gt;"Free Game",INDEX('Game Records'!$U:$U,$H127)&lt;&gt;"Disqualified — Free Game",INDEX('Game Records'!$I:$I,$H127)=""),"Eligible Players; ","")&amp;IF(AND(INDEX('Game Records'!$U:$U,$H127)&lt;&gt;"Subscription",INDEX('Game Records'!$U:$U,$H127)&lt;&gt;"Free Game",INDEX('Game Records'!$U:$U,$H127)&lt;&gt;"Disqualified — Free Game",INDEX('Game Records'!$J:$J,$H127)=""),"Total Players; ","")&amp;IF(AND(LOWER(INDEX('Game Records'!$D:$D,$H127)&amp;"")="finalized",LOWER(INDEX('Game Records'!$L:$L,$H127)&amp;"")&lt;&gt;"yes",INDEX('Game Records'!$U:$U,$H127)&lt;&gt;"Subscription",INDEX('Game Records'!$U:$U,$H127)&lt;&gt;"Free Game",INDEX('Game Records'!$U:$U,$H127)&lt;&gt;"Disqualified — Free Game",INDEX('Game Records'!$K:$K,$H127)=""),"Final Payout; ","")&amp;IF(AND(LOWER(INDEX('Game Records'!$D:$D,$H127)&amp;"")="finalized",INDEX('Game Records'!$U:$U,$H127)&lt;&gt;"Subscription",INDEX('Game Records'!$U:$U,$H127)&lt;&gt;"Free Game",INDEX('Game Records'!$U:$U,$H127)&lt;&gt;"Disqualified — Free Game",OR(INDEX('Game Records'!$L:$L,$H127)="",LOWER(INDEX('Game Records'!$L:$L,$H127)&amp;"")="n/a")),"Disqualified Status; ",""))</f>
        <v/>
      </c>
      <c r="G127" s="23" t="str">
        <f t="array" ref="G127">IF($H127="","",IFERROR(INDEX('Game Records'!$M:$M,$H127),""))</f>
        <v/>
      </c>
      <c r="H127" s="3"/>
      <c r="I127" s="3"/>
      <c r="J127" s="3"/>
    </row>
    <row r="128" ht="24.0" customHeight="1">
      <c r="A128" s="18" t="str">
        <f t="shared" si="1"/>
        <v/>
      </c>
      <c r="B128" s="18" t="str">
        <f t="shared" si="2"/>
        <v/>
      </c>
      <c r="C128" s="23" t="str">
        <f t="array" ref="C128">IF($H128="","",IFERROR(INDEX('Game Records'!$A:$A,$H128),""))</f>
        <v/>
      </c>
      <c r="D128" s="23" t="str">
        <f t="array" ref="D128">IF($H128="","",IFERROR(INDEX('Game Records'!$U:$U,$H128),""))</f>
        <v/>
      </c>
      <c r="E128" s="23" t="str">
        <f t="array" ref="E128">IF($H128="","",LET(r,$H128,mode,LOWER(INDEX('Game Records'!$D:$D,r)&amp;""),endDate,INDEX('Game Records'!$C:$C,r),IF(mode="estimate",IF(endDate="","Estimate — End Date missing",IF(NOT(ISNUMBER(endDate)),"Estimate — Check End Date",IF(INT(endDate)&gt;=TODAY(),"In Progress — ends "&amp;TEXT(endDate,"mmm d, yyyy"),"Ready to Finalize"))),IF($F128="","No Highlighted Fields","Highlighted Fields Present"))))</f>
        <v/>
      </c>
      <c r="F128" s="23" t="str">
        <f t="array" ref="F128">IF($H128="","",IF(OR(NOT(_xlfn.ISFORMULA(INDEX('Game Records'!$N:$N,$H128))),NOT(_xlfn.ISFORMULA(INDEX('Game Records'!$O:$O,$H128))),NOT(_xlfn.ISFORMULA(INDEX('Game Records'!$P:$P,$H128))),NOT(_xlfn.ISFORMULA(INDEX('Game Records'!$Q:$Q,$H128))),NOT(_xlfn.ISFORMULA(INDEX('Game Records'!$R:$R,$H128))),NOT(_xlfn.ISFORMULA(INDEX('Game Records'!$S:$S,$H128))),NOT(_xlfn.ISFORMULA(INDEX('Game Records'!$T:$T,$H128))),NOT(_xlfn.ISFORMULA(INDEX('Game Records'!$U:$U,$H128))),NOT(_xlfn.ISFORMULA(INDEX('Game Records'!$V:$V,$H128))),NOT(_xlfn.ISFORMULA(INDEX('Game Records'!$W:$W,$H128))),NOT(_xlfn.ISFORMULA(INDEX('Game Records'!$X:$X,$H128))),NOT(_xlfn.ISFORMULA(INDEX('Game Records'!$Y:$Y,$H128))),NOT(_xlfn.ISFORMULA(INDEX('Game Records'!$Z:$Z,$H128)))),"","")&amp;IF(INDEX('Game Records'!$B:$B,$H128)="","Start Date; ","")&amp;IF(INDEX('Game Records'!$C:$C,$H128)="","End Date; ","")&amp;IF(AND(INDEX('Game Records'!$U:$U,$H128)&lt;&gt;"Subscription",INDEX('Game Records'!$U:$U,$H128)&lt;&gt;"Free Game",INDEX('Game Records'!$U:$U,$H128)&lt;&gt;"Disqualified — Free Game",OR(INDEX('Game Records'!$D:$D,$H128)="",LOWER(INDEX('Game Records'!$D:$D,$H128)&amp;"")="n/a")),"Entry Mode; ","")&amp;IF(AND(INDEX('Game Records'!$U:$U,$H128)&lt;&gt;"Subscription",INDEX('Game Records'!$U:$U,$H128)&lt;&gt;"Free Game",INDEX('Game Records'!$U:$U,$H128)&lt;&gt;"Disqualified — Free Game",OR(INDEX('Game Records'!$E:$E,$H128)="",LOWER(INDEX('Game Records'!$E:$E,$H128)&amp;"")="n/a")),"Game Type; ","")&amp;IF(INDEX('Game Records'!$F:$F,$H128)="","Payment Type; ","")&amp;IF(AND(INDEX('Game Records'!$U:$U,$H128)&lt;&gt;"Subscription",INDEX('Game Records'!$U:$U,$H128)&lt;&gt;"Free Game",INDEX('Game Records'!$U:$U,$H128)&lt;&gt;"Disqualified — Free Game",INDEX('Game Records'!$G:$G,$H128)=""),"Gross Pot; ","")&amp;IF(AND(INDEX('Game Records'!$U:$U,$H128)&lt;&gt;"Free Game",INDEX('Game Records'!$U:$U,$H128)&lt;&gt;"Disqualified — Free Game",INDEX('Game Records'!$H:$H,$H128)=""),"Entry Fee; ","")&amp;IF(AND(INDEX('Game Records'!$U:$U,$H128)&lt;&gt;"Subscription",INDEX('Game Records'!$U:$U,$H128)&lt;&gt;"Free Game",INDEX('Game Records'!$U:$U,$H128)&lt;&gt;"Disqualified — Free Game",INDEX('Game Records'!$I:$I,$H128)=""),"Eligible Players; ","")&amp;IF(AND(INDEX('Game Records'!$U:$U,$H128)&lt;&gt;"Subscription",INDEX('Game Records'!$U:$U,$H128)&lt;&gt;"Free Game",INDEX('Game Records'!$U:$U,$H128)&lt;&gt;"Disqualified — Free Game",INDEX('Game Records'!$J:$J,$H128)=""),"Total Players; ","")&amp;IF(AND(LOWER(INDEX('Game Records'!$D:$D,$H128)&amp;"")="finalized",LOWER(INDEX('Game Records'!$L:$L,$H128)&amp;"")&lt;&gt;"yes",INDEX('Game Records'!$U:$U,$H128)&lt;&gt;"Subscription",INDEX('Game Records'!$U:$U,$H128)&lt;&gt;"Free Game",INDEX('Game Records'!$U:$U,$H128)&lt;&gt;"Disqualified — Free Game",INDEX('Game Records'!$K:$K,$H128)=""),"Final Payout; ","")&amp;IF(AND(LOWER(INDEX('Game Records'!$D:$D,$H128)&amp;"")="finalized",INDEX('Game Records'!$U:$U,$H128)&lt;&gt;"Subscription",INDEX('Game Records'!$U:$U,$H128)&lt;&gt;"Free Game",INDEX('Game Records'!$U:$U,$H128)&lt;&gt;"Disqualified — Free Game",OR(INDEX('Game Records'!$L:$L,$H128)="",LOWER(INDEX('Game Records'!$L:$L,$H128)&amp;"")="n/a")),"Disqualified Status; ",""))</f>
        <v/>
      </c>
      <c r="G128" s="23" t="str">
        <f t="array" ref="G128">IF($H128="","",IFERROR(INDEX('Game Records'!$M:$M,$H128),""))</f>
        <v/>
      </c>
      <c r="H128" s="3"/>
      <c r="I128" s="3"/>
      <c r="J128" s="3"/>
    </row>
    <row r="129" ht="24.0" customHeight="1">
      <c r="A129" s="18" t="str">
        <f t="shared" si="1"/>
        <v/>
      </c>
      <c r="B129" s="18" t="str">
        <f t="shared" si="2"/>
        <v/>
      </c>
      <c r="C129" s="23" t="str">
        <f t="array" ref="C129">IF($H129="","",IFERROR(INDEX('Game Records'!$A:$A,$H129),""))</f>
        <v/>
      </c>
      <c r="D129" s="23" t="str">
        <f t="array" ref="D129">IF($H129="","",IFERROR(INDEX('Game Records'!$U:$U,$H129),""))</f>
        <v/>
      </c>
      <c r="E129" s="23" t="str">
        <f t="array" ref="E129">IF($H129="","",LET(r,$H129,mode,LOWER(INDEX('Game Records'!$D:$D,r)&amp;""),endDate,INDEX('Game Records'!$C:$C,r),IF(mode="estimate",IF(endDate="","Estimate — End Date missing",IF(NOT(ISNUMBER(endDate)),"Estimate — Check End Date",IF(INT(endDate)&gt;=TODAY(),"In Progress — ends "&amp;TEXT(endDate,"mmm d, yyyy"),"Ready to Finalize"))),IF($F129="","No Highlighted Fields","Highlighted Fields Present"))))</f>
        <v/>
      </c>
      <c r="F129" s="23" t="str">
        <f t="array" ref="F129">IF($H129="","",IF(OR(NOT(_xlfn.ISFORMULA(INDEX('Game Records'!$N:$N,$H129))),NOT(_xlfn.ISFORMULA(INDEX('Game Records'!$O:$O,$H129))),NOT(_xlfn.ISFORMULA(INDEX('Game Records'!$P:$P,$H129))),NOT(_xlfn.ISFORMULA(INDEX('Game Records'!$Q:$Q,$H129))),NOT(_xlfn.ISFORMULA(INDEX('Game Records'!$R:$R,$H129))),NOT(_xlfn.ISFORMULA(INDEX('Game Records'!$S:$S,$H129))),NOT(_xlfn.ISFORMULA(INDEX('Game Records'!$T:$T,$H129))),NOT(_xlfn.ISFORMULA(INDEX('Game Records'!$U:$U,$H129))),NOT(_xlfn.ISFORMULA(INDEX('Game Records'!$V:$V,$H129))),NOT(_xlfn.ISFORMULA(INDEX('Game Records'!$W:$W,$H129))),NOT(_xlfn.ISFORMULA(INDEX('Game Records'!$X:$X,$H129))),NOT(_xlfn.ISFORMULA(INDEX('Game Records'!$Y:$Y,$H129))),NOT(_xlfn.ISFORMULA(INDEX('Game Records'!$Z:$Z,$H129)))),"","")&amp;IF(INDEX('Game Records'!$B:$B,$H129)="","Start Date; ","")&amp;IF(INDEX('Game Records'!$C:$C,$H129)="","End Date; ","")&amp;IF(AND(INDEX('Game Records'!$U:$U,$H129)&lt;&gt;"Subscription",INDEX('Game Records'!$U:$U,$H129)&lt;&gt;"Free Game",INDEX('Game Records'!$U:$U,$H129)&lt;&gt;"Disqualified — Free Game",OR(INDEX('Game Records'!$D:$D,$H129)="",LOWER(INDEX('Game Records'!$D:$D,$H129)&amp;"")="n/a")),"Entry Mode; ","")&amp;IF(AND(INDEX('Game Records'!$U:$U,$H129)&lt;&gt;"Subscription",INDEX('Game Records'!$U:$U,$H129)&lt;&gt;"Free Game",INDEX('Game Records'!$U:$U,$H129)&lt;&gt;"Disqualified — Free Game",OR(INDEX('Game Records'!$E:$E,$H129)="",LOWER(INDEX('Game Records'!$E:$E,$H129)&amp;"")="n/a")),"Game Type; ","")&amp;IF(INDEX('Game Records'!$F:$F,$H129)="","Payment Type; ","")&amp;IF(AND(INDEX('Game Records'!$U:$U,$H129)&lt;&gt;"Subscription",INDEX('Game Records'!$U:$U,$H129)&lt;&gt;"Free Game",INDEX('Game Records'!$U:$U,$H129)&lt;&gt;"Disqualified — Free Game",INDEX('Game Records'!$G:$G,$H129)=""),"Gross Pot; ","")&amp;IF(AND(INDEX('Game Records'!$U:$U,$H129)&lt;&gt;"Free Game",INDEX('Game Records'!$U:$U,$H129)&lt;&gt;"Disqualified — Free Game",INDEX('Game Records'!$H:$H,$H129)=""),"Entry Fee; ","")&amp;IF(AND(INDEX('Game Records'!$U:$U,$H129)&lt;&gt;"Subscription",INDEX('Game Records'!$U:$U,$H129)&lt;&gt;"Free Game",INDEX('Game Records'!$U:$U,$H129)&lt;&gt;"Disqualified — Free Game",INDEX('Game Records'!$I:$I,$H129)=""),"Eligible Players; ","")&amp;IF(AND(INDEX('Game Records'!$U:$U,$H129)&lt;&gt;"Subscription",INDEX('Game Records'!$U:$U,$H129)&lt;&gt;"Free Game",INDEX('Game Records'!$U:$U,$H129)&lt;&gt;"Disqualified — Free Game",INDEX('Game Records'!$J:$J,$H129)=""),"Total Players; ","")&amp;IF(AND(LOWER(INDEX('Game Records'!$D:$D,$H129)&amp;"")="finalized",LOWER(INDEX('Game Records'!$L:$L,$H129)&amp;"")&lt;&gt;"yes",INDEX('Game Records'!$U:$U,$H129)&lt;&gt;"Subscription",INDEX('Game Records'!$U:$U,$H129)&lt;&gt;"Free Game",INDEX('Game Records'!$U:$U,$H129)&lt;&gt;"Disqualified — Free Game",INDEX('Game Records'!$K:$K,$H129)=""),"Final Payout; ","")&amp;IF(AND(LOWER(INDEX('Game Records'!$D:$D,$H129)&amp;"")="finalized",INDEX('Game Records'!$U:$U,$H129)&lt;&gt;"Subscription",INDEX('Game Records'!$U:$U,$H129)&lt;&gt;"Free Game",INDEX('Game Records'!$U:$U,$H129)&lt;&gt;"Disqualified — Free Game",OR(INDEX('Game Records'!$L:$L,$H129)="",LOWER(INDEX('Game Records'!$L:$L,$H129)&amp;"")="n/a")),"Disqualified Status; ",""))</f>
        <v/>
      </c>
      <c r="G129" s="23" t="str">
        <f t="array" ref="G129">IF($H129="","",IFERROR(INDEX('Game Records'!$M:$M,$H129),""))</f>
        <v/>
      </c>
      <c r="H129" s="3"/>
      <c r="I129" s="3"/>
      <c r="J129" s="3"/>
    </row>
    <row r="130" ht="24.0" customHeight="1">
      <c r="A130" s="18" t="str">
        <f t="shared" si="1"/>
        <v/>
      </c>
      <c r="B130" s="18" t="str">
        <f t="shared" si="2"/>
        <v/>
      </c>
      <c r="C130" s="23" t="str">
        <f t="array" ref="C130">IF($H130="","",IFERROR(INDEX('Game Records'!$A:$A,$H130),""))</f>
        <v/>
      </c>
      <c r="D130" s="23" t="str">
        <f t="array" ref="D130">IF($H130="","",IFERROR(INDEX('Game Records'!$U:$U,$H130),""))</f>
        <v/>
      </c>
      <c r="E130" s="23" t="str">
        <f t="array" ref="E130">IF($H130="","",LET(r,$H130,mode,LOWER(INDEX('Game Records'!$D:$D,r)&amp;""),endDate,INDEX('Game Records'!$C:$C,r),IF(mode="estimate",IF(endDate="","Estimate — End Date missing",IF(NOT(ISNUMBER(endDate)),"Estimate — Check End Date",IF(INT(endDate)&gt;=TODAY(),"In Progress — ends "&amp;TEXT(endDate,"mmm d, yyyy"),"Ready to Finalize"))),IF($F130="","No Highlighted Fields","Highlighted Fields Present"))))</f>
        <v/>
      </c>
      <c r="F130" s="23" t="str">
        <f t="array" ref="F130">IF($H130="","",IF(OR(NOT(_xlfn.ISFORMULA(INDEX('Game Records'!$N:$N,$H130))),NOT(_xlfn.ISFORMULA(INDEX('Game Records'!$O:$O,$H130))),NOT(_xlfn.ISFORMULA(INDEX('Game Records'!$P:$P,$H130))),NOT(_xlfn.ISFORMULA(INDEX('Game Records'!$Q:$Q,$H130))),NOT(_xlfn.ISFORMULA(INDEX('Game Records'!$R:$R,$H130))),NOT(_xlfn.ISFORMULA(INDEX('Game Records'!$S:$S,$H130))),NOT(_xlfn.ISFORMULA(INDEX('Game Records'!$T:$T,$H130))),NOT(_xlfn.ISFORMULA(INDEX('Game Records'!$U:$U,$H130))),NOT(_xlfn.ISFORMULA(INDEX('Game Records'!$V:$V,$H130))),NOT(_xlfn.ISFORMULA(INDEX('Game Records'!$W:$W,$H130))),NOT(_xlfn.ISFORMULA(INDEX('Game Records'!$X:$X,$H130))),NOT(_xlfn.ISFORMULA(INDEX('Game Records'!$Y:$Y,$H130))),NOT(_xlfn.ISFORMULA(INDEX('Game Records'!$Z:$Z,$H130)))),"","")&amp;IF(INDEX('Game Records'!$B:$B,$H130)="","Start Date; ","")&amp;IF(INDEX('Game Records'!$C:$C,$H130)="","End Date; ","")&amp;IF(AND(INDEX('Game Records'!$U:$U,$H130)&lt;&gt;"Subscription",INDEX('Game Records'!$U:$U,$H130)&lt;&gt;"Free Game",INDEX('Game Records'!$U:$U,$H130)&lt;&gt;"Disqualified — Free Game",OR(INDEX('Game Records'!$D:$D,$H130)="",LOWER(INDEX('Game Records'!$D:$D,$H130)&amp;"")="n/a")),"Entry Mode; ","")&amp;IF(AND(INDEX('Game Records'!$U:$U,$H130)&lt;&gt;"Subscription",INDEX('Game Records'!$U:$U,$H130)&lt;&gt;"Free Game",INDEX('Game Records'!$U:$U,$H130)&lt;&gt;"Disqualified — Free Game",OR(INDEX('Game Records'!$E:$E,$H130)="",LOWER(INDEX('Game Records'!$E:$E,$H130)&amp;"")="n/a")),"Game Type; ","")&amp;IF(INDEX('Game Records'!$F:$F,$H130)="","Payment Type; ","")&amp;IF(AND(INDEX('Game Records'!$U:$U,$H130)&lt;&gt;"Subscription",INDEX('Game Records'!$U:$U,$H130)&lt;&gt;"Free Game",INDEX('Game Records'!$U:$U,$H130)&lt;&gt;"Disqualified — Free Game",INDEX('Game Records'!$G:$G,$H130)=""),"Gross Pot; ","")&amp;IF(AND(INDEX('Game Records'!$U:$U,$H130)&lt;&gt;"Free Game",INDEX('Game Records'!$U:$U,$H130)&lt;&gt;"Disqualified — Free Game",INDEX('Game Records'!$H:$H,$H130)=""),"Entry Fee; ","")&amp;IF(AND(INDEX('Game Records'!$U:$U,$H130)&lt;&gt;"Subscription",INDEX('Game Records'!$U:$U,$H130)&lt;&gt;"Free Game",INDEX('Game Records'!$U:$U,$H130)&lt;&gt;"Disqualified — Free Game",INDEX('Game Records'!$I:$I,$H130)=""),"Eligible Players; ","")&amp;IF(AND(INDEX('Game Records'!$U:$U,$H130)&lt;&gt;"Subscription",INDEX('Game Records'!$U:$U,$H130)&lt;&gt;"Free Game",INDEX('Game Records'!$U:$U,$H130)&lt;&gt;"Disqualified — Free Game",INDEX('Game Records'!$J:$J,$H130)=""),"Total Players; ","")&amp;IF(AND(LOWER(INDEX('Game Records'!$D:$D,$H130)&amp;"")="finalized",LOWER(INDEX('Game Records'!$L:$L,$H130)&amp;"")&lt;&gt;"yes",INDEX('Game Records'!$U:$U,$H130)&lt;&gt;"Subscription",INDEX('Game Records'!$U:$U,$H130)&lt;&gt;"Free Game",INDEX('Game Records'!$U:$U,$H130)&lt;&gt;"Disqualified — Free Game",INDEX('Game Records'!$K:$K,$H130)=""),"Final Payout; ","")&amp;IF(AND(LOWER(INDEX('Game Records'!$D:$D,$H130)&amp;"")="finalized",INDEX('Game Records'!$U:$U,$H130)&lt;&gt;"Subscription",INDEX('Game Records'!$U:$U,$H130)&lt;&gt;"Free Game",INDEX('Game Records'!$U:$U,$H130)&lt;&gt;"Disqualified — Free Game",OR(INDEX('Game Records'!$L:$L,$H130)="",LOWER(INDEX('Game Records'!$L:$L,$H130)&amp;"")="n/a")),"Disqualified Status; ",""))</f>
        <v/>
      </c>
      <c r="G130" s="23" t="str">
        <f t="array" ref="G130">IF($H130="","",IFERROR(INDEX('Game Records'!$M:$M,$H130),""))</f>
        <v/>
      </c>
      <c r="H130" s="3"/>
      <c r="I130" s="3"/>
      <c r="J130" s="3"/>
    </row>
    <row r="131" ht="24.0" customHeight="1">
      <c r="A131" s="18" t="str">
        <f t="shared" si="1"/>
        <v/>
      </c>
      <c r="B131" s="18" t="str">
        <f t="shared" si="2"/>
        <v/>
      </c>
      <c r="C131" s="23" t="str">
        <f t="array" ref="C131">IF($H131="","",IFERROR(INDEX('Game Records'!$A:$A,$H131),""))</f>
        <v/>
      </c>
      <c r="D131" s="23" t="str">
        <f t="array" ref="D131">IF($H131="","",IFERROR(INDEX('Game Records'!$U:$U,$H131),""))</f>
        <v/>
      </c>
      <c r="E131" s="23" t="str">
        <f t="array" ref="E131">IF($H131="","",LET(r,$H131,mode,LOWER(INDEX('Game Records'!$D:$D,r)&amp;""),endDate,INDEX('Game Records'!$C:$C,r),IF(mode="estimate",IF(endDate="","Estimate — End Date missing",IF(NOT(ISNUMBER(endDate)),"Estimate — Check End Date",IF(INT(endDate)&gt;=TODAY(),"In Progress — ends "&amp;TEXT(endDate,"mmm d, yyyy"),"Ready to Finalize"))),IF($F131="","No Highlighted Fields","Highlighted Fields Present"))))</f>
        <v/>
      </c>
      <c r="F131" s="23" t="str">
        <f t="array" ref="F131">IF($H131="","",IF(OR(NOT(_xlfn.ISFORMULA(INDEX('Game Records'!$N:$N,$H131))),NOT(_xlfn.ISFORMULA(INDEX('Game Records'!$O:$O,$H131))),NOT(_xlfn.ISFORMULA(INDEX('Game Records'!$P:$P,$H131))),NOT(_xlfn.ISFORMULA(INDEX('Game Records'!$Q:$Q,$H131))),NOT(_xlfn.ISFORMULA(INDEX('Game Records'!$R:$R,$H131))),NOT(_xlfn.ISFORMULA(INDEX('Game Records'!$S:$S,$H131))),NOT(_xlfn.ISFORMULA(INDEX('Game Records'!$T:$T,$H131))),NOT(_xlfn.ISFORMULA(INDEX('Game Records'!$U:$U,$H131))),NOT(_xlfn.ISFORMULA(INDEX('Game Records'!$V:$V,$H131))),NOT(_xlfn.ISFORMULA(INDEX('Game Records'!$W:$W,$H131))),NOT(_xlfn.ISFORMULA(INDEX('Game Records'!$X:$X,$H131))),NOT(_xlfn.ISFORMULA(INDEX('Game Records'!$Y:$Y,$H131))),NOT(_xlfn.ISFORMULA(INDEX('Game Records'!$Z:$Z,$H131)))),"","")&amp;IF(INDEX('Game Records'!$B:$B,$H131)="","Start Date; ","")&amp;IF(INDEX('Game Records'!$C:$C,$H131)="","End Date; ","")&amp;IF(AND(INDEX('Game Records'!$U:$U,$H131)&lt;&gt;"Subscription",INDEX('Game Records'!$U:$U,$H131)&lt;&gt;"Free Game",INDEX('Game Records'!$U:$U,$H131)&lt;&gt;"Disqualified — Free Game",OR(INDEX('Game Records'!$D:$D,$H131)="",LOWER(INDEX('Game Records'!$D:$D,$H131)&amp;"")="n/a")),"Entry Mode; ","")&amp;IF(AND(INDEX('Game Records'!$U:$U,$H131)&lt;&gt;"Subscription",INDEX('Game Records'!$U:$U,$H131)&lt;&gt;"Free Game",INDEX('Game Records'!$U:$U,$H131)&lt;&gt;"Disqualified — Free Game",OR(INDEX('Game Records'!$E:$E,$H131)="",LOWER(INDEX('Game Records'!$E:$E,$H131)&amp;"")="n/a")),"Game Type; ","")&amp;IF(INDEX('Game Records'!$F:$F,$H131)="","Payment Type; ","")&amp;IF(AND(INDEX('Game Records'!$U:$U,$H131)&lt;&gt;"Subscription",INDEX('Game Records'!$U:$U,$H131)&lt;&gt;"Free Game",INDEX('Game Records'!$U:$U,$H131)&lt;&gt;"Disqualified — Free Game",INDEX('Game Records'!$G:$G,$H131)=""),"Gross Pot; ","")&amp;IF(AND(INDEX('Game Records'!$U:$U,$H131)&lt;&gt;"Free Game",INDEX('Game Records'!$U:$U,$H131)&lt;&gt;"Disqualified — Free Game",INDEX('Game Records'!$H:$H,$H131)=""),"Entry Fee; ","")&amp;IF(AND(INDEX('Game Records'!$U:$U,$H131)&lt;&gt;"Subscription",INDEX('Game Records'!$U:$U,$H131)&lt;&gt;"Free Game",INDEX('Game Records'!$U:$U,$H131)&lt;&gt;"Disqualified — Free Game",INDEX('Game Records'!$I:$I,$H131)=""),"Eligible Players; ","")&amp;IF(AND(INDEX('Game Records'!$U:$U,$H131)&lt;&gt;"Subscription",INDEX('Game Records'!$U:$U,$H131)&lt;&gt;"Free Game",INDEX('Game Records'!$U:$U,$H131)&lt;&gt;"Disqualified — Free Game",INDEX('Game Records'!$J:$J,$H131)=""),"Total Players; ","")&amp;IF(AND(LOWER(INDEX('Game Records'!$D:$D,$H131)&amp;"")="finalized",LOWER(INDEX('Game Records'!$L:$L,$H131)&amp;"")&lt;&gt;"yes",INDEX('Game Records'!$U:$U,$H131)&lt;&gt;"Subscription",INDEX('Game Records'!$U:$U,$H131)&lt;&gt;"Free Game",INDEX('Game Records'!$U:$U,$H131)&lt;&gt;"Disqualified — Free Game",INDEX('Game Records'!$K:$K,$H131)=""),"Final Payout; ","")&amp;IF(AND(LOWER(INDEX('Game Records'!$D:$D,$H131)&amp;"")="finalized",INDEX('Game Records'!$U:$U,$H131)&lt;&gt;"Subscription",INDEX('Game Records'!$U:$U,$H131)&lt;&gt;"Free Game",INDEX('Game Records'!$U:$U,$H131)&lt;&gt;"Disqualified — Free Game",OR(INDEX('Game Records'!$L:$L,$H131)="",LOWER(INDEX('Game Records'!$L:$L,$H131)&amp;"")="n/a")),"Disqualified Status; ",""))</f>
        <v/>
      </c>
      <c r="G131" s="23" t="str">
        <f t="array" ref="G131">IF($H131="","",IFERROR(INDEX('Game Records'!$M:$M,$H131),""))</f>
        <v/>
      </c>
      <c r="H131" s="3"/>
      <c r="I131" s="3"/>
      <c r="J131" s="3"/>
    </row>
    <row r="132" ht="24.0" customHeight="1">
      <c r="A132" s="18" t="str">
        <f t="shared" si="1"/>
        <v/>
      </c>
      <c r="B132" s="18" t="str">
        <f t="shared" si="2"/>
        <v/>
      </c>
      <c r="C132" s="23" t="str">
        <f t="array" ref="C132">IF($H132="","",IFERROR(INDEX('Game Records'!$A:$A,$H132),""))</f>
        <v/>
      </c>
      <c r="D132" s="23" t="str">
        <f t="array" ref="D132">IF($H132="","",IFERROR(INDEX('Game Records'!$U:$U,$H132),""))</f>
        <v/>
      </c>
      <c r="E132" s="23" t="str">
        <f t="array" ref="E132">IF($H132="","",LET(r,$H132,mode,LOWER(INDEX('Game Records'!$D:$D,r)&amp;""),endDate,INDEX('Game Records'!$C:$C,r),IF(mode="estimate",IF(endDate="","Estimate — End Date missing",IF(NOT(ISNUMBER(endDate)),"Estimate — Check End Date",IF(INT(endDate)&gt;=TODAY(),"In Progress — ends "&amp;TEXT(endDate,"mmm d, yyyy"),"Ready to Finalize"))),IF($F132="","No Highlighted Fields","Highlighted Fields Present"))))</f>
        <v/>
      </c>
      <c r="F132" s="23" t="str">
        <f t="array" ref="F132">IF($H132="","",IF(OR(NOT(_xlfn.ISFORMULA(INDEX('Game Records'!$N:$N,$H132))),NOT(_xlfn.ISFORMULA(INDEX('Game Records'!$O:$O,$H132))),NOT(_xlfn.ISFORMULA(INDEX('Game Records'!$P:$P,$H132))),NOT(_xlfn.ISFORMULA(INDEX('Game Records'!$Q:$Q,$H132))),NOT(_xlfn.ISFORMULA(INDEX('Game Records'!$R:$R,$H132))),NOT(_xlfn.ISFORMULA(INDEX('Game Records'!$S:$S,$H132))),NOT(_xlfn.ISFORMULA(INDEX('Game Records'!$T:$T,$H132))),NOT(_xlfn.ISFORMULA(INDEX('Game Records'!$U:$U,$H132))),NOT(_xlfn.ISFORMULA(INDEX('Game Records'!$V:$V,$H132))),NOT(_xlfn.ISFORMULA(INDEX('Game Records'!$W:$W,$H132))),NOT(_xlfn.ISFORMULA(INDEX('Game Records'!$X:$X,$H132))),NOT(_xlfn.ISFORMULA(INDEX('Game Records'!$Y:$Y,$H132))),NOT(_xlfn.ISFORMULA(INDEX('Game Records'!$Z:$Z,$H132)))),"","")&amp;IF(INDEX('Game Records'!$B:$B,$H132)="","Start Date; ","")&amp;IF(INDEX('Game Records'!$C:$C,$H132)="","End Date; ","")&amp;IF(AND(INDEX('Game Records'!$U:$U,$H132)&lt;&gt;"Subscription",INDEX('Game Records'!$U:$U,$H132)&lt;&gt;"Free Game",INDEX('Game Records'!$U:$U,$H132)&lt;&gt;"Disqualified — Free Game",OR(INDEX('Game Records'!$D:$D,$H132)="",LOWER(INDEX('Game Records'!$D:$D,$H132)&amp;"")="n/a")),"Entry Mode; ","")&amp;IF(AND(INDEX('Game Records'!$U:$U,$H132)&lt;&gt;"Subscription",INDEX('Game Records'!$U:$U,$H132)&lt;&gt;"Free Game",INDEX('Game Records'!$U:$U,$H132)&lt;&gt;"Disqualified — Free Game",OR(INDEX('Game Records'!$E:$E,$H132)="",LOWER(INDEX('Game Records'!$E:$E,$H132)&amp;"")="n/a")),"Game Type; ","")&amp;IF(INDEX('Game Records'!$F:$F,$H132)="","Payment Type; ","")&amp;IF(AND(INDEX('Game Records'!$U:$U,$H132)&lt;&gt;"Subscription",INDEX('Game Records'!$U:$U,$H132)&lt;&gt;"Free Game",INDEX('Game Records'!$U:$U,$H132)&lt;&gt;"Disqualified — Free Game",INDEX('Game Records'!$G:$G,$H132)=""),"Gross Pot; ","")&amp;IF(AND(INDEX('Game Records'!$U:$U,$H132)&lt;&gt;"Free Game",INDEX('Game Records'!$U:$U,$H132)&lt;&gt;"Disqualified — Free Game",INDEX('Game Records'!$H:$H,$H132)=""),"Entry Fee; ","")&amp;IF(AND(INDEX('Game Records'!$U:$U,$H132)&lt;&gt;"Subscription",INDEX('Game Records'!$U:$U,$H132)&lt;&gt;"Free Game",INDEX('Game Records'!$U:$U,$H132)&lt;&gt;"Disqualified — Free Game",INDEX('Game Records'!$I:$I,$H132)=""),"Eligible Players; ","")&amp;IF(AND(INDEX('Game Records'!$U:$U,$H132)&lt;&gt;"Subscription",INDEX('Game Records'!$U:$U,$H132)&lt;&gt;"Free Game",INDEX('Game Records'!$U:$U,$H132)&lt;&gt;"Disqualified — Free Game",INDEX('Game Records'!$J:$J,$H132)=""),"Total Players; ","")&amp;IF(AND(LOWER(INDEX('Game Records'!$D:$D,$H132)&amp;"")="finalized",LOWER(INDEX('Game Records'!$L:$L,$H132)&amp;"")&lt;&gt;"yes",INDEX('Game Records'!$U:$U,$H132)&lt;&gt;"Subscription",INDEX('Game Records'!$U:$U,$H132)&lt;&gt;"Free Game",INDEX('Game Records'!$U:$U,$H132)&lt;&gt;"Disqualified — Free Game",INDEX('Game Records'!$K:$K,$H132)=""),"Final Payout; ","")&amp;IF(AND(LOWER(INDEX('Game Records'!$D:$D,$H132)&amp;"")="finalized",INDEX('Game Records'!$U:$U,$H132)&lt;&gt;"Subscription",INDEX('Game Records'!$U:$U,$H132)&lt;&gt;"Free Game",INDEX('Game Records'!$U:$U,$H132)&lt;&gt;"Disqualified — Free Game",OR(INDEX('Game Records'!$L:$L,$H132)="",LOWER(INDEX('Game Records'!$L:$L,$H132)&amp;"")="n/a")),"Disqualified Status; ",""))</f>
        <v/>
      </c>
      <c r="G132" s="23" t="str">
        <f t="array" ref="G132">IF($H132="","",IFERROR(INDEX('Game Records'!$M:$M,$H132),""))</f>
        <v/>
      </c>
      <c r="H132" s="3"/>
      <c r="I132" s="3"/>
      <c r="J132" s="3"/>
    </row>
    <row r="133" ht="24.0" customHeight="1">
      <c r="A133" s="18" t="str">
        <f t="shared" si="1"/>
        <v/>
      </c>
      <c r="B133" s="18" t="str">
        <f t="shared" si="2"/>
        <v/>
      </c>
      <c r="C133" s="23" t="str">
        <f t="array" ref="C133">IF($H133="","",IFERROR(INDEX('Game Records'!$A:$A,$H133),""))</f>
        <v/>
      </c>
      <c r="D133" s="23" t="str">
        <f t="array" ref="D133">IF($H133="","",IFERROR(INDEX('Game Records'!$U:$U,$H133),""))</f>
        <v/>
      </c>
      <c r="E133" s="23" t="str">
        <f t="array" ref="E133">IF($H133="","",LET(r,$H133,mode,LOWER(INDEX('Game Records'!$D:$D,r)&amp;""),endDate,INDEX('Game Records'!$C:$C,r),IF(mode="estimate",IF(endDate="","Estimate — End Date missing",IF(NOT(ISNUMBER(endDate)),"Estimate — Check End Date",IF(INT(endDate)&gt;=TODAY(),"In Progress — ends "&amp;TEXT(endDate,"mmm d, yyyy"),"Ready to Finalize"))),IF($F133="","No Highlighted Fields","Highlighted Fields Present"))))</f>
        <v/>
      </c>
      <c r="F133" s="23" t="str">
        <f t="array" ref="F133">IF($H133="","",IF(OR(NOT(_xlfn.ISFORMULA(INDEX('Game Records'!$N:$N,$H133))),NOT(_xlfn.ISFORMULA(INDEX('Game Records'!$O:$O,$H133))),NOT(_xlfn.ISFORMULA(INDEX('Game Records'!$P:$P,$H133))),NOT(_xlfn.ISFORMULA(INDEX('Game Records'!$Q:$Q,$H133))),NOT(_xlfn.ISFORMULA(INDEX('Game Records'!$R:$R,$H133))),NOT(_xlfn.ISFORMULA(INDEX('Game Records'!$S:$S,$H133))),NOT(_xlfn.ISFORMULA(INDEX('Game Records'!$T:$T,$H133))),NOT(_xlfn.ISFORMULA(INDEX('Game Records'!$U:$U,$H133))),NOT(_xlfn.ISFORMULA(INDEX('Game Records'!$V:$V,$H133))),NOT(_xlfn.ISFORMULA(INDEX('Game Records'!$W:$W,$H133))),NOT(_xlfn.ISFORMULA(INDEX('Game Records'!$X:$X,$H133))),NOT(_xlfn.ISFORMULA(INDEX('Game Records'!$Y:$Y,$H133))),NOT(_xlfn.ISFORMULA(INDEX('Game Records'!$Z:$Z,$H133)))),"","")&amp;IF(INDEX('Game Records'!$B:$B,$H133)="","Start Date; ","")&amp;IF(INDEX('Game Records'!$C:$C,$H133)="","End Date; ","")&amp;IF(AND(INDEX('Game Records'!$U:$U,$H133)&lt;&gt;"Subscription",INDEX('Game Records'!$U:$U,$H133)&lt;&gt;"Free Game",INDEX('Game Records'!$U:$U,$H133)&lt;&gt;"Disqualified — Free Game",OR(INDEX('Game Records'!$D:$D,$H133)="",LOWER(INDEX('Game Records'!$D:$D,$H133)&amp;"")="n/a")),"Entry Mode; ","")&amp;IF(AND(INDEX('Game Records'!$U:$U,$H133)&lt;&gt;"Subscription",INDEX('Game Records'!$U:$U,$H133)&lt;&gt;"Free Game",INDEX('Game Records'!$U:$U,$H133)&lt;&gt;"Disqualified — Free Game",OR(INDEX('Game Records'!$E:$E,$H133)="",LOWER(INDEX('Game Records'!$E:$E,$H133)&amp;"")="n/a")),"Game Type; ","")&amp;IF(INDEX('Game Records'!$F:$F,$H133)="","Payment Type; ","")&amp;IF(AND(INDEX('Game Records'!$U:$U,$H133)&lt;&gt;"Subscription",INDEX('Game Records'!$U:$U,$H133)&lt;&gt;"Free Game",INDEX('Game Records'!$U:$U,$H133)&lt;&gt;"Disqualified — Free Game",INDEX('Game Records'!$G:$G,$H133)=""),"Gross Pot; ","")&amp;IF(AND(INDEX('Game Records'!$U:$U,$H133)&lt;&gt;"Free Game",INDEX('Game Records'!$U:$U,$H133)&lt;&gt;"Disqualified — Free Game",INDEX('Game Records'!$H:$H,$H133)=""),"Entry Fee; ","")&amp;IF(AND(INDEX('Game Records'!$U:$U,$H133)&lt;&gt;"Subscription",INDEX('Game Records'!$U:$U,$H133)&lt;&gt;"Free Game",INDEX('Game Records'!$U:$U,$H133)&lt;&gt;"Disqualified — Free Game",INDEX('Game Records'!$I:$I,$H133)=""),"Eligible Players; ","")&amp;IF(AND(INDEX('Game Records'!$U:$U,$H133)&lt;&gt;"Subscription",INDEX('Game Records'!$U:$U,$H133)&lt;&gt;"Free Game",INDEX('Game Records'!$U:$U,$H133)&lt;&gt;"Disqualified — Free Game",INDEX('Game Records'!$J:$J,$H133)=""),"Total Players; ","")&amp;IF(AND(LOWER(INDEX('Game Records'!$D:$D,$H133)&amp;"")="finalized",LOWER(INDEX('Game Records'!$L:$L,$H133)&amp;"")&lt;&gt;"yes",INDEX('Game Records'!$U:$U,$H133)&lt;&gt;"Subscription",INDEX('Game Records'!$U:$U,$H133)&lt;&gt;"Free Game",INDEX('Game Records'!$U:$U,$H133)&lt;&gt;"Disqualified — Free Game",INDEX('Game Records'!$K:$K,$H133)=""),"Final Payout; ","")&amp;IF(AND(LOWER(INDEX('Game Records'!$D:$D,$H133)&amp;"")="finalized",INDEX('Game Records'!$U:$U,$H133)&lt;&gt;"Subscription",INDEX('Game Records'!$U:$U,$H133)&lt;&gt;"Free Game",INDEX('Game Records'!$U:$U,$H133)&lt;&gt;"Disqualified — Free Game",OR(INDEX('Game Records'!$L:$L,$H133)="",LOWER(INDEX('Game Records'!$L:$L,$H133)&amp;"")="n/a")),"Disqualified Status; ",""))</f>
        <v/>
      </c>
      <c r="G133" s="23" t="str">
        <f t="array" ref="G133">IF($H133="","",IFERROR(INDEX('Game Records'!$M:$M,$H133),""))</f>
        <v/>
      </c>
      <c r="H133" s="3"/>
      <c r="I133" s="3"/>
      <c r="J133" s="3"/>
    </row>
    <row r="134" ht="24.0" customHeight="1">
      <c r="A134" s="18" t="str">
        <f t="shared" si="1"/>
        <v/>
      </c>
      <c r="B134" s="18" t="str">
        <f t="shared" si="2"/>
        <v/>
      </c>
      <c r="C134" s="23" t="str">
        <f t="array" ref="C134">IF($H134="","",IFERROR(INDEX('Game Records'!$A:$A,$H134),""))</f>
        <v/>
      </c>
      <c r="D134" s="23" t="str">
        <f t="array" ref="D134">IF($H134="","",IFERROR(INDEX('Game Records'!$U:$U,$H134),""))</f>
        <v/>
      </c>
      <c r="E134" s="23" t="str">
        <f t="array" ref="E134">IF($H134="","",LET(r,$H134,mode,LOWER(INDEX('Game Records'!$D:$D,r)&amp;""),endDate,INDEX('Game Records'!$C:$C,r),IF(mode="estimate",IF(endDate="","Estimate — End Date missing",IF(NOT(ISNUMBER(endDate)),"Estimate — Check End Date",IF(INT(endDate)&gt;=TODAY(),"In Progress — ends "&amp;TEXT(endDate,"mmm d, yyyy"),"Ready to Finalize"))),IF($F134="","No Highlighted Fields","Highlighted Fields Present"))))</f>
        <v/>
      </c>
      <c r="F134" s="23" t="str">
        <f t="array" ref="F134">IF($H134="","",IF(OR(NOT(_xlfn.ISFORMULA(INDEX('Game Records'!$N:$N,$H134))),NOT(_xlfn.ISFORMULA(INDEX('Game Records'!$O:$O,$H134))),NOT(_xlfn.ISFORMULA(INDEX('Game Records'!$P:$P,$H134))),NOT(_xlfn.ISFORMULA(INDEX('Game Records'!$Q:$Q,$H134))),NOT(_xlfn.ISFORMULA(INDEX('Game Records'!$R:$R,$H134))),NOT(_xlfn.ISFORMULA(INDEX('Game Records'!$S:$S,$H134))),NOT(_xlfn.ISFORMULA(INDEX('Game Records'!$T:$T,$H134))),NOT(_xlfn.ISFORMULA(INDEX('Game Records'!$U:$U,$H134))),NOT(_xlfn.ISFORMULA(INDEX('Game Records'!$V:$V,$H134))),NOT(_xlfn.ISFORMULA(INDEX('Game Records'!$W:$W,$H134))),NOT(_xlfn.ISFORMULA(INDEX('Game Records'!$X:$X,$H134))),NOT(_xlfn.ISFORMULA(INDEX('Game Records'!$Y:$Y,$H134))),NOT(_xlfn.ISFORMULA(INDEX('Game Records'!$Z:$Z,$H134)))),"","")&amp;IF(INDEX('Game Records'!$B:$B,$H134)="","Start Date; ","")&amp;IF(INDEX('Game Records'!$C:$C,$H134)="","End Date; ","")&amp;IF(AND(INDEX('Game Records'!$U:$U,$H134)&lt;&gt;"Subscription",INDEX('Game Records'!$U:$U,$H134)&lt;&gt;"Free Game",INDEX('Game Records'!$U:$U,$H134)&lt;&gt;"Disqualified — Free Game",OR(INDEX('Game Records'!$D:$D,$H134)="",LOWER(INDEX('Game Records'!$D:$D,$H134)&amp;"")="n/a")),"Entry Mode; ","")&amp;IF(AND(INDEX('Game Records'!$U:$U,$H134)&lt;&gt;"Subscription",INDEX('Game Records'!$U:$U,$H134)&lt;&gt;"Free Game",INDEX('Game Records'!$U:$U,$H134)&lt;&gt;"Disqualified — Free Game",OR(INDEX('Game Records'!$E:$E,$H134)="",LOWER(INDEX('Game Records'!$E:$E,$H134)&amp;"")="n/a")),"Game Type; ","")&amp;IF(INDEX('Game Records'!$F:$F,$H134)="","Payment Type; ","")&amp;IF(AND(INDEX('Game Records'!$U:$U,$H134)&lt;&gt;"Subscription",INDEX('Game Records'!$U:$U,$H134)&lt;&gt;"Free Game",INDEX('Game Records'!$U:$U,$H134)&lt;&gt;"Disqualified — Free Game",INDEX('Game Records'!$G:$G,$H134)=""),"Gross Pot; ","")&amp;IF(AND(INDEX('Game Records'!$U:$U,$H134)&lt;&gt;"Free Game",INDEX('Game Records'!$U:$U,$H134)&lt;&gt;"Disqualified — Free Game",INDEX('Game Records'!$H:$H,$H134)=""),"Entry Fee; ","")&amp;IF(AND(INDEX('Game Records'!$U:$U,$H134)&lt;&gt;"Subscription",INDEX('Game Records'!$U:$U,$H134)&lt;&gt;"Free Game",INDEX('Game Records'!$U:$U,$H134)&lt;&gt;"Disqualified — Free Game",INDEX('Game Records'!$I:$I,$H134)=""),"Eligible Players; ","")&amp;IF(AND(INDEX('Game Records'!$U:$U,$H134)&lt;&gt;"Subscription",INDEX('Game Records'!$U:$U,$H134)&lt;&gt;"Free Game",INDEX('Game Records'!$U:$U,$H134)&lt;&gt;"Disqualified — Free Game",INDEX('Game Records'!$J:$J,$H134)=""),"Total Players; ","")&amp;IF(AND(LOWER(INDEX('Game Records'!$D:$D,$H134)&amp;"")="finalized",LOWER(INDEX('Game Records'!$L:$L,$H134)&amp;"")&lt;&gt;"yes",INDEX('Game Records'!$U:$U,$H134)&lt;&gt;"Subscription",INDEX('Game Records'!$U:$U,$H134)&lt;&gt;"Free Game",INDEX('Game Records'!$U:$U,$H134)&lt;&gt;"Disqualified — Free Game",INDEX('Game Records'!$K:$K,$H134)=""),"Final Payout; ","")&amp;IF(AND(LOWER(INDEX('Game Records'!$D:$D,$H134)&amp;"")="finalized",INDEX('Game Records'!$U:$U,$H134)&lt;&gt;"Subscription",INDEX('Game Records'!$U:$U,$H134)&lt;&gt;"Free Game",INDEX('Game Records'!$U:$U,$H134)&lt;&gt;"Disqualified — Free Game",OR(INDEX('Game Records'!$L:$L,$H134)="",LOWER(INDEX('Game Records'!$L:$L,$H134)&amp;"")="n/a")),"Disqualified Status; ",""))</f>
        <v/>
      </c>
      <c r="G134" s="23" t="str">
        <f t="array" ref="G134">IF($H134="","",IFERROR(INDEX('Game Records'!$M:$M,$H134),""))</f>
        <v/>
      </c>
      <c r="H134" s="3"/>
      <c r="I134" s="3"/>
      <c r="J134" s="3"/>
    </row>
    <row r="135" ht="24.0" customHeight="1">
      <c r="A135" s="18" t="str">
        <f t="shared" si="1"/>
        <v/>
      </c>
      <c r="B135" s="18" t="str">
        <f t="shared" si="2"/>
        <v/>
      </c>
      <c r="C135" s="23" t="str">
        <f t="array" ref="C135">IF($H135="","",IFERROR(INDEX('Game Records'!$A:$A,$H135),""))</f>
        <v/>
      </c>
      <c r="D135" s="23" t="str">
        <f t="array" ref="D135">IF($H135="","",IFERROR(INDEX('Game Records'!$U:$U,$H135),""))</f>
        <v/>
      </c>
      <c r="E135" s="23" t="str">
        <f t="array" ref="E135">IF($H135="","",LET(r,$H135,mode,LOWER(INDEX('Game Records'!$D:$D,r)&amp;""),endDate,INDEX('Game Records'!$C:$C,r),IF(mode="estimate",IF(endDate="","Estimate — End Date missing",IF(NOT(ISNUMBER(endDate)),"Estimate — Check End Date",IF(INT(endDate)&gt;=TODAY(),"In Progress — ends "&amp;TEXT(endDate,"mmm d, yyyy"),"Ready to Finalize"))),IF($F135="","No Highlighted Fields","Highlighted Fields Present"))))</f>
        <v/>
      </c>
      <c r="F135" s="23" t="str">
        <f t="array" ref="F135">IF($H135="","",IF(OR(NOT(_xlfn.ISFORMULA(INDEX('Game Records'!$N:$N,$H135))),NOT(_xlfn.ISFORMULA(INDEX('Game Records'!$O:$O,$H135))),NOT(_xlfn.ISFORMULA(INDEX('Game Records'!$P:$P,$H135))),NOT(_xlfn.ISFORMULA(INDEX('Game Records'!$Q:$Q,$H135))),NOT(_xlfn.ISFORMULA(INDEX('Game Records'!$R:$R,$H135))),NOT(_xlfn.ISFORMULA(INDEX('Game Records'!$S:$S,$H135))),NOT(_xlfn.ISFORMULA(INDEX('Game Records'!$T:$T,$H135))),NOT(_xlfn.ISFORMULA(INDEX('Game Records'!$U:$U,$H135))),NOT(_xlfn.ISFORMULA(INDEX('Game Records'!$V:$V,$H135))),NOT(_xlfn.ISFORMULA(INDEX('Game Records'!$W:$W,$H135))),NOT(_xlfn.ISFORMULA(INDEX('Game Records'!$X:$X,$H135))),NOT(_xlfn.ISFORMULA(INDEX('Game Records'!$Y:$Y,$H135))),NOT(_xlfn.ISFORMULA(INDEX('Game Records'!$Z:$Z,$H135)))),"","")&amp;IF(INDEX('Game Records'!$B:$B,$H135)="","Start Date; ","")&amp;IF(INDEX('Game Records'!$C:$C,$H135)="","End Date; ","")&amp;IF(AND(INDEX('Game Records'!$U:$U,$H135)&lt;&gt;"Subscription",INDEX('Game Records'!$U:$U,$H135)&lt;&gt;"Free Game",INDEX('Game Records'!$U:$U,$H135)&lt;&gt;"Disqualified — Free Game",OR(INDEX('Game Records'!$D:$D,$H135)="",LOWER(INDEX('Game Records'!$D:$D,$H135)&amp;"")="n/a")),"Entry Mode; ","")&amp;IF(AND(INDEX('Game Records'!$U:$U,$H135)&lt;&gt;"Subscription",INDEX('Game Records'!$U:$U,$H135)&lt;&gt;"Free Game",INDEX('Game Records'!$U:$U,$H135)&lt;&gt;"Disqualified — Free Game",OR(INDEX('Game Records'!$E:$E,$H135)="",LOWER(INDEX('Game Records'!$E:$E,$H135)&amp;"")="n/a")),"Game Type; ","")&amp;IF(INDEX('Game Records'!$F:$F,$H135)="","Payment Type; ","")&amp;IF(AND(INDEX('Game Records'!$U:$U,$H135)&lt;&gt;"Subscription",INDEX('Game Records'!$U:$U,$H135)&lt;&gt;"Free Game",INDEX('Game Records'!$U:$U,$H135)&lt;&gt;"Disqualified — Free Game",INDEX('Game Records'!$G:$G,$H135)=""),"Gross Pot; ","")&amp;IF(AND(INDEX('Game Records'!$U:$U,$H135)&lt;&gt;"Free Game",INDEX('Game Records'!$U:$U,$H135)&lt;&gt;"Disqualified — Free Game",INDEX('Game Records'!$H:$H,$H135)=""),"Entry Fee; ","")&amp;IF(AND(INDEX('Game Records'!$U:$U,$H135)&lt;&gt;"Subscription",INDEX('Game Records'!$U:$U,$H135)&lt;&gt;"Free Game",INDEX('Game Records'!$U:$U,$H135)&lt;&gt;"Disqualified — Free Game",INDEX('Game Records'!$I:$I,$H135)=""),"Eligible Players; ","")&amp;IF(AND(INDEX('Game Records'!$U:$U,$H135)&lt;&gt;"Subscription",INDEX('Game Records'!$U:$U,$H135)&lt;&gt;"Free Game",INDEX('Game Records'!$U:$U,$H135)&lt;&gt;"Disqualified — Free Game",INDEX('Game Records'!$J:$J,$H135)=""),"Total Players; ","")&amp;IF(AND(LOWER(INDEX('Game Records'!$D:$D,$H135)&amp;"")="finalized",LOWER(INDEX('Game Records'!$L:$L,$H135)&amp;"")&lt;&gt;"yes",INDEX('Game Records'!$U:$U,$H135)&lt;&gt;"Subscription",INDEX('Game Records'!$U:$U,$H135)&lt;&gt;"Free Game",INDEX('Game Records'!$U:$U,$H135)&lt;&gt;"Disqualified — Free Game",INDEX('Game Records'!$K:$K,$H135)=""),"Final Payout; ","")&amp;IF(AND(LOWER(INDEX('Game Records'!$D:$D,$H135)&amp;"")="finalized",INDEX('Game Records'!$U:$U,$H135)&lt;&gt;"Subscription",INDEX('Game Records'!$U:$U,$H135)&lt;&gt;"Free Game",INDEX('Game Records'!$U:$U,$H135)&lt;&gt;"Disqualified — Free Game",OR(INDEX('Game Records'!$L:$L,$H135)="",LOWER(INDEX('Game Records'!$L:$L,$H135)&amp;"")="n/a")),"Disqualified Status; ",""))</f>
        <v/>
      </c>
      <c r="G135" s="23" t="str">
        <f t="array" ref="G135">IF($H135="","",IFERROR(INDEX('Game Records'!$M:$M,$H135),""))</f>
        <v/>
      </c>
      <c r="H135" s="3"/>
      <c r="I135" s="3"/>
      <c r="J135" s="3"/>
    </row>
    <row r="136" ht="24.0" customHeight="1">
      <c r="A136" s="18" t="str">
        <f t="shared" si="1"/>
        <v/>
      </c>
      <c r="B136" s="18" t="str">
        <f t="shared" si="2"/>
        <v/>
      </c>
      <c r="C136" s="23" t="str">
        <f t="array" ref="C136">IF($H136="","",IFERROR(INDEX('Game Records'!$A:$A,$H136),""))</f>
        <v/>
      </c>
      <c r="D136" s="23" t="str">
        <f t="array" ref="D136">IF($H136="","",IFERROR(INDEX('Game Records'!$U:$U,$H136),""))</f>
        <v/>
      </c>
      <c r="E136" s="23" t="str">
        <f t="array" ref="E136">IF($H136="","",LET(r,$H136,mode,LOWER(INDEX('Game Records'!$D:$D,r)&amp;""),endDate,INDEX('Game Records'!$C:$C,r),IF(mode="estimate",IF(endDate="","Estimate — End Date missing",IF(NOT(ISNUMBER(endDate)),"Estimate — Check End Date",IF(INT(endDate)&gt;=TODAY(),"In Progress — ends "&amp;TEXT(endDate,"mmm d, yyyy"),"Ready to Finalize"))),IF($F136="","No Highlighted Fields","Highlighted Fields Present"))))</f>
        <v/>
      </c>
      <c r="F136" s="23" t="str">
        <f t="array" ref="F136">IF($H136="","",IF(OR(NOT(_xlfn.ISFORMULA(INDEX('Game Records'!$N:$N,$H136))),NOT(_xlfn.ISFORMULA(INDEX('Game Records'!$O:$O,$H136))),NOT(_xlfn.ISFORMULA(INDEX('Game Records'!$P:$P,$H136))),NOT(_xlfn.ISFORMULA(INDEX('Game Records'!$Q:$Q,$H136))),NOT(_xlfn.ISFORMULA(INDEX('Game Records'!$R:$R,$H136))),NOT(_xlfn.ISFORMULA(INDEX('Game Records'!$S:$S,$H136))),NOT(_xlfn.ISFORMULA(INDEX('Game Records'!$T:$T,$H136))),NOT(_xlfn.ISFORMULA(INDEX('Game Records'!$U:$U,$H136))),NOT(_xlfn.ISFORMULA(INDEX('Game Records'!$V:$V,$H136))),NOT(_xlfn.ISFORMULA(INDEX('Game Records'!$W:$W,$H136))),NOT(_xlfn.ISFORMULA(INDEX('Game Records'!$X:$X,$H136))),NOT(_xlfn.ISFORMULA(INDEX('Game Records'!$Y:$Y,$H136))),NOT(_xlfn.ISFORMULA(INDEX('Game Records'!$Z:$Z,$H136)))),"","")&amp;IF(INDEX('Game Records'!$B:$B,$H136)="","Start Date; ","")&amp;IF(INDEX('Game Records'!$C:$C,$H136)="","End Date; ","")&amp;IF(AND(INDEX('Game Records'!$U:$U,$H136)&lt;&gt;"Subscription",INDEX('Game Records'!$U:$U,$H136)&lt;&gt;"Free Game",INDEX('Game Records'!$U:$U,$H136)&lt;&gt;"Disqualified — Free Game",OR(INDEX('Game Records'!$D:$D,$H136)="",LOWER(INDEX('Game Records'!$D:$D,$H136)&amp;"")="n/a")),"Entry Mode; ","")&amp;IF(AND(INDEX('Game Records'!$U:$U,$H136)&lt;&gt;"Subscription",INDEX('Game Records'!$U:$U,$H136)&lt;&gt;"Free Game",INDEX('Game Records'!$U:$U,$H136)&lt;&gt;"Disqualified — Free Game",OR(INDEX('Game Records'!$E:$E,$H136)="",LOWER(INDEX('Game Records'!$E:$E,$H136)&amp;"")="n/a")),"Game Type; ","")&amp;IF(INDEX('Game Records'!$F:$F,$H136)="","Payment Type; ","")&amp;IF(AND(INDEX('Game Records'!$U:$U,$H136)&lt;&gt;"Subscription",INDEX('Game Records'!$U:$U,$H136)&lt;&gt;"Free Game",INDEX('Game Records'!$U:$U,$H136)&lt;&gt;"Disqualified — Free Game",INDEX('Game Records'!$G:$G,$H136)=""),"Gross Pot; ","")&amp;IF(AND(INDEX('Game Records'!$U:$U,$H136)&lt;&gt;"Free Game",INDEX('Game Records'!$U:$U,$H136)&lt;&gt;"Disqualified — Free Game",INDEX('Game Records'!$H:$H,$H136)=""),"Entry Fee; ","")&amp;IF(AND(INDEX('Game Records'!$U:$U,$H136)&lt;&gt;"Subscription",INDEX('Game Records'!$U:$U,$H136)&lt;&gt;"Free Game",INDEX('Game Records'!$U:$U,$H136)&lt;&gt;"Disqualified — Free Game",INDEX('Game Records'!$I:$I,$H136)=""),"Eligible Players; ","")&amp;IF(AND(INDEX('Game Records'!$U:$U,$H136)&lt;&gt;"Subscription",INDEX('Game Records'!$U:$U,$H136)&lt;&gt;"Free Game",INDEX('Game Records'!$U:$U,$H136)&lt;&gt;"Disqualified — Free Game",INDEX('Game Records'!$J:$J,$H136)=""),"Total Players; ","")&amp;IF(AND(LOWER(INDEX('Game Records'!$D:$D,$H136)&amp;"")="finalized",LOWER(INDEX('Game Records'!$L:$L,$H136)&amp;"")&lt;&gt;"yes",INDEX('Game Records'!$U:$U,$H136)&lt;&gt;"Subscription",INDEX('Game Records'!$U:$U,$H136)&lt;&gt;"Free Game",INDEX('Game Records'!$U:$U,$H136)&lt;&gt;"Disqualified — Free Game",INDEX('Game Records'!$K:$K,$H136)=""),"Final Payout; ","")&amp;IF(AND(LOWER(INDEX('Game Records'!$D:$D,$H136)&amp;"")="finalized",INDEX('Game Records'!$U:$U,$H136)&lt;&gt;"Subscription",INDEX('Game Records'!$U:$U,$H136)&lt;&gt;"Free Game",INDEX('Game Records'!$U:$U,$H136)&lt;&gt;"Disqualified — Free Game",OR(INDEX('Game Records'!$L:$L,$H136)="",LOWER(INDEX('Game Records'!$L:$L,$H136)&amp;"")="n/a")),"Disqualified Status; ",""))</f>
        <v/>
      </c>
      <c r="G136" s="23" t="str">
        <f t="array" ref="G136">IF($H136="","",IFERROR(INDEX('Game Records'!$M:$M,$H136),""))</f>
        <v/>
      </c>
      <c r="H136" s="3"/>
      <c r="I136" s="3"/>
      <c r="J136" s="3"/>
    </row>
    <row r="137" ht="24.0" customHeight="1">
      <c r="A137" s="18" t="str">
        <f t="shared" si="1"/>
        <v/>
      </c>
      <c r="B137" s="18" t="str">
        <f t="shared" si="2"/>
        <v/>
      </c>
      <c r="C137" s="23" t="str">
        <f t="array" ref="C137">IF($H137="","",IFERROR(INDEX('Game Records'!$A:$A,$H137),""))</f>
        <v/>
      </c>
      <c r="D137" s="23" t="str">
        <f t="array" ref="D137">IF($H137="","",IFERROR(INDEX('Game Records'!$U:$U,$H137),""))</f>
        <v/>
      </c>
      <c r="E137" s="23" t="str">
        <f t="array" ref="E137">IF($H137="","",LET(r,$H137,mode,LOWER(INDEX('Game Records'!$D:$D,r)&amp;""),endDate,INDEX('Game Records'!$C:$C,r),IF(mode="estimate",IF(endDate="","Estimate — End Date missing",IF(NOT(ISNUMBER(endDate)),"Estimate — Check End Date",IF(INT(endDate)&gt;=TODAY(),"In Progress — ends "&amp;TEXT(endDate,"mmm d, yyyy"),"Ready to Finalize"))),IF($F137="","No Highlighted Fields","Highlighted Fields Present"))))</f>
        <v/>
      </c>
      <c r="F137" s="23" t="str">
        <f t="array" ref="F137">IF($H137="","",IF(OR(NOT(_xlfn.ISFORMULA(INDEX('Game Records'!$N:$N,$H137))),NOT(_xlfn.ISFORMULA(INDEX('Game Records'!$O:$O,$H137))),NOT(_xlfn.ISFORMULA(INDEX('Game Records'!$P:$P,$H137))),NOT(_xlfn.ISFORMULA(INDEX('Game Records'!$Q:$Q,$H137))),NOT(_xlfn.ISFORMULA(INDEX('Game Records'!$R:$R,$H137))),NOT(_xlfn.ISFORMULA(INDEX('Game Records'!$S:$S,$H137))),NOT(_xlfn.ISFORMULA(INDEX('Game Records'!$T:$T,$H137))),NOT(_xlfn.ISFORMULA(INDEX('Game Records'!$U:$U,$H137))),NOT(_xlfn.ISFORMULA(INDEX('Game Records'!$V:$V,$H137))),NOT(_xlfn.ISFORMULA(INDEX('Game Records'!$W:$W,$H137))),NOT(_xlfn.ISFORMULA(INDEX('Game Records'!$X:$X,$H137))),NOT(_xlfn.ISFORMULA(INDEX('Game Records'!$Y:$Y,$H137))),NOT(_xlfn.ISFORMULA(INDEX('Game Records'!$Z:$Z,$H137)))),"","")&amp;IF(INDEX('Game Records'!$B:$B,$H137)="","Start Date; ","")&amp;IF(INDEX('Game Records'!$C:$C,$H137)="","End Date; ","")&amp;IF(AND(INDEX('Game Records'!$U:$U,$H137)&lt;&gt;"Subscription",INDEX('Game Records'!$U:$U,$H137)&lt;&gt;"Free Game",INDEX('Game Records'!$U:$U,$H137)&lt;&gt;"Disqualified — Free Game",OR(INDEX('Game Records'!$D:$D,$H137)="",LOWER(INDEX('Game Records'!$D:$D,$H137)&amp;"")="n/a")),"Entry Mode; ","")&amp;IF(AND(INDEX('Game Records'!$U:$U,$H137)&lt;&gt;"Subscription",INDEX('Game Records'!$U:$U,$H137)&lt;&gt;"Free Game",INDEX('Game Records'!$U:$U,$H137)&lt;&gt;"Disqualified — Free Game",OR(INDEX('Game Records'!$E:$E,$H137)="",LOWER(INDEX('Game Records'!$E:$E,$H137)&amp;"")="n/a")),"Game Type; ","")&amp;IF(INDEX('Game Records'!$F:$F,$H137)="","Payment Type; ","")&amp;IF(AND(INDEX('Game Records'!$U:$U,$H137)&lt;&gt;"Subscription",INDEX('Game Records'!$U:$U,$H137)&lt;&gt;"Free Game",INDEX('Game Records'!$U:$U,$H137)&lt;&gt;"Disqualified — Free Game",INDEX('Game Records'!$G:$G,$H137)=""),"Gross Pot; ","")&amp;IF(AND(INDEX('Game Records'!$U:$U,$H137)&lt;&gt;"Free Game",INDEX('Game Records'!$U:$U,$H137)&lt;&gt;"Disqualified — Free Game",INDEX('Game Records'!$H:$H,$H137)=""),"Entry Fee; ","")&amp;IF(AND(INDEX('Game Records'!$U:$U,$H137)&lt;&gt;"Subscription",INDEX('Game Records'!$U:$U,$H137)&lt;&gt;"Free Game",INDEX('Game Records'!$U:$U,$H137)&lt;&gt;"Disqualified — Free Game",INDEX('Game Records'!$I:$I,$H137)=""),"Eligible Players; ","")&amp;IF(AND(INDEX('Game Records'!$U:$U,$H137)&lt;&gt;"Subscription",INDEX('Game Records'!$U:$U,$H137)&lt;&gt;"Free Game",INDEX('Game Records'!$U:$U,$H137)&lt;&gt;"Disqualified — Free Game",INDEX('Game Records'!$J:$J,$H137)=""),"Total Players; ","")&amp;IF(AND(LOWER(INDEX('Game Records'!$D:$D,$H137)&amp;"")="finalized",LOWER(INDEX('Game Records'!$L:$L,$H137)&amp;"")&lt;&gt;"yes",INDEX('Game Records'!$U:$U,$H137)&lt;&gt;"Subscription",INDEX('Game Records'!$U:$U,$H137)&lt;&gt;"Free Game",INDEX('Game Records'!$U:$U,$H137)&lt;&gt;"Disqualified — Free Game",INDEX('Game Records'!$K:$K,$H137)=""),"Final Payout; ","")&amp;IF(AND(LOWER(INDEX('Game Records'!$D:$D,$H137)&amp;"")="finalized",INDEX('Game Records'!$U:$U,$H137)&lt;&gt;"Subscription",INDEX('Game Records'!$U:$U,$H137)&lt;&gt;"Free Game",INDEX('Game Records'!$U:$U,$H137)&lt;&gt;"Disqualified — Free Game",OR(INDEX('Game Records'!$L:$L,$H137)="",LOWER(INDEX('Game Records'!$L:$L,$H137)&amp;"")="n/a")),"Disqualified Status; ",""))</f>
        <v/>
      </c>
      <c r="G137" s="23" t="str">
        <f t="array" ref="G137">IF($H137="","",IFERROR(INDEX('Game Records'!$M:$M,$H137),""))</f>
        <v/>
      </c>
      <c r="H137" s="3"/>
      <c r="I137" s="3"/>
      <c r="J137" s="3"/>
    </row>
    <row r="138" ht="24.0" customHeight="1">
      <c r="A138" s="18" t="str">
        <f t="shared" si="1"/>
        <v/>
      </c>
      <c r="B138" s="18" t="str">
        <f t="shared" si="2"/>
        <v/>
      </c>
      <c r="C138" s="23" t="str">
        <f t="array" ref="C138">IF($H138="","",IFERROR(INDEX('Game Records'!$A:$A,$H138),""))</f>
        <v/>
      </c>
      <c r="D138" s="23" t="str">
        <f t="array" ref="D138">IF($H138="","",IFERROR(INDEX('Game Records'!$U:$U,$H138),""))</f>
        <v/>
      </c>
      <c r="E138" s="23" t="str">
        <f t="array" ref="E138">IF($H138="","",LET(r,$H138,mode,LOWER(INDEX('Game Records'!$D:$D,r)&amp;""),endDate,INDEX('Game Records'!$C:$C,r),IF(mode="estimate",IF(endDate="","Estimate — End Date missing",IF(NOT(ISNUMBER(endDate)),"Estimate — Check End Date",IF(INT(endDate)&gt;=TODAY(),"In Progress — ends "&amp;TEXT(endDate,"mmm d, yyyy"),"Ready to Finalize"))),IF($F138="","No Highlighted Fields","Highlighted Fields Present"))))</f>
        <v/>
      </c>
      <c r="F138" s="23" t="str">
        <f t="array" ref="F138">IF($H138="","",IF(OR(NOT(_xlfn.ISFORMULA(INDEX('Game Records'!$N:$N,$H138))),NOT(_xlfn.ISFORMULA(INDEX('Game Records'!$O:$O,$H138))),NOT(_xlfn.ISFORMULA(INDEX('Game Records'!$P:$P,$H138))),NOT(_xlfn.ISFORMULA(INDEX('Game Records'!$Q:$Q,$H138))),NOT(_xlfn.ISFORMULA(INDEX('Game Records'!$R:$R,$H138))),NOT(_xlfn.ISFORMULA(INDEX('Game Records'!$S:$S,$H138))),NOT(_xlfn.ISFORMULA(INDEX('Game Records'!$T:$T,$H138))),NOT(_xlfn.ISFORMULA(INDEX('Game Records'!$U:$U,$H138))),NOT(_xlfn.ISFORMULA(INDEX('Game Records'!$V:$V,$H138))),NOT(_xlfn.ISFORMULA(INDEX('Game Records'!$W:$W,$H138))),NOT(_xlfn.ISFORMULA(INDEX('Game Records'!$X:$X,$H138))),NOT(_xlfn.ISFORMULA(INDEX('Game Records'!$Y:$Y,$H138))),NOT(_xlfn.ISFORMULA(INDEX('Game Records'!$Z:$Z,$H138)))),"","")&amp;IF(INDEX('Game Records'!$B:$B,$H138)="","Start Date; ","")&amp;IF(INDEX('Game Records'!$C:$C,$H138)="","End Date; ","")&amp;IF(AND(INDEX('Game Records'!$U:$U,$H138)&lt;&gt;"Subscription",INDEX('Game Records'!$U:$U,$H138)&lt;&gt;"Free Game",INDEX('Game Records'!$U:$U,$H138)&lt;&gt;"Disqualified — Free Game",OR(INDEX('Game Records'!$D:$D,$H138)="",LOWER(INDEX('Game Records'!$D:$D,$H138)&amp;"")="n/a")),"Entry Mode; ","")&amp;IF(AND(INDEX('Game Records'!$U:$U,$H138)&lt;&gt;"Subscription",INDEX('Game Records'!$U:$U,$H138)&lt;&gt;"Free Game",INDEX('Game Records'!$U:$U,$H138)&lt;&gt;"Disqualified — Free Game",OR(INDEX('Game Records'!$E:$E,$H138)="",LOWER(INDEX('Game Records'!$E:$E,$H138)&amp;"")="n/a")),"Game Type; ","")&amp;IF(INDEX('Game Records'!$F:$F,$H138)="","Payment Type; ","")&amp;IF(AND(INDEX('Game Records'!$U:$U,$H138)&lt;&gt;"Subscription",INDEX('Game Records'!$U:$U,$H138)&lt;&gt;"Free Game",INDEX('Game Records'!$U:$U,$H138)&lt;&gt;"Disqualified — Free Game",INDEX('Game Records'!$G:$G,$H138)=""),"Gross Pot; ","")&amp;IF(AND(INDEX('Game Records'!$U:$U,$H138)&lt;&gt;"Free Game",INDEX('Game Records'!$U:$U,$H138)&lt;&gt;"Disqualified — Free Game",INDEX('Game Records'!$H:$H,$H138)=""),"Entry Fee; ","")&amp;IF(AND(INDEX('Game Records'!$U:$U,$H138)&lt;&gt;"Subscription",INDEX('Game Records'!$U:$U,$H138)&lt;&gt;"Free Game",INDEX('Game Records'!$U:$U,$H138)&lt;&gt;"Disqualified — Free Game",INDEX('Game Records'!$I:$I,$H138)=""),"Eligible Players; ","")&amp;IF(AND(INDEX('Game Records'!$U:$U,$H138)&lt;&gt;"Subscription",INDEX('Game Records'!$U:$U,$H138)&lt;&gt;"Free Game",INDEX('Game Records'!$U:$U,$H138)&lt;&gt;"Disqualified — Free Game",INDEX('Game Records'!$J:$J,$H138)=""),"Total Players; ","")&amp;IF(AND(LOWER(INDEX('Game Records'!$D:$D,$H138)&amp;"")="finalized",LOWER(INDEX('Game Records'!$L:$L,$H138)&amp;"")&lt;&gt;"yes",INDEX('Game Records'!$U:$U,$H138)&lt;&gt;"Subscription",INDEX('Game Records'!$U:$U,$H138)&lt;&gt;"Free Game",INDEX('Game Records'!$U:$U,$H138)&lt;&gt;"Disqualified — Free Game",INDEX('Game Records'!$K:$K,$H138)=""),"Final Payout; ","")&amp;IF(AND(LOWER(INDEX('Game Records'!$D:$D,$H138)&amp;"")="finalized",INDEX('Game Records'!$U:$U,$H138)&lt;&gt;"Subscription",INDEX('Game Records'!$U:$U,$H138)&lt;&gt;"Free Game",INDEX('Game Records'!$U:$U,$H138)&lt;&gt;"Disqualified — Free Game",OR(INDEX('Game Records'!$L:$L,$H138)="",LOWER(INDEX('Game Records'!$L:$L,$H138)&amp;"")="n/a")),"Disqualified Status; ",""))</f>
        <v/>
      </c>
      <c r="G138" s="23" t="str">
        <f t="array" ref="G138">IF($H138="","",IFERROR(INDEX('Game Records'!$M:$M,$H138),""))</f>
        <v/>
      </c>
      <c r="H138" s="3"/>
      <c r="I138" s="3"/>
      <c r="J138" s="3"/>
    </row>
    <row r="139" ht="24.0" customHeight="1">
      <c r="A139" s="18" t="str">
        <f t="shared" si="1"/>
        <v/>
      </c>
      <c r="B139" s="18" t="str">
        <f t="shared" si="2"/>
        <v/>
      </c>
      <c r="C139" s="23" t="str">
        <f t="array" ref="C139">IF($H139="","",IFERROR(INDEX('Game Records'!$A:$A,$H139),""))</f>
        <v/>
      </c>
      <c r="D139" s="23" t="str">
        <f t="array" ref="D139">IF($H139="","",IFERROR(INDEX('Game Records'!$U:$U,$H139),""))</f>
        <v/>
      </c>
      <c r="E139" s="23" t="str">
        <f t="array" ref="E139">IF($H139="","",LET(r,$H139,mode,LOWER(INDEX('Game Records'!$D:$D,r)&amp;""),endDate,INDEX('Game Records'!$C:$C,r),IF(mode="estimate",IF(endDate="","Estimate — End Date missing",IF(NOT(ISNUMBER(endDate)),"Estimate — Check End Date",IF(INT(endDate)&gt;=TODAY(),"In Progress — ends "&amp;TEXT(endDate,"mmm d, yyyy"),"Ready to Finalize"))),IF($F139="","No Highlighted Fields","Highlighted Fields Present"))))</f>
        <v/>
      </c>
      <c r="F139" s="23" t="str">
        <f t="array" ref="F139">IF($H139="","",IF(OR(NOT(_xlfn.ISFORMULA(INDEX('Game Records'!$N:$N,$H139))),NOT(_xlfn.ISFORMULA(INDEX('Game Records'!$O:$O,$H139))),NOT(_xlfn.ISFORMULA(INDEX('Game Records'!$P:$P,$H139))),NOT(_xlfn.ISFORMULA(INDEX('Game Records'!$Q:$Q,$H139))),NOT(_xlfn.ISFORMULA(INDEX('Game Records'!$R:$R,$H139))),NOT(_xlfn.ISFORMULA(INDEX('Game Records'!$S:$S,$H139))),NOT(_xlfn.ISFORMULA(INDEX('Game Records'!$T:$T,$H139))),NOT(_xlfn.ISFORMULA(INDEX('Game Records'!$U:$U,$H139))),NOT(_xlfn.ISFORMULA(INDEX('Game Records'!$V:$V,$H139))),NOT(_xlfn.ISFORMULA(INDEX('Game Records'!$W:$W,$H139))),NOT(_xlfn.ISFORMULA(INDEX('Game Records'!$X:$X,$H139))),NOT(_xlfn.ISFORMULA(INDEX('Game Records'!$Y:$Y,$H139))),NOT(_xlfn.ISFORMULA(INDEX('Game Records'!$Z:$Z,$H139)))),"","")&amp;IF(INDEX('Game Records'!$B:$B,$H139)="","Start Date; ","")&amp;IF(INDEX('Game Records'!$C:$C,$H139)="","End Date; ","")&amp;IF(AND(INDEX('Game Records'!$U:$U,$H139)&lt;&gt;"Subscription",INDEX('Game Records'!$U:$U,$H139)&lt;&gt;"Free Game",INDEX('Game Records'!$U:$U,$H139)&lt;&gt;"Disqualified — Free Game",OR(INDEX('Game Records'!$D:$D,$H139)="",LOWER(INDEX('Game Records'!$D:$D,$H139)&amp;"")="n/a")),"Entry Mode; ","")&amp;IF(AND(INDEX('Game Records'!$U:$U,$H139)&lt;&gt;"Subscription",INDEX('Game Records'!$U:$U,$H139)&lt;&gt;"Free Game",INDEX('Game Records'!$U:$U,$H139)&lt;&gt;"Disqualified — Free Game",OR(INDEX('Game Records'!$E:$E,$H139)="",LOWER(INDEX('Game Records'!$E:$E,$H139)&amp;"")="n/a")),"Game Type; ","")&amp;IF(INDEX('Game Records'!$F:$F,$H139)="","Payment Type; ","")&amp;IF(AND(INDEX('Game Records'!$U:$U,$H139)&lt;&gt;"Subscription",INDEX('Game Records'!$U:$U,$H139)&lt;&gt;"Free Game",INDEX('Game Records'!$U:$U,$H139)&lt;&gt;"Disqualified — Free Game",INDEX('Game Records'!$G:$G,$H139)=""),"Gross Pot; ","")&amp;IF(AND(INDEX('Game Records'!$U:$U,$H139)&lt;&gt;"Free Game",INDEX('Game Records'!$U:$U,$H139)&lt;&gt;"Disqualified — Free Game",INDEX('Game Records'!$H:$H,$H139)=""),"Entry Fee; ","")&amp;IF(AND(INDEX('Game Records'!$U:$U,$H139)&lt;&gt;"Subscription",INDEX('Game Records'!$U:$U,$H139)&lt;&gt;"Free Game",INDEX('Game Records'!$U:$U,$H139)&lt;&gt;"Disqualified — Free Game",INDEX('Game Records'!$I:$I,$H139)=""),"Eligible Players; ","")&amp;IF(AND(INDEX('Game Records'!$U:$U,$H139)&lt;&gt;"Subscription",INDEX('Game Records'!$U:$U,$H139)&lt;&gt;"Free Game",INDEX('Game Records'!$U:$U,$H139)&lt;&gt;"Disqualified — Free Game",INDEX('Game Records'!$J:$J,$H139)=""),"Total Players; ","")&amp;IF(AND(LOWER(INDEX('Game Records'!$D:$D,$H139)&amp;"")="finalized",LOWER(INDEX('Game Records'!$L:$L,$H139)&amp;"")&lt;&gt;"yes",INDEX('Game Records'!$U:$U,$H139)&lt;&gt;"Subscription",INDEX('Game Records'!$U:$U,$H139)&lt;&gt;"Free Game",INDEX('Game Records'!$U:$U,$H139)&lt;&gt;"Disqualified — Free Game",INDEX('Game Records'!$K:$K,$H139)=""),"Final Payout; ","")&amp;IF(AND(LOWER(INDEX('Game Records'!$D:$D,$H139)&amp;"")="finalized",INDEX('Game Records'!$U:$U,$H139)&lt;&gt;"Subscription",INDEX('Game Records'!$U:$U,$H139)&lt;&gt;"Free Game",INDEX('Game Records'!$U:$U,$H139)&lt;&gt;"Disqualified — Free Game",OR(INDEX('Game Records'!$L:$L,$H139)="",LOWER(INDEX('Game Records'!$L:$L,$H139)&amp;"")="n/a")),"Disqualified Status; ",""))</f>
        <v/>
      </c>
      <c r="G139" s="23" t="str">
        <f t="array" ref="G139">IF($H139="","",IFERROR(INDEX('Game Records'!$M:$M,$H139),""))</f>
        <v/>
      </c>
      <c r="H139" s="3"/>
      <c r="I139" s="3"/>
      <c r="J139" s="3"/>
    </row>
    <row r="140" ht="24.0" customHeight="1">
      <c r="A140" s="18" t="str">
        <f t="shared" si="1"/>
        <v/>
      </c>
      <c r="B140" s="18" t="str">
        <f t="shared" si="2"/>
        <v/>
      </c>
      <c r="C140" s="23" t="str">
        <f t="array" ref="C140">IF($H140="","",IFERROR(INDEX('Game Records'!$A:$A,$H140),""))</f>
        <v/>
      </c>
      <c r="D140" s="23" t="str">
        <f t="array" ref="D140">IF($H140="","",IFERROR(INDEX('Game Records'!$U:$U,$H140),""))</f>
        <v/>
      </c>
      <c r="E140" s="23" t="str">
        <f t="array" ref="E140">IF($H140="","",LET(r,$H140,mode,LOWER(INDEX('Game Records'!$D:$D,r)&amp;""),endDate,INDEX('Game Records'!$C:$C,r),IF(mode="estimate",IF(endDate="","Estimate — End Date missing",IF(NOT(ISNUMBER(endDate)),"Estimate — Check End Date",IF(INT(endDate)&gt;=TODAY(),"In Progress — ends "&amp;TEXT(endDate,"mmm d, yyyy"),"Ready to Finalize"))),IF($F140="","No Highlighted Fields","Highlighted Fields Present"))))</f>
        <v/>
      </c>
      <c r="F140" s="23" t="str">
        <f t="array" ref="F140">IF($H140="","",IF(OR(NOT(_xlfn.ISFORMULA(INDEX('Game Records'!$N:$N,$H140))),NOT(_xlfn.ISFORMULA(INDEX('Game Records'!$O:$O,$H140))),NOT(_xlfn.ISFORMULA(INDEX('Game Records'!$P:$P,$H140))),NOT(_xlfn.ISFORMULA(INDEX('Game Records'!$Q:$Q,$H140))),NOT(_xlfn.ISFORMULA(INDEX('Game Records'!$R:$R,$H140))),NOT(_xlfn.ISFORMULA(INDEX('Game Records'!$S:$S,$H140))),NOT(_xlfn.ISFORMULA(INDEX('Game Records'!$T:$T,$H140))),NOT(_xlfn.ISFORMULA(INDEX('Game Records'!$U:$U,$H140))),NOT(_xlfn.ISFORMULA(INDEX('Game Records'!$V:$V,$H140))),NOT(_xlfn.ISFORMULA(INDEX('Game Records'!$W:$W,$H140))),NOT(_xlfn.ISFORMULA(INDEX('Game Records'!$X:$X,$H140))),NOT(_xlfn.ISFORMULA(INDEX('Game Records'!$Y:$Y,$H140))),NOT(_xlfn.ISFORMULA(INDEX('Game Records'!$Z:$Z,$H140)))),"","")&amp;IF(INDEX('Game Records'!$B:$B,$H140)="","Start Date; ","")&amp;IF(INDEX('Game Records'!$C:$C,$H140)="","End Date; ","")&amp;IF(AND(INDEX('Game Records'!$U:$U,$H140)&lt;&gt;"Subscription",INDEX('Game Records'!$U:$U,$H140)&lt;&gt;"Free Game",INDEX('Game Records'!$U:$U,$H140)&lt;&gt;"Disqualified — Free Game",OR(INDEX('Game Records'!$D:$D,$H140)="",LOWER(INDEX('Game Records'!$D:$D,$H140)&amp;"")="n/a")),"Entry Mode; ","")&amp;IF(AND(INDEX('Game Records'!$U:$U,$H140)&lt;&gt;"Subscription",INDEX('Game Records'!$U:$U,$H140)&lt;&gt;"Free Game",INDEX('Game Records'!$U:$U,$H140)&lt;&gt;"Disqualified — Free Game",OR(INDEX('Game Records'!$E:$E,$H140)="",LOWER(INDEX('Game Records'!$E:$E,$H140)&amp;"")="n/a")),"Game Type; ","")&amp;IF(INDEX('Game Records'!$F:$F,$H140)="","Payment Type; ","")&amp;IF(AND(INDEX('Game Records'!$U:$U,$H140)&lt;&gt;"Subscription",INDEX('Game Records'!$U:$U,$H140)&lt;&gt;"Free Game",INDEX('Game Records'!$U:$U,$H140)&lt;&gt;"Disqualified — Free Game",INDEX('Game Records'!$G:$G,$H140)=""),"Gross Pot; ","")&amp;IF(AND(INDEX('Game Records'!$U:$U,$H140)&lt;&gt;"Free Game",INDEX('Game Records'!$U:$U,$H140)&lt;&gt;"Disqualified — Free Game",INDEX('Game Records'!$H:$H,$H140)=""),"Entry Fee; ","")&amp;IF(AND(INDEX('Game Records'!$U:$U,$H140)&lt;&gt;"Subscription",INDEX('Game Records'!$U:$U,$H140)&lt;&gt;"Free Game",INDEX('Game Records'!$U:$U,$H140)&lt;&gt;"Disqualified — Free Game",INDEX('Game Records'!$I:$I,$H140)=""),"Eligible Players; ","")&amp;IF(AND(INDEX('Game Records'!$U:$U,$H140)&lt;&gt;"Subscription",INDEX('Game Records'!$U:$U,$H140)&lt;&gt;"Free Game",INDEX('Game Records'!$U:$U,$H140)&lt;&gt;"Disqualified — Free Game",INDEX('Game Records'!$J:$J,$H140)=""),"Total Players; ","")&amp;IF(AND(LOWER(INDEX('Game Records'!$D:$D,$H140)&amp;"")="finalized",LOWER(INDEX('Game Records'!$L:$L,$H140)&amp;"")&lt;&gt;"yes",INDEX('Game Records'!$U:$U,$H140)&lt;&gt;"Subscription",INDEX('Game Records'!$U:$U,$H140)&lt;&gt;"Free Game",INDEX('Game Records'!$U:$U,$H140)&lt;&gt;"Disqualified — Free Game",INDEX('Game Records'!$K:$K,$H140)=""),"Final Payout; ","")&amp;IF(AND(LOWER(INDEX('Game Records'!$D:$D,$H140)&amp;"")="finalized",INDEX('Game Records'!$U:$U,$H140)&lt;&gt;"Subscription",INDEX('Game Records'!$U:$U,$H140)&lt;&gt;"Free Game",INDEX('Game Records'!$U:$U,$H140)&lt;&gt;"Disqualified — Free Game",OR(INDEX('Game Records'!$L:$L,$H140)="",LOWER(INDEX('Game Records'!$L:$L,$H140)&amp;"")="n/a")),"Disqualified Status; ",""))</f>
        <v/>
      </c>
      <c r="G140" s="23" t="str">
        <f t="array" ref="G140">IF($H140="","",IFERROR(INDEX('Game Records'!$M:$M,$H140),""))</f>
        <v/>
      </c>
      <c r="H140" s="3"/>
      <c r="I140" s="3"/>
      <c r="J140" s="3"/>
    </row>
    <row r="141" ht="24.0" customHeight="1">
      <c r="A141" s="18" t="str">
        <f t="shared" si="1"/>
        <v/>
      </c>
      <c r="B141" s="18" t="str">
        <f t="shared" si="2"/>
        <v/>
      </c>
      <c r="C141" s="23" t="str">
        <f t="array" ref="C141">IF($H141="","",IFERROR(INDEX('Game Records'!$A:$A,$H141),""))</f>
        <v/>
      </c>
      <c r="D141" s="23" t="str">
        <f t="array" ref="D141">IF($H141="","",IFERROR(INDEX('Game Records'!$U:$U,$H141),""))</f>
        <v/>
      </c>
      <c r="E141" s="23" t="str">
        <f t="array" ref="E141">IF($H141="","",LET(r,$H141,mode,LOWER(INDEX('Game Records'!$D:$D,r)&amp;""),endDate,INDEX('Game Records'!$C:$C,r),IF(mode="estimate",IF(endDate="","Estimate — End Date missing",IF(NOT(ISNUMBER(endDate)),"Estimate — Check End Date",IF(INT(endDate)&gt;=TODAY(),"In Progress — ends "&amp;TEXT(endDate,"mmm d, yyyy"),"Ready to Finalize"))),IF($F141="","No Highlighted Fields","Highlighted Fields Present"))))</f>
        <v/>
      </c>
      <c r="F141" s="23" t="str">
        <f t="array" ref="F141">IF($H141="","",IF(OR(NOT(_xlfn.ISFORMULA(INDEX('Game Records'!$N:$N,$H141))),NOT(_xlfn.ISFORMULA(INDEX('Game Records'!$O:$O,$H141))),NOT(_xlfn.ISFORMULA(INDEX('Game Records'!$P:$P,$H141))),NOT(_xlfn.ISFORMULA(INDEX('Game Records'!$Q:$Q,$H141))),NOT(_xlfn.ISFORMULA(INDEX('Game Records'!$R:$R,$H141))),NOT(_xlfn.ISFORMULA(INDEX('Game Records'!$S:$S,$H141))),NOT(_xlfn.ISFORMULA(INDEX('Game Records'!$T:$T,$H141))),NOT(_xlfn.ISFORMULA(INDEX('Game Records'!$U:$U,$H141))),NOT(_xlfn.ISFORMULA(INDEX('Game Records'!$V:$V,$H141))),NOT(_xlfn.ISFORMULA(INDEX('Game Records'!$W:$W,$H141))),NOT(_xlfn.ISFORMULA(INDEX('Game Records'!$X:$X,$H141))),NOT(_xlfn.ISFORMULA(INDEX('Game Records'!$Y:$Y,$H141))),NOT(_xlfn.ISFORMULA(INDEX('Game Records'!$Z:$Z,$H141)))),"","")&amp;IF(INDEX('Game Records'!$B:$B,$H141)="","Start Date; ","")&amp;IF(INDEX('Game Records'!$C:$C,$H141)="","End Date; ","")&amp;IF(AND(INDEX('Game Records'!$U:$U,$H141)&lt;&gt;"Subscription",INDEX('Game Records'!$U:$U,$H141)&lt;&gt;"Free Game",INDEX('Game Records'!$U:$U,$H141)&lt;&gt;"Disqualified — Free Game",OR(INDEX('Game Records'!$D:$D,$H141)="",LOWER(INDEX('Game Records'!$D:$D,$H141)&amp;"")="n/a")),"Entry Mode; ","")&amp;IF(AND(INDEX('Game Records'!$U:$U,$H141)&lt;&gt;"Subscription",INDEX('Game Records'!$U:$U,$H141)&lt;&gt;"Free Game",INDEX('Game Records'!$U:$U,$H141)&lt;&gt;"Disqualified — Free Game",OR(INDEX('Game Records'!$E:$E,$H141)="",LOWER(INDEX('Game Records'!$E:$E,$H141)&amp;"")="n/a")),"Game Type; ","")&amp;IF(INDEX('Game Records'!$F:$F,$H141)="","Payment Type; ","")&amp;IF(AND(INDEX('Game Records'!$U:$U,$H141)&lt;&gt;"Subscription",INDEX('Game Records'!$U:$U,$H141)&lt;&gt;"Free Game",INDEX('Game Records'!$U:$U,$H141)&lt;&gt;"Disqualified — Free Game",INDEX('Game Records'!$G:$G,$H141)=""),"Gross Pot; ","")&amp;IF(AND(INDEX('Game Records'!$U:$U,$H141)&lt;&gt;"Free Game",INDEX('Game Records'!$U:$U,$H141)&lt;&gt;"Disqualified — Free Game",INDEX('Game Records'!$H:$H,$H141)=""),"Entry Fee; ","")&amp;IF(AND(INDEX('Game Records'!$U:$U,$H141)&lt;&gt;"Subscription",INDEX('Game Records'!$U:$U,$H141)&lt;&gt;"Free Game",INDEX('Game Records'!$U:$U,$H141)&lt;&gt;"Disqualified — Free Game",INDEX('Game Records'!$I:$I,$H141)=""),"Eligible Players; ","")&amp;IF(AND(INDEX('Game Records'!$U:$U,$H141)&lt;&gt;"Subscription",INDEX('Game Records'!$U:$U,$H141)&lt;&gt;"Free Game",INDEX('Game Records'!$U:$U,$H141)&lt;&gt;"Disqualified — Free Game",INDEX('Game Records'!$J:$J,$H141)=""),"Total Players; ","")&amp;IF(AND(LOWER(INDEX('Game Records'!$D:$D,$H141)&amp;"")="finalized",LOWER(INDEX('Game Records'!$L:$L,$H141)&amp;"")&lt;&gt;"yes",INDEX('Game Records'!$U:$U,$H141)&lt;&gt;"Subscription",INDEX('Game Records'!$U:$U,$H141)&lt;&gt;"Free Game",INDEX('Game Records'!$U:$U,$H141)&lt;&gt;"Disqualified — Free Game",INDEX('Game Records'!$K:$K,$H141)=""),"Final Payout; ","")&amp;IF(AND(LOWER(INDEX('Game Records'!$D:$D,$H141)&amp;"")="finalized",INDEX('Game Records'!$U:$U,$H141)&lt;&gt;"Subscription",INDEX('Game Records'!$U:$U,$H141)&lt;&gt;"Free Game",INDEX('Game Records'!$U:$U,$H141)&lt;&gt;"Disqualified — Free Game",OR(INDEX('Game Records'!$L:$L,$H141)="",LOWER(INDEX('Game Records'!$L:$L,$H141)&amp;"")="n/a")),"Disqualified Status; ",""))</f>
        <v/>
      </c>
      <c r="G141" s="23" t="str">
        <f t="array" ref="G141">IF($H141="","",IFERROR(INDEX('Game Records'!$M:$M,$H141),""))</f>
        <v/>
      </c>
      <c r="H141" s="3"/>
      <c r="I141" s="3"/>
      <c r="J141" s="3"/>
    </row>
    <row r="142" ht="24.0" customHeight="1">
      <c r="A142" s="18" t="str">
        <f t="shared" si="1"/>
        <v/>
      </c>
      <c r="B142" s="18" t="str">
        <f t="shared" si="2"/>
        <v/>
      </c>
      <c r="C142" s="23" t="str">
        <f t="array" ref="C142">IF($H142="","",IFERROR(INDEX('Game Records'!$A:$A,$H142),""))</f>
        <v/>
      </c>
      <c r="D142" s="23" t="str">
        <f t="array" ref="D142">IF($H142="","",IFERROR(INDEX('Game Records'!$U:$U,$H142),""))</f>
        <v/>
      </c>
      <c r="E142" s="23" t="str">
        <f t="array" ref="E142">IF($H142="","",LET(r,$H142,mode,LOWER(INDEX('Game Records'!$D:$D,r)&amp;""),endDate,INDEX('Game Records'!$C:$C,r),IF(mode="estimate",IF(endDate="","Estimate — End Date missing",IF(NOT(ISNUMBER(endDate)),"Estimate — Check End Date",IF(INT(endDate)&gt;=TODAY(),"In Progress — ends "&amp;TEXT(endDate,"mmm d, yyyy"),"Ready to Finalize"))),IF($F142="","No Highlighted Fields","Highlighted Fields Present"))))</f>
        <v/>
      </c>
      <c r="F142" s="23" t="str">
        <f t="array" ref="F142">IF($H142="","",IF(OR(NOT(_xlfn.ISFORMULA(INDEX('Game Records'!$N:$N,$H142))),NOT(_xlfn.ISFORMULA(INDEX('Game Records'!$O:$O,$H142))),NOT(_xlfn.ISFORMULA(INDEX('Game Records'!$P:$P,$H142))),NOT(_xlfn.ISFORMULA(INDEX('Game Records'!$Q:$Q,$H142))),NOT(_xlfn.ISFORMULA(INDEX('Game Records'!$R:$R,$H142))),NOT(_xlfn.ISFORMULA(INDEX('Game Records'!$S:$S,$H142))),NOT(_xlfn.ISFORMULA(INDEX('Game Records'!$T:$T,$H142))),NOT(_xlfn.ISFORMULA(INDEX('Game Records'!$U:$U,$H142))),NOT(_xlfn.ISFORMULA(INDEX('Game Records'!$V:$V,$H142))),NOT(_xlfn.ISFORMULA(INDEX('Game Records'!$W:$W,$H142))),NOT(_xlfn.ISFORMULA(INDEX('Game Records'!$X:$X,$H142))),NOT(_xlfn.ISFORMULA(INDEX('Game Records'!$Y:$Y,$H142))),NOT(_xlfn.ISFORMULA(INDEX('Game Records'!$Z:$Z,$H142)))),"","")&amp;IF(INDEX('Game Records'!$B:$B,$H142)="","Start Date; ","")&amp;IF(INDEX('Game Records'!$C:$C,$H142)="","End Date; ","")&amp;IF(AND(INDEX('Game Records'!$U:$U,$H142)&lt;&gt;"Subscription",INDEX('Game Records'!$U:$U,$H142)&lt;&gt;"Free Game",INDEX('Game Records'!$U:$U,$H142)&lt;&gt;"Disqualified — Free Game",OR(INDEX('Game Records'!$D:$D,$H142)="",LOWER(INDEX('Game Records'!$D:$D,$H142)&amp;"")="n/a")),"Entry Mode; ","")&amp;IF(AND(INDEX('Game Records'!$U:$U,$H142)&lt;&gt;"Subscription",INDEX('Game Records'!$U:$U,$H142)&lt;&gt;"Free Game",INDEX('Game Records'!$U:$U,$H142)&lt;&gt;"Disqualified — Free Game",OR(INDEX('Game Records'!$E:$E,$H142)="",LOWER(INDEX('Game Records'!$E:$E,$H142)&amp;"")="n/a")),"Game Type; ","")&amp;IF(INDEX('Game Records'!$F:$F,$H142)="","Payment Type; ","")&amp;IF(AND(INDEX('Game Records'!$U:$U,$H142)&lt;&gt;"Subscription",INDEX('Game Records'!$U:$U,$H142)&lt;&gt;"Free Game",INDEX('Game Records'!$U:$U,$H142)&lt;&gt;"Disqualified — Free Game",INDEX('Game Records'!$G:$G,$H142)=""),"Gross Pot; ","")&amp;IF(AND(INDEX('Game Records'!$U:$U,$H142)&lt;&gt;"Free Game",INDEX('Game Records'!$U:$U,$H142)&lt;&gt;"Disqualified — Free Game",INDEX('Game Records'!$H:$H,$H142)=""),"Entry Fee; ","")&amp;IF(AND(INDEX('Game Records'!$U:$U,$H142)&lt;&gt;"Subscription",INDEX('Game Records'!$U:$U,$H142)&lt;&gt;"Free Game",INDEX('Game Records'!$U:$U,$H142)&lt;&gt;"Disqualified — Free Game",INDEX('Game Records'!$I:$I,$H142)=""),"Eligible Players; ","")&amp;IF(AND(INDEX('Game Records'!$U:$U,$H142)&lt;&gt;"Subscription",INDEX('Game Records'!$U:$U,$H142)&lt;&gt;"Free Game",INDEX('Game Records'!$U:$U,$H142)&lt;&gt;"Disqualified — Free Game",INDEX('Game Records'!$J:$J,$H142)=""),"Total Players; ","")&amp;IF(AND(LOWER(INDEX('Game Records'!$D:$D,$H142)&amp;"")="finalized",LOWER(INDEX('Game Records'!$L:$L,$H142)&amp;"")&lt;&gt;"yes",INDEX('Game Records'!$U:$U,$H142)&lt;&gt;"Subscription",INDEX('Game Records'!$U:$U,$H142)&lt;&gt;"Free Game",INDEX('Game Records'!$U:$U,$H142)&lt;&gt;"Disqualified — Free Game",INDEX('Game Records'!$K:$K,$H142)=""),"Final Payout; ","")&amp;IF(AND(LOWER(INDEX('Game Records'!$D:$D,$H142)&amp;"")="finalized",INDEX('Game Records'!$U:$U,$H142)&lt;&gt;"Subscription",INDEX('Game Records'!$U:$U,$H142)&lt;&gt;"Free Game",INDEX('Game Records'!$U:$U,$H142)&lt;&gt;"Disqualified — Free Game",OR(INDEX('Game Records'!$L:$L,$H142)="",LOWER(INDEX('Game Records'!$L:$L,$H142)&amp;"")="n/a")),"Disqualified Status; ",""))</f>
        <v/>
      </c>
      <c r="G142" s="23" t="str">
        <f t="array" ref="G142">IF($H142="","",IFERROR(INDEX('Game Records'!$M:$M,$H142),""))</f>
        <v/>
      </c>
      <c r="H142" s="3"/>
      <c r="I142" s="3"/>
      <c r="J142" s="3"/>
    </row>
    <row r="143" ht="24.0" customHeight="1">
      <c r="A143" s="18" t="str">
        <f t="shared" si="1"/>
        <v/>
      </c>
      <c r="B143" s="18" t="str">
        <f t="shared" si="2"/>
        <v/>
      </c>
      <c r="C143" s="23" t="str">
        <f t="array" ref="C143">IF($H143="","",IFERROR(INDEX('Game Records'!$A:$A,$H143),""))</f>
        <v/>
      </c>
      <c r="D143" s="23" t="str">
        <f t="array" ref="D143">IF($H143="","",IFERROR(INDEX('Game Records'!$U:$U,$H143),""))</f>
        <v/>
      </c>
      <c r="E143" s="23" t="str">
        <f t="array" ref="E143">IF($H143="","",LET(r,$H143,mode,LOWER(INDEX('Game Records'!$D:$D,r)&amp;""),endDate,INDEX('Game Records'!$C:$C,r),IF(mode="estimate",IF(endDate="","Estimate — End Date missing",IF(NOT(ISNUMBER(endDate)),"Estimate — Check End Date",IF(INT(endDate)&gt;=TODAY(),"In Progress — ends "&amp;TEXT(endDate,"mmm d, yyyy"),"Ready to Finalize"))),IF($F143="","No Highlighted Fields","Highlighted Fields Present"))))</f>
        <v/>
      </c>
      <c r="F143" s="23" t="str">
        <f t="array" ref="F143">IF($H143="","",IF(OR(NOT(_xlfn.ISFORMULA(INDEX('Game Records'!$N:$N,$H143))),NOT(_xlfn.ISFORMULA(INDEX('Game Records'!$O:$O,$H143))),NOT(_xlfn.ISFORMULA(INDEX('Game Records'!$P:$P,$H143))),NOT(_xlfn.ISFORMULA(INDEX('Game Records'!$Q:$Q,$H143))),NOT(_xlfn.ISFORMULA(INDEX('Game Records'!$R:$R,$H143))),NOT(_xlfn.ISFORMULA(INDEX('Game Records'!$S:$S,$H143))),NOT(_xlfn.ISFORMULA(INDEX('Game Records'!$T:$T,$H143))),NOT(_xlfn.ISFORMULA(INDEX('Game Records'!$U:$U,$H143))),NOT(_xlfn.ISFORMULA(INDEX('Game Records'!$V:$V,$H143))),NOT(_xlfn.ISFORMULA(INDEX('Game Records'!$W:$W,$H143))),NOT(_xlfn.ISFORMULA(INDEX('Game Records'!$X:$X,$H143))),NOT(_xlfn.ISFORMULA(INDEX('Game Records'!$Y:$Y,$H143))),NOT(_xlfn.ISFORMULA(INDEX('Game Records'!$Z:$Z,$H143)))),"","")&amp;IF(INDEX('Game Records'!$B:$B,$H143)="","Start Date; ","")&amp;IF(INDEX('Game Records'!$C:$C,$H143)="","End Date; ","")&amp;IF(AND(INDEX('Game Records'!$U:$U,$H143)&lt;&gt;"Subscription",INDEX('Game Records'!$U:$U,$H143)&lt;&gt;"Free Game",INDEX('Game Records'!$U:$U,$H143)&lt;&gt;"Disqualified — Free Game",OR(INDEX('Game Records'!$D:$D,$H143)="",LOWER(INDEX('Game Records'!$D:$D,$H143)&amp;"")="n/a")),"Entry Mode; ","")&amp;IF(AND(INDEX('Game Records'!$U:$U,$H143)&lt;&gt;"Subscription",INDEX('Game Records'!$U:$U,$H143)&lt;&gt;"Free Game",INDEX('Game Records'!$U:$U,$H143)&lt;&gt;"Disqualified — Free Game",OR(INDEX('Game Records'!$E:$E,$H143)="",LOWER(INDEX('Game Records'!$E:$E,$H143)&amp;"")="n/a")),"Game Type; ","")&amp;IF(INDEX('Game Records'!$F:$F,$H143)="","Payment Type; ","")&amp;IF(AND(INDEX('Game Records'!$U:$U,$H143)&lt;&gt;"Subscription",INDEX('Game Records'!$U:$U,$H143)&lt;&gt;"Free Game",INDEX('Game Records'!$U:$U,$H143)&lt;&gt;"Disqualified — Free Game",INDEX('Game Records'!$G:$G,$H143)=""),"Gross Pot; ","")&amp;IF(AND(INDEX('Game Records'!$U:$U,$H143)&lt;&gt;"Free Game",INDEX('Game Records'!$U:$U,$H143)&lt;&gt;"Disqualified — Free Game",INDEX('Game Records'!$H:$H,$H143)=""),"Entry Fee; ","")&amp;IF(AND(INDEX('Game Records'!$U:$U,$H143)&lt;&gt;"Subscription",INDEX('Game Records'!$U:$U,$H143)&lt;&gt;"Free Game",INDEX('Game Records'!$U:$U,$H143)&lt;&gt;"Disqualified — Free Game",INDEX('Game Records'!$I:$I,$H143)=""),"Eligible Players; ","")&amp;IF(AND(INDEX('Game Records'!$U:$U,$H143)&lt;&gt;"Subscription",INDEX('Game Records'!$U:$U,$H143)&lt;&gt;"Free Game",INDEX('Game Records'!$U:$U,$H143)&lt;&gt;"Disqualified — Free Game",INDEX('Game Records'!$J:$J,$H143)=""),"Total Players; ","")&amp;IF(AND(LOWER(INDEX('Game Records'!$D:$D,$H143)&amp;"")="finalized",LOWER(INDEX('Game Records'!$L:$L,$H143)&amp;"")&lt;&gt;"yes",INDEX('Game Records'!$U:$U,$H143)&lt;&gt;"Subscription",INDEX('Game Records'!$U:$U,$H143)&lt;&gt;"Free Game",INDEX('Game Records'!$U:$U,$H143)&lt;&gt;"Disqualified — Free Game",INDEX('Game Records'!$K:$K,$H143)=""),"Final Payout; ","")&amp;IF(AND(LOWER(INDEX('Game Records'!$D:$D,$H143)&amp;"")="finalized",INDEX('Game Records'!$U:$U,$H143)&lt;&gt;"Subscription",INDEX('Game Records'!$U:$U,$H143)&lt;&gt;"Free Game",INDEX('Game Records'!$U:$U,$H143)&lt;&gt;"Disqualified — Free Game",OR(INDEX('Game Records'!$L:$L,$H143)="",LOWER(INDEX('Game Records'!$L:$L,$H143)&amp;"")="n/a")),"Disqualified Status; ",""))</f>
        <v/>
      </c>
      <c r="G143" s="23" t="str">
        <f t="array" ref="G143">IF($H143="","",IFERROR(INDEX('Game Records'!$M:$M,$H143),""))</f>
        <v/>
      </c>
      <c r="H143" s="3"/>
      <c r="I143" s="3"/>
      <c r="J143" s="3"/>
    </row>
    <row r="144" ht="24.0" customHeight="1">
      <c r="A144" s="18" t="str">
        <f t="shared" si="1"/>
        <v/>
      </c>
      <c r="B144" s="18" t="str">
        <f t="shared" si="2"/>
        <v/>
      </c>
      <c r="C144" s="23" t="str">
        <f t="array" ref="C144">IF($H144="","",IFERROR(INDEX('Game Records'!$A:$A,$H144),""))</f>
        <v/>
      </c>
      <c r="D144" s="23" t="str">
        <f t="array" ref="D144">IF($H144="","",IFERROR(INDEX('Game Records'!$U:$U,$H144),""))</f>
        <v/>
      </c>
      <c r="E144" s="23" t="str">
        <f t="array" ref="E144">IF($H144="","",LET(r,$H144,mode,LOWER(INDEX('Game Records'!$D:$D,r)&amp;""),endDate,INDEX('Game Records'!$C:$C,r),IF(mode="estimate",IF(endDate="","Estimate — End Date missing",IF(NOT(ISNUMBER(endDate)),"Estimate — Check End Date",IF(INT(endDate)&gt;=TODAY(),"In Progress — ends "&amp;TEXT(endDate,"mmm d, yyyy"),"Ready to Finalize"))),IF($F144="","No Highlighted Fields","Highlighted Fields Present"))))</f>
        <v/>
      </c>
      <c r="F144" s="23" t="str">
        <f t="array" ref="F144">IF($H144="","",IF(OR(NOT(_xlfn.ISFORMULA(INDEX('Game Records'!$N:$N,$H144))),NOT(_xlfn.ISFORMULA(INDEX('Game Records'!$O:$O,$H144))),NOT(_xlfn.ISFORMULA(INDEX('Game Records'!$P:$P,$H144))),NOT(_xlfn.ISFORMULA(INDEX('Game Records'!$Q:$Q,$H144))),NOT(_xlfn.ISFORMULA(INDEX('Game Records'!$R:$R,$H144))),NOT(_xlfn.ISFORMULA(INDEX('Game Records'!$S:$S,$H144))),NOT(_xlfn.ISFORMULA(INDEX('Game Records'!$T:$T,$H144))),NOT(_xlfn.ISFORMULA(INDEX('Game Records'!$U:$U,$H144))),NOT(_xlfn.ISFORMULA(INDEX('Game Records'!$V:$V,$H144))),NOT(_xlfn.ISFORMULA(INDEX('Game Records'!$W:$W,$H144))),NOT(_xlfn.ISFORMULA(INDEX('Game Records'!$X:$X,$H144))),NOT(_xlfn.ISFORMULA(INDEX('Game Records'!$Y:$Y,$H144))),NOT(_xlfn.ISFORMULA(INDEX('Game Records'!$Z:$Z,$H144)))),"","")&amp;IF(INDEX('Game Records'!$B:$B,$H144)="","Start Date; ","")&amp;IF(INDEX('Game Records'!$C:$C,$H144)="","End Date; ","")&amp;IF(AND(INDEX('Game Records'!$U:$U,$H144)&lt;&gt;"Subscription",INDEX('Game Records'!$U:$U,$H144)&lt;&gt;"Free Game",INDEX('Game Records'!$U:$U,$H144)&lt;&gt;"Disqualified — Free Game",OR(INDEX('Game Records'!$D:$D,$H144)="",LOWER(INDEX('Game Records'!$D:$D,$H144)&amp;"")="n/a")),"Entry Mode; ","")&amp;IF(AND(INDEX('Game Records'!$U:$U,$H144)&lt;&gt;"Subscription",INDEX('Game Records'!$U:$U,$H144)&lt;&gt;"Free Game",INDEX('Game Records'!$U:$U,$H144)&lt;&gt;"Disqualified — Free Game",OR(INDEX('Game Records'!$E:$E,$H144)="",LOWER(INDEX('Game Records'!$E:$E,$H144)&amp;"")="n/a")),"Game Type; ","")&amp;IF(INDEX('Game Records'!$F:$F,$H144)="","Payment Type; ","")&amp;IF(AND(INDEX('Game Records'!$U:$U,$H144)&lt;&gt;"Subscription",INDEX('Game Records'!$U:$U,$H144)&lt;&gt;"Free Game",INDEX('Game Records'!$U:$U,$H144)&lt;&gt;"Disqualified — Free Game",INDEX('Game Records'!$G:$G,$H144)=""),"Gross Pot; ","")&amp;IF(AND(INDEX('Game Records'!$U:$U,$H144)&lt;&gt;"Free Game",INDEX('Game Records'!$U:$U,$H144)&lt;&gt;"Disqualified — Free Game",INDEX('Game Records'!$H:$H,$H144)=""),"Entry Fee; ","")&amp;IF(AND(INDEX('Game Records'!$U:$U,$H144)&lt;&gt;"Subscription",INDEX('Game Records'!$U:$U,$H144)&lt;&gt;"Free Game",INDEX('Game Records'!$U:$U,$H144)&lt;&gt;"Disqualified — Free Game",INDEX('Game Records'!$I:$I,$H144)=""),"Eligible Players; ","")&amp;IF(AND(INDEX('Game Records'!$U:$U,$H144)&lt;&gt;"Subscription",INDEX('Game Records'!$U:$U,$H144)&lt;&gt;"Free Game",INDEX('Game Records'!$U:$U,$H144)&lt;&gt;"Disqualified — Free Game",INDEX('Game Records'!$J:$J,$H144)=""),"Total Players; ","")&amp;IF(AND(LOWER(INDEX('Game Records'!$D:$D,$H144)&amp;"")="finalized",LOWER(INDEX('Game Records'!$L:$L,$H144)&amp;"")&lt;&gt;"yes",INDEX('Game Records'!$U:$U,$H144)&lt;&gt;"Subscription",INDEX('Game Records'!$U:$U,$H144)&lt;&gt;"Free Game",INDEX('Game Records'!$U:$U,$H144)&lt;&gt;"Disqualified — Free Game",INDEX('Game Records'!$K:$K,$H144)=""),"Final Payout; ","")&amp;IF(AND(LOWER(INDEX('Game Records'!$D:$D,$H144)&amp;"")="finalized",INDEX('Game Records'!$U:$U,$H144)&lt;&gt;"Subscription",INDEX('Game Records'!$U:$U,$H144)&lt;&gt;"Free Game",INDEX('Game Records'!$U:$U,$H144)&lt;&gt;"Disqualified — Free Game",OR(INDEX('Game Records'!$L:$L,$H144)="",LOWER(INDEX('Game Records'!$L:$L,$H144)&amp;"")="n/a")),"Disqualified Status; ",""))</f>
        <v/>
      </c>
      <c r="G144" s="23" t="str">
        <f t="array" ref="G144">IF($H144="","",IFERROR(INDEX('Game Records'!$M:$M,$H144),""))</f>
        <v/>
      </c>
      <c r="H144" s="3"/>
      <c r="I144" s="3"/>
      <c r="J144" s="3"/>
    </row>
    <row r="145" ht="24.0" customHeight="1">
      <c r="A145" s="18" t="str">
        <f t="shared" si="1"/>
        <v/>
      </c>
      <c r="B145" s="18" t="str">
        <f t="shared" si="2"/>
        <v/>
      </c>
      <c r="C145" s="23" t="str">
        <f t="array" ref="C145">IF($H145="","",IFERROR(INDEX('Game Records'!$A:$A,$H145),""))</f>
        <v/>
      </c>
      <c r="D145" s="23" t="str">
        <f t="array" ref="D145">IF($H145="","",IFERROR(INDEX('Game Records'!$U:$U,$H145),""))</f>
        <v/>
      </c>
      <c r="E145" s="23" t="str">
        <f t="array" ref="E145">IF($H145="","",LET(r,$H145,mode,LOWER(INDEX('Game Records'!$D:$D,r)&amp;""),endDate,INDEX('Game Records'!$C:$C,r),IF(mode="estimate",IF(endDate="","Estimate — End Date missing",IF(NOT(ISNUMBER(endDate)),"Estimate — Check End Date",IF(INT(endDate)&gt;=TODAY(),"In Progress — ends "&amp;TEXT(endDate,"mmm d, yyyy"),"Ready to Finalize"))),IF($F145="","No Highlighted Fields","Highlighted Fields Present"))))</f>
        <v/>
      </c>
      <c r="F145" s="23" t="str">
        <f t="array" ref="F145">IF($H145="","",IF(OR(NOT(_xlfn.ISFORMULA(INDEX('Game Records'!$N:$N,$H145))),NOT(_xlfn.ISFORMULA(INDEX('Game Records'!$O:$O,$H145))),NOT(_xlfn.ISFORMULA(INDEX('Game Records'!$P:$P,$H145))),NOT(_xlfn.ISFORMULA(INDEX('Game Records'!$Q:$Q,$H145))),NOT(_xlfn.ISFORMULA(INDEX('Game Records'!$R:$R,$H145))),NOT(_xlfn.ISFORMULA(INDEX('Game Records'!$S:$S,$H145))),NOT(_xlfn.ISFORMULA(INDEX('Game Records'!$T:$T,$H145))),NOT(_xlfn.ISFORMULA(INDEX('Game Records'!$U:$U,$H145))),NOT(_xlfn.ISFORMULA(INDEX('Game Records'!$V:$V,$H145))),NOT(_xlfn.ISFORMULA(INDEX('Game Records'!$W:$W,$H145))),NOT(_xlfn.ISFORMULA(INDEX('Game Records'!$X:$X,$H145))),NOT(_xlfn.ISFORMULA(INDEX('Game Records'!$Y:$Y,$H145))),NOT(_xlfn.ISFORMULA(INDEX('Game Records'!$Z:$Z,$H145)))),"","")&amp;IF(INDEX('Game Records'!$B:$B,$H145)="","Start Date; ","")&amp;IF(INDEX('Game Records'!$C:$C,$H145)="","End Date; ","")&amp;IF(AND(INDEX('Game Records'!$U:$U,$H145)&lt;&gt;"Subscription",INDEX('Game Records'!$U:$U,$H145)&lt;&gt;"Free Game",INDEX('Game Records'!$U:$U,$H145)&lt;&gt;"Disqualified — Free Game",OR(INDEX('Game Records'!$D:$D,$H145)="",LOWER(INDEX('Game Records'!$D:$D,$H145)&amp;"")="n/a")),"Entry Mode; ","")&amp;IF(AND(INDEX('Game Records'!$U:$U,$H145)&lt;&gt;"Subscription",INDEX('Game Records'!$U:$U,$H145)&lt;&gt;"Free Game",INDEX('Game Records'!$U:$U,$H145)&lt;&gt;"Disqualified — Free Game",OR(INDEX('Game Records'!$E:$E,$H145)="",LOWER(INDEX('Game Records'!$E:$E,$H145)&amp;"")="n/a")),"Game Type; ","")&amp;IF(INDEX('Game Records'!$F:$F,$H145)="","Payment Type; ","")&amp;IF(AND(INDEX('Game Records'!$U:$U,$H145)&lt;&gt;"Subscription",INDEX('Game Records'!$U:$U,$H145)&lt;&gt;"Free Game",INDEX('Game Records'!$U:$U,$H145)&lt;&gt;"Disqualified — Free Game",INDEX('Game Records'!$G:$G,$H145)=""),"Gross Pot; ","")&amp;IF(AND(INDEX('Game Records'!$U:$U,$H145)&lt;&gt;"Free Game",INDEX('Game Records'!$U:$U,$H145)&lt;&gt;"Disqualified — Free Game",INDEX('Game Records'!$H:$H,$H145)=""),"Entry Fee; ","")&amp;IF(AND(INDEX('Game Records'!$U:$U,$H145)&lt;&gt;"Subscription",INDEX('Game Records'!$U:$U,$H145)&lt;&gt;"Free Game",INDEX('Game Records'!$U:$U,$H145)&lt;&gt;"Disqualified — Free Game",INDEX('Game Records'!$I:$I,$H145)=""),"Eligible Players; ","")&amp;IF(AND(INDEX('Game Records'!$U:$U,$H145)&lt;&gt;"Subscription",INDEX('Game Records'!$U:$U,$H145)&lt;&gt;"Free Game",INDEX('Game Records'!$U:$U,$H145)&lt;&gt;"Disqualified — Free Game",INDEX('Game Records'!$J:$J,$H145)=""),"Total Players; ","")&amp;IF(AND(LOWER(INDEX('Game Records'!$D:$D,$H145)&amp;"")="finalized",LOWER(INDEX('Game Records'!$L:$L,$H145)&amp;"")&lt;&gt;"yes",INDEX('Game Records'!$U:$U,$H145)&lt;&gt;"Subscription",INDEX('Game Records'!$U:$U,$H145)&lt;&gt;"Free Game",INDEX('Game Records'!$U:$U,$H145)&lt;&gt;"Disqualified — Free Game",INDEX('Game Records'!$K:$K,$H145)=""),"Final Payout; ","")&amp;IF(AND(LOWER(INDEX('Game Records'!$D:$D,$H145)&amp;"")="finalized",INDEX('Game Records'!$U:$U,$H145)&lt;&gt;"Subscription",INDEX('Game Records'!$U:$U,$H145)&lt;&gt;"Free Game",INDEX('Game Records'!$U:$U,$H145)&lt;&gt;"Disqualified — Free Game",OR(INDEX('Game Records'!$L:$L,$H145)="",LOWER(INDEX('Game Records'!$L:$L,$H145)&amp;"")="n/a")),"Disqualified Status; ",""))</f>
        <v/>
      </c>
      <c r="G145" s="23" t="str">
        <f t="array" ref="G145">IF($H145="","",IFERROR(INDEX('Game Records'!$M:$M,$H145),""))</f>
        <v/>
      </c>
      <c r="H145" s="3"/>
      <c r="I145" s="3"/>
      <c r="J145" s="3"/>
    </row>
    <row r="146" ht="24.0" customHeight="1">
      <c r="A146" s="18" t="str">
        <f t="shared" si="1"/>
        <v/>
      </c>
      <c r="B146" s="18" t="str">
        <f t="shared" si="2"/>
        <v/>
      </c>
      <c r="C146" s="23" t="str">
        <f t="array" ref="C146">IF($H146="","",IFERROR(INDEX('Game Records'!$A:$A,$H146),""))</f>
        <v/>
      </c>
      <c r="D146" s="23" t="str">
        <f t="array" ref="D146">IF($H146="","",IFERROR(INDEX('Game Records'!$U:$U,$H146),""))</f>
        <v/>
      </c>
      <c r="E146" s="23" t="str">
        <f t="array" ref="E146">IF($H146="","",LET(r,$H146,mode,LOWER(INDEX('Game Records'!$D:$D,r)&amp;""),endDate,INDEX('Game Records'!$C:$C,r),IF(mode="estimate",IF(endDate="","Estimate — End Date missing",IF(NOT(ISNUMBER(endDate)),"Estimate — Check End Date",IF(INT(endDate)&gt;=TODAY(),"In Progress — ends "&amp;TEXT(endDate,"mmm d, yyyy"),"Ready to Finalize"))),IF($F146="","No Highlighted Fields","Highlighted Fields Present"))))</f>
        <v/>
      </c>
      <c r="F146" s="23" t="str">
        <f t="array" ref="F146">IF($H146="","",IF(OR(NOT(_xlfn.ISFORMULA(INDEX('Game Records'!$N:$N,$H146))),NOT(_xlfn.ISFORMULA(INDEX('Game Records'!$O:$O,$H146))),NOT(_xlfn.ISFORMULA(INDEX('Game Records'!$P:$P,$H146))),NOT(_xlfn.ISFORMULA(INDEX('Game Records'!$Q:$Q,$H146))),NOT(_xlfn.ISFORMULA(INDEX('Game Records'!$R:$R,$H146))),NOT(_xlfn.ISFORMULA(INDEX('Game Records'!$S:$S,$H146))),NOT(_xlfn.ISFORMULA(INDEX('Game Records'!$T:$T,$H146))),NOT(_xlfn.ISFORMULA(INDEX('Game Records'!$U:$U,$H146))),NOT(_xlfn.ISFORMULA(INDEX('Game Records'!$V:$V,$H146))),NOT(_xlfn.ISFORMULA(INDEX('Game Records'!$W:$W,$H146))),NOT(_xlfn.ISFORMULA(INDEX('Game Records'!$X:$X,$H146))),NOT(_xlfn.ISFORMULA(INDEX('Game Records'!$Y:$Y,$H146))),NOT(_xlfn.ISFORMULA(INDEX('Game Records'!$Z:$Z,$H146)))),"","")&amp;IF(INDEX('Game Records'!$B:$B,$H146)="","Start Date; ","")&amp;IF(INDEX('Game Records'!$C:$C,$H146)="","End Date; ","")&amp;IF(AND(INDEX('Game Records'!$U:$U,$H146)&lt;&gt;"Subscription",INDEX('Game Records'!$U:$U,$H146)&lt;&gt;"Free Game",INDEX('Game Records'!$U:$U,$H146)&lt;&gt;"Disqualified — Free Game",OR(INDEX('Game Records'!$D:$D,$H146)="",LOWER(INDEX('Game Records'!$D:$D,$H146)&amp;"")="n/a")),"Entry Mode; ","")&amp;IF(AND(INDEX('Game Records'!$U:$U,$H146)&lt;&gt;"Subscription",INDEX('Game Records'!$U:$U,$H146)&lt;&gt;"Free Game",INDEX('Game Records'!$U:$U,$H146)&lt;&gt;"Disqualified — Free Game",OR(INDEX('Game Records'!$E:$E,$H146)="",LOWER(INDEX('Game Records'!$E:$E,$H146)&amp;"")="n/a")),"Game Type; ","")&amp;IF(INDEX('Game Records'!$F:$F,$H146)="","Payment Type; ","")&amp;IF(AND(INDEX('Game Records'!$U:$U,$H146)&lt;&gt;"Subscription",INDEX('Game Records'!$U:$U,$H146)&lt;&gt;"Free Game",INDEX('Game Records'!$U:$U,$H146)&lt;&gt;"Disqualified — Free Game",INDEX('Game Records'!$G:$G,$H146)=""),"Gross Pot; ","")&amp;IF(AND(INDEX('Game Records'!$U:$U,$H146)&lt;&gt;"Free Game",INDEX('Game Records'!$U:$U,$H146)&lt;&gt;"Disqualified — Free Game",INDEX('Game Records'!$H:$H,$H146)=""),"Entry Fee; ","")&amp;IF(AND(INDEX('Game Records'!$U:$U,$H146)&lt;&gt;"Subscription",INDEX('Game Records'!$U:$U,$H146)&lt;&gt;"Free Game",INDEX('Game Records'!$U:$U,$H146)&lt;&gt;"Disqualified — Free Game",INDEX('Game Records'!$I:$I,$H146)=""),"Eligible Players; ","")&amp;IF(AND(INDEX('Game Records'!$U:$U,$H146)&lt;&gt;"Subscription",INDEX('Game Records'!$U:$U,$H146)&lt;&gt;"Free Game",INDEX('Game Records'!$U:$U,$H146)&lt;&gt;"Disqualified — Free Game",INDEX('Game Records'!$J:$J,$H146)=""),"Total Players; ","")&amp;IF(AND(LOWER(INDEX('Game Records'!$D:$D,$H146)&amp;"")="finalized",LOWER(INDEX('Game Records'!$L:$L,$H146)&amp;"")&lt;&gt;"yes",INDEX('Game Records'!$U:$U,$H146)&lt;&gt;"Subscription",INDEX('Game Records'!$U:$U,$H146)&lt;&gt;"Free Game",INDEX('Game Records'!$U:$U,$H146)&lt;&gt;"Disqualified — Free Game",INDEX('Game Records'!$K:$K,$H146)=""),"Final Payout; ","")&amp;IF(AND(LOWER(INDEX('Game Records'!$D:$D,$H146)&amp;"")="finalized",INDEX('Game Records'!$U:$U,$H146)&lt;&gt;"Subscription",INDEX('Game Records'!$U:$U,$H146)&lt;&gt;"Free Game",INDEX('Game Records'!$U:$U,$H146)&lt;&gt;"Disqualified — Free Game",OR(INDEX('Game Records'!$L:$L,$H146)="",LOWER(INDEX('Game Records'!$L:$L,$H146)&amp;"")="n/a")),"Disqualified Status; ",""))</f>
        <v/>
      </c>
      <c r="G146" s="23" t="str">
        <f t="array" ref="G146">IF($H146="","",IFERROR(INDEX('Game Records'!$M:$M,$H146),""))</f>
        <v/>
      </c>
      <c r="H146" s="3"/>
      <c r="I146" s="3"/>
      <c r="J146" s="3"/>
    </row>
    <row r="147" ht="24.0" customHeight="1">
      <c r="A147" s="18" t="str">
        <f t="shared" si="1"/>
        <v/>
      </c>
      <c r="B147" s="18" t="str">
        <f t="shared" si="2"/>
        <v/>
      </c>
      <c r="C147" s="23" t="str">
        <f t="array" ref="C147">IF($H147="","",IFERROR(INDEX('Game Records'!$A:$A,$H147),""))</f>
        <v/>
      </c>
      <c r="D147" s="23" t="str">
        <f t="array" ref="D147">IF($H147="","",IFERROR(INDEX('Game Records'!$U:$U,$H147),""))</f>
        <v/>
      </c>
      <c r="E147" s="23" t="str">
        <f t="array" ref="E147">IF($H147="","",LET(r,$H147,mode,LOWER(INDEX('Game Records'!$D:$D,r)&amp;""),endDate,INDEX('Game Records'!$C:$C,r),IF(mode="estimate",IF(endDate="","Estimate — End Date missing",IF(NOT(ISNUMBER(endDate)),"Estimate — Check End Date",IF(INT(endDate)&gt;=TODAY(),"In Progress — ends "&amp;TEXT(endDate,"mmm d, yyyy"),"Ready to Finalize"))),IF($F147="","No Highlighted Fields","Highlighted Fields Present"))))</f>
        <v/>
      </c>
      <c r="F147" s="23" t="str">
        <f t="array" ref="F147">IF($H147="","",IF(OR(NOT(_xlfn.ISFORMULA(INDEX('Game Records'!$N:$N,$H147))),NOT(_xlfn.ISFORMULA(INDEX('Game Records'!$O:$O,$H147))),NOT(_xlfn.ISFORMULA(INDEX('Game Records'!$P:$P,$H147))),NOT(_xlfn.ISFORMULA(INDEX('Game Records'!$Q:$Q,$H147))),NOT(_xlfn.ISFORMULA(INDEX('Game Records'!$R:$R,$H147))),NOT(_xlfn.ISFORMULA(INDEX('Game Records'!$S:$S,$H147))),NOT(_xlfn.ISFORMULA(INDEX('Game Records'!$T:$T,$H147))),NOT(_xlfn.ISFORMULA(INDEX('Game Records'!$U:$U,$H147))),NOT(_xlfn.ISFORMULA(INDEX('Game Records'!$V:$V,$H147))),NOT(_xlfn.ISFORMULA(INDEX('Game Records'!$W:$W,$H147))),NOT(_xlfn.ISFORMULA(INDEX('Game Records'!$X:$X,$H147))),NOT(_xlfn.ISFORMULA(INDEX('Game Records'!$Y:$Y,$H147))),NOT(_xlfn.ISFORMULA(INDEX('Game Records'!$Z:$Z,$H147)))),"","")&amp;IF(INDEX('Game Records'!$B:$B,$H147)="","Start Date; ","")&amp;IF(INDEX('Game Records'!$C:$C,$H147)="","End Date; ","")&amp;IF(AND(INDEX('Game Records'!$U:$U,$H147)&lt;&gt;"Subscription",INDEX('Game Records'!$U:$U,$H147)&lt;&gt;"Free Game",INDEX('Game Records'!$U:$U,$H147)&lt;&gt;"Disqualified — Free Game",OR(INDEX('Game Records'!$D:$D,$H147)="",LOWER(INDEX('Game Records'!$D:$D,$H147)&amp;"")="n/a")),"Entry Mode; ","")&amp;IF(AND(INDEX('Game Records'!$U:$U,$H147)&lt;&gt;"Subscription",INDEX('Game Records'!$U:$U,$H147)&lt;&gt;"Free Game",INDEX('Game Records'!$U:$U,$H147)&lt;&gt;"Disqualified — Free Game",OR(INDEX('Game Records'!$E:$E,$H147)="",LOWER(INDEX('Game Records'!$E:$E,$H147)&amp;"")="n/a")),"Game Type; ","")&amp;IF(INDEX('Game Records'!$F:$F,$H147)="","Payment Type; ","")&amp;IF(AND(INDEX('Game Records'!$U:$U,$H147)&lt;&gt;"Subscription",INDEX('Game Records'!$U:$U,$H147)&lt;&gt;"Free Game",INDEX('Game Records'!$U:$U,$H147)&lt;&gt;"Disqualified — Free Game",INDEX('Game Records'!$G:$G,$H147)=""),"Gross Pot; ","")&amp;IF(AND(INDEX('Game Records'!$U:$U,$H147)&lt;&gt;"Free Game",INDEX('Game Records'!$U:$U,$H147)&lt;&gt;"Disqualified — Free Game",INDEX('Game Records'!$H:$H,$H147)=""),"Entry Fee; ","")&amp;IF(AND(INDEX('Game Records'!$U:$U,$H147)&lt;&gt;"Subscription",INDEX('Game Records'!$U:$U,$H147)&lt;&gt;"Free Game",INDEX('Game Records'!$U:$U,$H147)&lt;&gt;"Disqualified — Free Game",INDEX('Game Records'!$I:$I,$H147)=""),"Eligible Players; ","")&amp;IF(AND(INDEX('Game Records'!$U:$U,$H147)&lt;&gt;"Subscription",INDEX('Game Records'!$U:$U,$H147)&lt;&gt;"Free Game",INDEX('Game Records'!$U:$U,$H147)&lt;&gt;"Disqualified — Free Game",INDEX('Game Records'!$J:$J,$H147)=""),"Total Players; ","")&amp;IF(AND(LOWER(INDEX('Game Records'!$D:$D,$H147)&amp;"")="finalized",LOWER(INDEX('Game Records'!$L:$L,$H147)&amp;"")&lt;&gt;"yes",INDEX('Game Records'!$U:$U,$H147)&lt;&gt;"Subscription",INDEX('Game Records'!$U:$U,$H147)&lt;&gt;"Free Game",INDEX('Game Records'!$U:$U,$H147)&lt;&gt;"Disqualified — Free Game",INDEX('Game Records'!$K:$K,$H147)=""),"Final Payout; ","")&amp;IF(AND(LOWER(INDEX('Game Records'!$D:$D,$H147)&amp;"")="finalized",INDEX('Game Records'!$U:$U,$H147)&lt;&gt;"Subscription",INDEX('Game Records'!$U:$U,$H147)&lt;&gt;"Free Game",INDEX('Game Records'!$U:$U,$H147)&lt;&gt;"Disqualified — Free Game",OR(INDEX('Game Records'!$L:$L,$H147)="",LOWER(INDEX('Game Records'!$L:$L,$H147)&amp;"")="n/a")),"Disqualified Status; ",""))</f>
        <v/>
      </c>
      <c r="G147" s="23" t="str">
        <f t="array" ref="G147">IF($H147="","",IFERROR(INDEX('Game Records'!$M:$M,$H147),""))</f>
        <v/>
      </c>
      <c r="H147" s="3"/>
      <c r="I147" s="3"/>
      <c r="J147" s="3"/>
    </row>
    <row r="148" ht="24.0" customHeight="1">
      <c r="A148" s="18" t="str">
        <f t="shared" si="1"/>
        <v/>
      </c>
      <c r="B148" s="18" t="str">
        <f t="shared" si="2"/>
        <v/>
      </c>
      <c r="C148" s="23" t="str">
        <f t="array" ref="C148">IF($H148="","",IFERROR(INDEX('Game Records'!$A:$A,$H148),""))</f>
        <v/>
      </c>
      <c r="D148" s="23" t="str">
        <f t="array" ref="D148">IF($H148="","",IFERROR(INDEX('Game Records'!$U:$U,$H148),""))</f>
        <v/>
      </c>
      <c r="E148" s="23" t="str">
        <f t="array" ref="E148">IF($H148="","",LET(r,$H148,mode,LOWER(INDEX('Game Records'!$D:$D,r)&amp;""),endDate,INDEX('Game Records'!$C:$C,r),IF(mode="estimate",IF(endDate="","Estimate — End Date missing",IF(NOT(ISNUMBER(endDate)),"Estimate — Check End Date",IF(INT(endDate)&gt;=TODAY(),"In Progress — ends "&amp;TEXT(endDate,"mmm d, yyyy"),"Ready to Finalize"))),IF($F148="","No Highlighted Fields","Highlighted Fields Present"))))</f>
        <v/>
      </c>
      <c r="F148" s="23" t="str">
        <f t="array" ref="F148">IF($H148="","",IF(OR(NOT(_xlfn.ISFORMULA(INDEX('Game Records'!$N:$N,$H148))),NOT(_xlfn.ISFORMULA(INDEX('Game Records'!$O:$O,$H148))),NOT(_xlfn.ISFORMULA(INDEX('Game Records'!$P:$P,$H148))),NOT(_xlfn.ISFORMULA(INDEX('Game Records'!$Q:$Q,$H148))),NOT(_xlfn.ISFORMULA(INDEX('Game Records'!$R:$R,$H148))),NOT(_xlfn.ISFORMULA(INDEX('Game Records'!$S:$S,$H148))),NOT(_xlfn.ISFORMULA(INDEX('Game Records'!$T:$T,$H148))),NOT(_xlfn.ISFORMULA(INDEX('Game Records'!$U:$U,$H148))),NOT(_xlfn.ISFORMULA(INDEX('Game Records'!$V:$V,$H148))),NOT(_xlfn.ISFORMULA(INDEX('Game Records'!$W:$W,$H148))),NOT(_xlfn.ISFORMULA(INDEX('Game Records'!$X:$X,$H148))),NOT(_xlfn.ISFORMULA(INDEX('Game Records'!$Y:$Y,$H148))),NOT(_xlfn.ISFORMULA(INDEX('Game Records'!$Z:$Z,$H148)))),"","")&amp;IF(INDEX('Game Records'!$B:$B,$H148)="","Start Date; ","")&amp;IF(INDEX('Game Records'!$C:$C,$H148)="","End Date; ","")&amp;IF(AND(INDEX('Game Records'!$U:$U,$H148)&lt;&gt;"Subscription",INDEX('Game Records'!$U:$U,$H148)&lt;&gt;"Free Game",INDEX('Game Records'!$U:$U,$H148)&lt;&gt;"Disqualified — Free Game",OR(INDEX('Game Records'!$D:$D,$H148)="",LOWER(INDEX('Game Records'!$D:$D,$H148)&amp;"")="n/a")),"Entry Mode; ","")&amp;IF(AND(INDEX('Game Records'!$U:$U,$H148)&lt;&gt;"Subscription",INDEX('Game Records'!$U:$U,$H148)&lt;&gt;"Free Game",INDEX('Game Records'!$U:$U,$H148)&lt;&gt;"Disqualified — Free Game",OR(INDEX('Game Records'!$E:$E,$H148)="",LOWER(INDEX('Game Records'!$E:$E,$H148)&amp;"")="n/a")),"Game Type; ","")&amp;IF(INDEX('Game Records'!$F:$F,$H148)="","Payment Type; ","")&amp;IF(AND(INDEX('Game Records'!$U:$U,$H148)&lt;&gt;"Subscription",INDEX('Game Records'!$U:$U,$H148)&lt;&gt;"Free Game",INDEX('Game Records'!$U:$U,$H148)&lt;&gt;"Disqualified — Free Game",INDEX('Game Records'!$G:$G,$H148)=""),"Gross Pot; ","")&amp;IF(AND(INDEX('Game Records'!$U:$U,$H148)&lt;&gt;"Free Game",INDEX('Game Records'!$U:$U,$H148)&lt;&gt;"Disqualified — Free Game",INDEX('Game Records'!$H:$H,$H148)=""),"Entry Fee; ","")&amp;IF(AND(INDEX('Game Records'!$U:$U,$H148)&lt;&gt;"Subscription",INDEX('Game Records'!$U:$U,$H148)&lt;&gt;"Free Game",INDEX('Game Records'!$U:$U,$H148)&lt;&gt;"Disqualified — Free Game",INDEX('Game Records'!$I:$I,$H148)=""),"Eligible Players; ","")&amp;IF(AND(INDEX('Game Records'!$U:$U,$H148)&lt;&gt;"Subscription",INDEX('Game Records'!$U:$U,$H148)&lt;&gt;"Free Game",INDEX('Game Records'!$U:$U,$H148)&lt;&gt;"Disqualified — Free Game",INDEX('Game Records'!$J:$J,$H148)=""),"Total Players; ","")&amp;IF(AND(LOWER(INDEX('Game Records'!$D:$D,$H148)&amp;"")="finalized",LOWER(INDEX('Game Records'!$L:$L,$H148)&amp;"")&lt;&gt;"yes",INDEX('Game Records'!$U:$U,$H148)&lt;&gt;"Subscription",INDEX('Game Records'!$U:$U,$H148)&lt;&gt;"Free Game",INDEX('Game Records'!$U:$U,$H148)&lt;&gt;"Disqualified — Free Game",INDEX('Game Records'!$K:$K,$H148)=""),"Final Payout; ","")&amp;IF(AND(LOWER(INDEX('Game Records'!$D:$D,$H148)&amp;"")="finalized",INDEX('Game Records'!$U:$U,$H148)&lt;&gt;"Subscription",INDEX('Game Records'!$U:$U,$H148)&lt;&gt;"Free Game",INDEX('Game Records'!$U:$U,$H148)&lt;&gt;"Disqualified — Free Game",OR(INDEX('Game Records'!$L:$L,$H148)="",LOWER(INDEX('Game Records'!$L:$L,$H148)&amp;"")="n/a")),"Disqualified Status; ",""))</f>
        <v/>
      </c>
      <c r="G148" s="23" t="str">
        <f t="array" ref="G148">IF($H148="","",IFERROR(INDEX('Game Records'!$M:$M,$H148),""))</f>
        <v/>
      </c>
      <c r="H148" s="3"/>
      <c r="I148" s="3"/>
      <c r="J148" s="3"/>
    </row>
    <row r="149" ht="24.0" customHeight="1">
      <c r="A149" s="18" t="str">
        <f t="shared" si="1"/>
        <v/>
      </c>
      <c r="B149" s="18" t="str">
        <f t="shared" si="2"/>
        <v/>
      </c>
      <c r="C149" s="23" t="str">
        <f t="array" ref="C149">IF($H149="","",IFERROR(INDEX('Game Records'!$A:$A,$H149),""))</f>
        <v/>
      </c>
      <c r="D149" s="23" t="str">
        <f t="array" ref="D149">IF($H149="","",IFERROR(INDEX('Game Records'!$U:$U,$H149),""))</f>
        <v/>
      </c>
      <c r="E149" s="23" t="str">
        <f t="array" ref="E149">IF($H149="","",LET(r,$H149,mode,LOWER(INDEX('Game Records'!$D:$D,r)&amp;""),endDate,INDEX('Game Records'!$C:$C,r),IF(mode="estimate",IF(endDate="","Estimate — End Date missing",IF(NOT(ISNUMBER(endDate)),"Estimate — Check End Date",IF(INT(endDate)&gt;=TODAY(),"In Progress — ends "&amp;TEXT(endDate,"mmm d, yyyy"),"Ready to Finalize"))),IF($F149="","No Highlighted Fields","Highlighted Fields Present"))))</f>
        <v/>
      </c>
      <c r="F149" s="23" t="str">
        <f t="array" ref="F149">IF($H149="","",IF(OR(NOT(_xlfn.ISFORMULA(INDEX('Game Records'!$N:$N,$H149))),NOT(_xlfn.ISFORMULA(INDEX('Game Records'!$O:$O,$H149))),NOT(_xlfn.ISFORMULA(INDEX('Game Records'!$P:$P,$H149))),NOT(_xlfn.ISFORMULA(INDEX('Game Records'!$Q:$Q,$H149))),NOT(_xlfn.ISFORMULA(INDEX('Game Records'!$R:$R,$H149))),NOT(_xlfn.ISFORMULA(INDEX('Game Records'!$S:$S,$H149))),NOT(_xlfn.ISFORMULA(INDEX('Game Records'!$T:$T,$H149))),NOT(_xlfn.ISFORMULA(INDEX('Game Records'!$U:$U,$H149))),NOT(_xlfn.ISFORMULA(INDEX('Game Records'!$V:$V,$H149))),NOT(_xlfn.ISFORMULA(INDEX('Game Records'!$W:$W,$H149))),NOT(_xlfn.ISFORMULA(INDEX('Game Records'!$X:$X,$H149))),NOT(_xlfn.ISFORMULA(INDEX('Game Records'!$Y:$Y,$H149))),NOT(_xlfn.ISFORMULA(INDEX('Game Records'!$Z:$Z,$H149)))),"","")&amp;IF(INDEX('Game Records'!$B:$B,$H149)="","Start Date; ","")&amp;IF(INDEX('Game Records'!$C:$C,$H149)="","End Date; ","")&amp;IF(AND(INDEX('Game Records'!$U:$U,$H149)&lt;&gt;"Subscription",INDEX('Game Records'!$U:$U,$H149)&lt;&gt;"Free Game",INDEX('Game Records'!$U:$U,$H149)&lt;&gt;"Disqualified — Free Game",OR(INDEX('Game Records'!$D:$D,$H149)="",LOWER(INDEX('Game Records'!$D:$D,$H149)&amp;"")="n/a")),"Entry Mode; ","")&amp;IF(AND(INDEX('Game Records'!$U:$U,$H149)&lt;&gt;"Subscription",INDEX('Game Records'!$U:$U,$H149)&lt;&gt;"Free Game",INDEX('Game Records'!$U:$U,$H149)&lt;&gt;"Disqualified — Free Game",OR(INDEX('Game Records'!$E:$E,$H149)="",LOWER(INDEX('Game Records'!$E:$E,$H149)&amp;"")="n/a")),"Game Type; ","")&amp;IF(INDEX('Game Records'!$F:$F,$H149)="","Payment Type; ","")&amp;IF(AND(INDEX('Game Records'!$U:$U,$H149)&lt;&gt;"Subscription",INDEX('Game Records'!$U:$U,$H149)&lt;&gt;"Free Game",INDEX('Game Records'!$U:$U,$H149)&lt;&gt;"Disqualified — Free Game",INDEX('Game Records'!$G:$G,$H149)=""),"Gross Pot; ","")&amp;IF(AND(INDEX('Game Records'!$U:$U,$H149)&lt;&gt;"Free Game",INDEX('Game Records'!$U:$U,$H149)&lt;&gt;"Disqualified — Free Game",INDEX('Game Records'!$H:$H,$H149)=""),"Entry Fee; ","")&amp;IF(AND(INDEX('Game Records'!$U:$U,$H149)&lt;&gt;"Subscription",INDEX('Game Records'!$U:$U,$H149)&lt;&gt;"Free Game",INDEX('Game Records'!$U:$U,$H149)&lt;&gt;"Disqualified — Free Game",INDEX('Game Records'!$I:$I,$H149)=""),"Eligible Players; ","")&amp;IF(AND(INDEX('Game Records'!$U:$U,$H149)&lt;&gt;"Subscription",INDEX('Game Records'!$U:$U,$H149)&lt;&gt;"Free Game",INDEX('Game Records'!$U:$U,$H149)&lt;&gt;"Disqualified — Free Game",INDEX('Game Records'!$J:$J,$H149)=""),"Total Players; ","")&amp;IF(AND(LOWER(INDEX('Game Records'!$D:$D,$H149)&amp;"")="finalized",LOWER(INDEX('Game Records'!$L:$L,$H149)&amp;"")&lt;&gt;"yes",INDEX('Game Records'!$U:$U,$H149)&lt;&gt;"Subscription",INDEX('Game Records'!$U:$U,$H149)&lt;&gt;"Free Game",INDEX('Game Records'!$U:$U,$H149)&lt;&gt;"Disqualified — Free Game",INDEX('Game Records'!$K:$K,$H149)=""),"Final Payout; ","")&amp;IF(AND(LOWER(INDEX('Game Records'!$D:$D,$H149)&amp;"")="finalized",INDEX('Game Records'!$U:$U,$H149)&lt;&gt;"Subscription",INDEX('Game Records'!$U:$U,$H149)&lt;&gt;"Free Game",INDEX('Game Records'!$U:$U,$H149)&lt;&gt;"Disqualified — Free Game",OR(INDEX('Game Records'!$L:$L,$H149)="",LOWER(INDEX('Game Records'!$L:$L,$H149)&amp;"")="n/a")),"Disqualified Status; ",""))</f>
        <v/>
      </c>
      <c r="G149" s="23" t="str">
        <f t="array" ref="G149">IF($H149="","",IFERROR(INDEX('Game Records'!$M:$M,$H149),""))</f>
        <v/>
      </c>
      <c r="H149" s="3"/>
      <c r="I149" s="3"/>
      <c r="J149" s="3"/>
    </row>
    <row r="150" ht="24.0" customHeight="1">
      <c r="A150" s="18" t="str">
        <f t="shared" si="1"/>
        <v/>
      </c>
      <c r="B150" s="18" t="str">
        <f t="shared" si="2"/>
        <v/>
      </c>
      <c r="C150" s="23" t="str">
        <f t="array" ref="C150">IF($H150="","",IFERROR(INDEX('Game Records'!$A:$A,$H150),""))</f>
        <v/>
      </c>
      <c r="D150" s="23" t="str">
        <f t="array" ref="D150">IF($H150="","",IFERROR(INDEX('Game Records'!$U:$U,$H150),""))</f>
        <v/>
      </c>
      <c r="E150" s="23" t="str">
        <f t="array" ref="E150">IF($H150="","",LET(r,$H150,mode,LOWER(INDEX('Game Records'!$D:$D,r)&amp;""),endDate,INDEX('Game Records'!$C:$C,r),IF(mode="estimate",IF(endDate="","Estimate — End Date missing",IF(NOT(ISNUMBER(endDate)),"Estimate — Check End Date",IF(INT(endDate)&gt;=TODAY(),"In Progress — ends "&amp;TEXT(endDate,"mmm d, yyyy"),"Ready to Finalize"))),IF($F150="","No Highlighted Fields","Highlighted Fields Present"))))</f>
        <v/>
      </c>
      <c r="F150" s="23" t="str">
        <f t="array" ref="F150">IF($H150="","",IF(OR(NOT(_xlfn.ISFORMULA(INDEX('Game Records'!$N:$N,$H150))),NOT(_xlfn.ISFORMULA(INDEX('Game Records'!$O:$O,$H150))),NOT(_xlfn.ISFORMULA(INDEX('Game Records'!$P:$P,$H150))),NOT(_xlfn.ISFORMULA(INDEX('Game Records'!$Q:$Q,$H150))),NOT(_xlfn.ISFORMULA(INDEX('Game Records'!$R:$R,$H150))),NOT(_xlfn.ISFORMULA(INDEX('Game Records'!$S:$S,$H150))),NOT(_xlfn.ISFORMULA(INDEX('Game Records'!$T:$T,$H150))),NOT(_xlfn.ISFORMULA(INDEX('Game Records'!$U:$U,$H150))),NOT(_xlfn.ISFORMULA(INDEX('Game Records'!$V:$V,$H150))),NOT(_xlfn.ISFORMULA(INDEX('Game Records'!$W:$W,$H150))),NOT(_xlfn.ISFORMULA(INDEX('Game Records'!$X:$X,$H150))),NOT(_xlfn.ISFORMULA(INDEX('Game Records'!$Y:$Y,$H150))),NOT(_xlfn.ISFORMULA(INDEX('Game Records'!$Z:$Z,$H150)))),"","")&amp;IF(INDEX('Game Records'!$B:$B,$H150)="","Start Date; ","")&amp;IF(INDEX('Game Records'!$C:$C,$H150)="","End Date; ","")&amp;IF(AND(INDEX('Game Records'!$U:$U,$H150)&lt;&gt;"Subscription",INDEX('Game Records'!$U:$U,$H150)&lt;&gt;"Free Game",INDEX('Game Records'!$U:$U,$H150)&lt;&gt;"Disqualified — Free Game",OR(INDEX('Game Records'!$D:$D,$H150)="",LOWER(INDEX('Game Records'!$D:$D,$H150)&amp;"")="n/a")),"Entry Mode; ","")&amp;IF(AND(INDEX('Game Records'!$U:$U,$H150)&lt;&gt;"Subscription",INDEX('Game Records'!$U:$U,$H150)&lt;&gt;"Free Game",INDEX('Game Records'!$U:$U,$H150)&lt;&gt;"Disqualified — Free Game",OR(INDEX('Game Records'!$E:$E,$H150)="",LOWER(INDEX('Game Records'!$E:$E,$H150)&amp;"")="n/a")),"Game Type; ","")&amp;IF(INDEX('Game Records'!$F:$F,$H150)="","Payment Type; ","")&amp;IF(AND(INDEX('Game Records'!$U:$U,$H150)&lt;&gt;"Subscription",INDEX('Game Records'!$U:$U,$H150)&lt;&gt;"Free Game",INDEX('Game Records'!$U:$U,$H150)&lt;&gt;"Disqualified — Free Game",INDEX('Game Records'!$G:$G,$H150)=""),"Gross Pot; ","")&amp;IF(AND(INDEX('Game Records'!$U:$U,$H150)&lt;&gt;"Free Game",INDEX('Game Records'!$U:$U,$H150)&lt;&gt;"Disqualified — Free Game",INDEX('Game Records'!$H:$H,$H150)=""),"Entry Fee; ","")&amp;IF(AND(INDEX('Game Records'!$U:$U,$H150)&lt;&gt;"Subscription",INDEX('Game Records'!$U:$U,$H150)&lt;&gt;"Free Game",INDEX('Game Records'!$U:$U,$H150)&lt;&gt;"Disqualified — Free Game",INDEX('Game Records'!$I:$I,$H150)=""),"Eligible Players; ","")&amp;IF(AND(INDEX('Game Records'!$U:$U,$H150)&lt;&gt;"Subscription",INDEX('Game Records'!$U:$U,$H150)&lt;&gt;"Free Game",INDEX('Game Records'!$U:$U,$H150)&lt;&gt;"Disqualified — Free Game",INDEX('Game Records'!$J:$J,$H150)=""),"Total Players; ","")&amp;IF(AND(LOWER(INDEX('Game Records'!$D:$D,$H150)&amp;"")="finalized",LOWER(INDEX('Game Records'!$L:$L,$H150)&amp;"")&lt;&gt;"yes",INDEX('Game Records'!$U:$U,$H150)&lt;&gt;"Subscription",INDEX('Game Records'!$U:$U,$H150)&lt;&gt;"Free Game",INDEX('Game Records'!$U:$U,$H150)&lt;&gt;"Disqualified — Free Game",INDEX('Game Records'!$K:$K,$H150)=""),"Final Payout; ","")&amp;IF(AND(LOWER(INDEX('Game Records'!$D:$D,$H150)&amp;"")="finalized",INDEX('Game Records'!$U:$U,$H150)&lt;&gt;"Subscription",INDEX('Game Records'!$U:$U,$H150)&lt;&gt;"Free Game",INDEX('Game Records'!$U:$U,$H150)&lt;&gt;"Disqualified — Free Game",OR(INDEX('Game Records'!$L:$L,$H150)="",LOWER(INDEX('Game Records'!$L:$L,$H150)&amp;"")="n/a")),"Disqualified Status; ",""))</f>
        <v/>
      </c>
      <c r="G150" s="23" t="str">
        <f t="array" ref="G150">IF($H150="","",IFERROR(INDEX('Game Records'!$M:$M,$H150),""))</f>
        <v/>
      </c>
      <c r="H150" s="3"/>
      <c r="I150" s="3"/>
      <c r="J150" s="3"/>
    </row>
    <row r="151" ht="24.0" customHeight="1">
      <c r="A151" s="18" t="str">
        <f t="shared" si="1"/>
        <v/>
      </c>
      <c r="B151" s="18" t="str">
        <f t="shared" si="2"/>
        <v/>
      </c>
      <c r="C151" s="23" t="str">
        <f t="array" ref="C151">IF($H151="","",IFERROR(INDEX('Game Records'!$A:$A,$H151),""))</f>
        <v/>
      </c>
      <c r="D151" s="23" t="str">
        <f t="array" ref="D151">IF($H151="","",IFERROR(INDEX('Game Records'!$U:$U,$H151),""))</f>
        <v/>
      </c>
      <c r="E151" s="23" t="str">
        <f t="array" ref="E151">IF($H151="","",LET(r,$H151,mode,LOWER(INDEX('Game Records'!$D:$D,r)&amp;""),endDate,INDEX('Game Records'!$C:$C,r),IF(mode="estimate",IF(endDate="","Estimate — End Date missing",IF(NOT(ISNUMBER(endDate)),"Estimate — Check End Date",IF(INT(endDate)&gt;=TODAY(),"In Progress — ends "&amp;TEXT(endDate,"mmm d, yyyy"),"Ready to Finalize"))),IF($F151="","No Highlighted Fields","Highlighted Fields Present"))))</f>
        <v/>
      </c>
      <c r="F151" s="23" t="str">
        <f t="array" ref="F151">IF($H151="","",IF(OR(NOT(_xlfn.ISFORMULA(INDEX('Game Records'!$N:$N,$H151))),NOT(_xlfn.ISFORMULA(INDEX('Game Records'!$O:$O,$H151))),NOT(_xlfn.ISFORMULA(INDEX('Game Records'!$P:$P,$H151))),NOT(_xlfn.ISFORMULA(INDEX('Game Records'!$Q:$Q,$H151))),NOT(_xlfn.ISFORMULA(INDEX('Game Records'!$R:$R,$H151))),NOT(_xlfn.ISFORMULA(INDEX('Game Records'!$S:$S,$H151))),NOT(_xlfn.ISFORMULA(INDEX('Game Records'!$T:$T,$H151))),NOT(_xlfn.ISFORMULA(INDEX('Game Records'!$U:$U,$H151))),NOT(_xlfn.ISFORMULA(INDEX('Game Records'!$V:$V,$H151))),NOT(_xlfn.ISFORMULA(INDEX('Game Records'!$W:$W,$H151))),NOT(_xlfn.ISFORMULA(INDEX('Game Records'!$X:$X,$H151))),NOT(_xlfn.ISFORMULA(INDEX('Game Records'!$Y:$Y,$H151))),NOT(_xlfn.ISFORMULA(INDEX('Game Records'!$Z:$Z,$H151)))),"","")&amp;IF(INDEX('Game Records'!$B:$B,$H151)="","Start Date; ","")&amp;IF(INDEX('Game Records'!$C:$C,$H151)="","End Date; ","")&amp;IF(AND(INDEX('Game Records'!$U:$U,$H151)&lt;&gt;"Subscription",INDEX('Game Records'!$U:$U,$H151)&lt;&gt;"Free Game",INDEX('Game Records'!$U:$U,$H151)&lt;&gt;"Disqualified — Free Game",OR(INDEX('Game Records'!$D:$D,$H151)="",LOWER(INDEX('Game Records'!$D:$D,$H151)&amp;"")="n/a")),"Entry Mode; ","")&amp;IF(AND(INDEX('Game Records'!$U:$U,$H151)&lt;&gt;"Subscription",INDEX('Game Records'!$U:$U,$H151)&lt;&gt;"Free Game",INDEX('Game Records'!$U:$U,$H151)&lt;&gt;"Disqualified — Free Game",OR(INDEX('Game Records'!$E:$E,$H151)="",LOWER(INDEX('Game Records'!$E:$E,$H151)&amp;"")="n/a")),"Game Type; ","")&amp;IF(INDEX('Game Records'!$F:$F,$H151)="","Payment Type; ","")&amp;IF(AND(INDEX('Game Records'!$U:$U,$H151)&lt;&gt;"Subscription",INDEX('Game Records'!$U:$U,$H151)&lt;&gt;"Free Game",INDEX('Game Records'!$U:$U,$H151)&lt;&gt;"Disqualified — Free Game",INDEX('Game Records'!$G:$G,$H151)=""),"Gross Pot; ","")&amp;IF(AND(INDEX('Game Records'!$U:$U,$H151)&lt;&gt;"Free Game",INDEX('Game Records'!$U:$U,$H151)&lt;&gt;"Disqualified — Free Game",INDEX('Game Records'!$H:$H,$H151)=""),"Entry Fee; ","")&amp;IF(AND(INDEX('Game Records'!$U:$U,$H151)&lt;&gt;"Subscription",INDEX('Game Records'!$U:$U,$H151)&lt;&gt;"Free Game",INDEX('Game Records'!$U:$U,$H151)&lt;&gt;"Disqualified — Free Game",INDEX('Game Records'!$I:$I,$H151)=""),"Eligible Players; ","")&amp;IF(AND(INDEX('Game Records'!$U:$U,$H151)&lt;&gt;"Subscription",INDEX('Game Records'!$U:$U,$H151)&lt;&gt;"Free Game",INDEX('Game Records'!$U:$U,$H151)&lt;&gt;"Disqualified — Free Game",INDEX('Game Records'!$J:$J,$H151)=""),"Total Players; ","")&amp;IF(AND(LOWER(INDEX('Game Records'!$D:$D,$H151)&amp;"")="finalized",LOWER(INDEX('Game Records'!$L:$L,$H151)&amp;"")&lt;&gt;"yes",INDEX('Game Records'!$U:$U,$H151)&lt;&gt;"Subscription",INDEX('Game Records'!$U:$U,$H151)&lt;&gt;"Free Game",INDEX('Game Records'!$U:$U,$H151)&lt;&gt;"Disqualified — Free Game",INDEX('Game Records'!$K:$K,$H151)=""),"Final Payout; ","")&amp;IF(AND(LOWER(INDEX('Game Records'!$D:$D,$H151)&amp;"")="finalized",INDEX('Game Records'!$U:$U,$H151)&lt;&gt;"Subscription",INDEX('Game Records'!$U:$U,$H151)&lt;&gt;"Free Game",INDEX('Game Records'!$U:$U,$H151)&lt;&gt;"Disqualified — Free Game",OR(INDEX('Game Records'!$L:$L,$H151)="",LOWER(INDEX('Game Records'!$L:$L,$H151)&amp;"")="n/a")),"Disqualified Status; ",""))</f>
        <v/>
      </c>
      <c r="G151" s="23" t="str">
        <f t="array" ref="G151">IF($H151="","",IFERROR(INDEX('Game Records'!$M:$M,$H151),""))</f>
        <v/>
      </c>
      <c r="H151" s="3"/>
      <c r="I151" s="3"/>
      <c r="J151" s="3"/>
    </row>
    <row r="152" ht="24.0" customHeight="1">
      <c r="A152" s="18" t="str">
        <f t="shared" si="1"/>
        <v/>
      </c>
      <c r="B152" s="18" t="str">
        <f t="shared" si="2"/>
        <v/>
      </c>
      <c r="C152" s="23" t="str">
        <f t="array" ref="C152">IF($H152="","",IFERROR(INDEX('Game Records'!$A:$A,$H152),""))</f>
        <v/>
      </c>
      <c r="D152" s="23" t="str">
        <f t="array" ref="D152">IF($H152="","",IFERROR(INDEX('Game Records'!$U:$U,$H152),""))</f>
        <v/>
      </c>
      <c r="E152" s="23" t="str">
        <f t="array" ref="E152">IF($H152="","",LET(r,$H152,mode,LOWER(INDEX('Game Records'!$D:$D,r)&amp;""),endDate,INDEX('Game Records'!$C:$C,r),IF(mode="estimate",IF(endDate="","Estimate — End Date missing",IF(NOT(ISNUMBER(endDate)),"Estimate — Check End Date",IF(INT(endDate)&gt;=TODAY(),"In Progress — ends "&amp;TEXT(endDate,"mmm d, yyyy"),"Ready to Finalize"))),IF($F152="","No Highlighted Fields","Highlighted Fields Present"))))</f>
        <v/>
      </c>
      <c r="F152" s="23" t="str">
        <f t="array" ref="F152">IF($H152="","",IF(OR(NOT(_xlfn.ISFORMULA(INDEX('Game Records'!$N:$N,$H152))),NOT(_xlfn.ISFORMULA(INDEX('Game Records'!$O:$O,$H152))),NOT(_xlfn.ISFORMULA(INDEX('Game Records'!$P:$P,$H152))),NOT(_xlfn.ISFORMULA(INDEX('Game Records'!$Q:$Q,$H152))),NOT(_xlfn.ISFORMULA(INDEX('Game Records'!$R:$R,$H152))),NOT(_xlfn.ISFORMULA(INDEX('Game Records'!$S:$S,$H152))),NOT(_xlfn.ISFORMULA(INDEX('Game Records'!$T:$T,$H152))),NOT(_xlfn.ISFORMULA(INDEX('Game Records'!$U:$U,$H152))),NOT(_xlfn.ISFORMULA(INDEX('Game Records'!$V:$V,$H152))),NOT(_xlfn.ISFORMULA(INDEX('Game Records'!$W:$W,$H152))),NOT(_xlfn.ISFORMULA(INDEX('Game Records'!$X:$X,$H152))),NOT(_xlfn.ISFORMULA(INDEX('Game Records'!$Y:$Y,$H152))),NOT(_xlfn.ISFORMULA(INDEX('Game Records'!$Z:$Z,$H152)))),"","")&amp;IF(INDEX('Game Records'!$B:$B,$H152)="","Start Date; ","")&amp;IF(INDEX('Game Records'!$C:$C,$H152)="","End Date; ","")&amp;IF(AND(INDEX('Game Records'!$U:$U,$H152)&lt;&gt;"Subscription",INDEX('Game Records'!$U:$U,$H152)&lt;&gt;"Free Game",INDEX('Game Records'!$U:$U,$H152)&lt;&gt;"Disqualified — Free Game",OR(INDEX('Game Records'!$D:$D,$H152)="",LOWER(INDEX('Game Records'!$D:$D,$H152)&amp;"")="n/a")),"Entry Mode; ","")&amp;IF(AND(INDEX('Game Records'!$U:$U,$H152)&lt;&gt;"Subscription",INDEX('Game Records'!$U:$U,$H152)&lt;&gt;"Free Game",INDEX('Game Records'!$U:$U,$H152)&lt;&gt;"Disqualified — Free Game",OR(INDEX('Game Records'!$E:$E,$H152)="",LOWER(INDEX('Game Records'!$E:$E,$H152)&amp;"")="n/a")),"Game Type; ","")&amp;IF(INDEX('Game Records'!$F:$F,$H152)="","Payment Type; ","")&amp;IF(AND(INDEX('Game Records'!$U:$U,$H152)&lt;&gt;"Subscription",INDEX('Game Records'!$U:$U,$H152)&lt;&gt;"Free Game",INDEX('Game Records'!$U:$U,$H152)&lt;&gt;"Disqualified — Free Game",INDEX('Game Records'!$G:$G,$H152)=""),"Gross Pot; ","")&amp;IF(AND(INDEX('Game Records'!$U:$U,$H152)&lt;&gt;"Free Game",INDEX('Game Records'!$U:$U,$H152)&lt;&gt;"Disqualified — Free Game",INDEX('Game Records'!$H:$H,$H152)=""),"Entry Fee; ","")&amp;IF(AND(INDEX('Game Records'!$U:$U,$H152)&lt;&gt;"Subscription",INDEX('Game Records'!$U:$U,$H152)&lt;&gt;"Free Game",INDEX('Game Records'!$U:$U,$H152)&lt;&gt;"Disqualified — Free Game",INDEX('Game Records'!$I:$I,$H152)=""),"Eligible Players; ","")&amp;IF(AND(INDEX('Game Records'!$U:$U,$H152)&lt;&gt;"Subscription",INDEX('Game Records'!$U:$U,$H152)&lt;&gt;"Free Game",INDEX('Game Records'!$U:$U,$H152)&lt;&gt;"Disqualified — Free Game",INDEX('Game Records'!$J:$J,$H152)=""),"Total Players; ","")&amp;IF(AND(LOWER(INDEX('Game Records'!$D:$D,$H152)&amp;"")="finalized",LOWER(INDEX('Game Records'!$L:$L,$H152)&amp;"")&lt;&gt;"yes",INDEX('Game Records'!$U:$U,$H152)&lt;&gt;"Subscription",INDEX('Game Records'!$U:$U,$H152)&lt;&gt;"Free Game",INDEX('Game Records'!$U:$U,$H152)&lt;&gt;"Disqualified — Free Game",INDEX('Game Records'!$K:$K,$H152)=""),"Final Payout; ","")&amp;IF(AND(LOWER(INDEX('Game Records'!$D:$D,$H152)&amp;"")="finalized",INDEX('Game Records'!$U:$U,$H152)&lt;&gt;"Subscription",INDEX('Game Records'!$U:$U,$H152)&lt;&gt;"Free Game",INDEX('Game Records'!$U:$U,$H152)&lt;&gt;"Disqualified — Free Game",OR(INDEX('Game Records'!$L:$L,$H152)="",LOWER(INDEX('Game Records'!$L:$L,$H152)&amp;"")="n/a")),"Disqualified Status; ",""))</f>
        <v/>
      </c>
      <c r="G152" s="23" t="str">
        <f t="array" ref="G152">IF($H152="","",IFERROR(INDEX('Game Records'!$M:$M,$H152),""))</f>
        <v/>
      </c>
      <c r="H152" s="3"/>
      <c r="I152" s="3"/>
      <c r="J152" s="3"/>
    </row>
    <row r="153" ht="24.0" customHeight="1">
      <c r="A153" s="18" t="str">
        <f t="shared" si="1"/>
        <v/>
      </c>
      <c r="B153" s="18" t="str">
        <f t="shared" si="2"/>
        <v/>
      </c>
      <c r="C153" s="23" t="str">
        <f t="array" ref="C153">IF($H153="","",IFERROR(INDEX('Game Records'!$A:$A,$H153),""))</f>
        <v/>
      </c>
      <c r="D153" s="23" t="str">
        <f t="array" ref="D153">IF($H153="","",IFERROR(INDEX('Game Records'!$U:$U,$H153),""))</f>
        <v/>
      </c>
      <c r="E153" s="23" t="str">
        <f t="array" ref="E153">IF($H153="","",LET(r,$H153,mode,LOWER(INDEX('Game Records'!$D:$D,r)&amp;""),endDate,INDEX('Game Records'!$C:$C,r),IF(mode="estimate",IF(endDate="","Estimate — End Date missing",IF(NOT(ISNUMBER(endDate)),"Estimate — Check End Date",IF(INT(endDate)&gt;=TODAY(),"In Progress — ends "&amp;TEXT(endDate,"mmm d, yyyy"),"Ready to Finalize"))),IF($F153="","No Highlighted Fields","Highlighted Fields Present"))))</f>
        <v/>
      </c>
      <c r="F153" s="23" t="str">
        <f t="array" ref="F153">IF($H153="","",IF(OR(NOT(_xlfn.ISFORMULA(INDEX('Game Records'!$N:$N,$H153))),NOT(_xlfn.ISFORMULA(INDEX('Game Records'!$O:$O,$H153))),NOT(_xlfn.ISFORMULA(INDEX('Game Records'!$P:$P,$H153))),NOT(_xlfn.ISFORMULA(INDEX('Game Records'!$Q:$Q,$H153))),NOT(_xlfn.ISFORMULA(INDEX('Game Records'!$R:$R,$H153))),NOT(_xlfn.ISFORMULA(INDEX('Game Records'!$S:$S,$H153))),NOT(_xlfn.ISFORMULA(INDEX('Game Records'!$T:$T,$H153))),NOT(_xlfn.ISFORMULA(INDEX('Game Records'!$U:$U,$H153))),NOT(_xlfn.ISFORMULA(INDEX('Game Records'!$V:$V,$H153))),NOT(_xlfn.ISFORMULA(INDEX('Game Records'!$W:$W,$H153))),NOT(_xlfn.ISFORMULA(INDEX('Game Records'!$X:$X,$H153))),NOT(_xlfn.ISFORMULA(INDEX('Game Records'!$Y:$Y,$H153))),NOT(_xlfn.ISFORMULA(INDEX('Game Records'!$Z:$Z,$H153)))),"","")&amp;IF(INDEX('Game Records'!$B:$B,$H153)="","Start Date; ","")&amp;IF(INDEX('Game Records'!$C:$C,$H153)="","End Date; ","")&amp;IF(AND(INDEX('Game Records'!$U:$U,$H153)&lt;&gt;"Subscription",INDEX('Game Records'!$U:$U,$H153)&lt;&gt;"Free Game",INDEX('Game Records'!$U:$U,$H153)&lt;&gt;"Disqualified — Free Game",OR(INDEX('Game Records'!$D:$D,$H153)="",LOWER(INDEX('Game Records'!$D:$D,$H153)&amp;"")="n/a")),"Entry Mode; ","")&amp;IF(AND(INDEX('Game Records'!$U:$U,$H153)&lt;&gt;"Subscription",INDEX('Game Records'!$U:$U,$H153)&lt;&gt;"Free Game",INDEX('Game Records'!$U:$U,$H153)&lt;&gt;"Disqualified — Free Game",OR(INDEX('Game Records'!$E:$E,$H153)="",LOWER(INDEX('Game Records'!$E:$E,$H153)&amp;"")="n/a")),"Game Type; ","")&amp;IF(INDEX('Game Records'!$F:$F,$H153)="","Payment Type; ","")&amp;IF(AND(INDEX('Game Records'!$U:$U,$H153)&lt;&gt;"Subscription",INDEX('Game Records'!$U:$U,$H153)&lt;&gt;"Free Game",INDEX('Game Records'!$U:$U,$H153)&lt;&gt;"Disqualified — Free Game",INDEX('Game Records'!$G:$G,$H153)=""),"Gross Pot; ","")&amp;IF(AND(INDEX('Game Records'!$U:$U,$H153)&lt;&gt;"Free Game",INDEX('Game Records'!$U:$U,$H153)&lt;&gt;"Disqualified — Free Game",INDEX('Game Records'!$H:$H,$H153)=""),"Entry Fee; ","")&amp;IF(AND(INDEX('Game Records'!$U:$U,$H153)&lt;&gt;"Subscription",INDEX('Game Records'!$U:$U,$H153)&lt;&gt;"Free Game",INDEX('Game Records'!$U:$U,$H153)&lt;&gt;"Disqualified — Free Game",INDEX('Game Records'!$I:$I,$H153)=""),"Eligible Players; ","")&amp;IF(AND(INDEX('Game Records'!$U:$U,$H153)&lt;&gt;"Subscription",INDEX('Game Records'!$U:$U,$H153)&lt;&gt;"Free Game",INDEX('Game Records'!$U:$U,$H153)&lt;&gt;"Disqualified — Free Game",INDEX('Game Records'!$J:$J,$H153)=""),"Total Players; ","")&amp;IF(AND(LOWER(INDEX('Game Records'!$D:$D,$H153)&amp;"")="finalized",LOWER(INDEX('Game Records'!$L:$L,$H153)&amp;"")&lt;&gt;"yes",INDEX('Game Records'!$U:$U,$H153)&lt;&gt;"Subscription",INDEX('Game Records'!$U:$U,$H153)&lt;&gt;"Free Game",INDEX('Game Records'!$U:$U,$H153)&lt;&gt;"Disqualified — Free Game",INDEX('Game Records'!$K:$K,$H153)=""),"Final Payout; ","")&amp;IF(AND(LOWER(INDEX('Game Records'!$D:$D,$H153)&amp;"")="finalized",INDEX('Game Records'!$U:$U,$H153)&lt;&gt;"Subscription",INDEX('Game Records'!$U:$U,$H153)&lt;&gt;"Free Game",INDEX('Game Records'!$U:$U,$H153)&lt;&gt;"Disqualified — Free Game",OR(INDEX('Game Records'!$L:$L,$H153)="",LOWER(INDEX('Game Records'!$L:$L,$H153)&amp;"")="n/a")),"Disqualified Status; ",""))</f>
        <v/>
      </c>
      <c r="G153" s="23" t="str">
        <f t="array" ref="G153">IF($H153="","",IFERROR(INDEX('Game Records'!$M:$M,$H153),""))</f>
        <v/>
      </c>
      <c r="H153" s="3"/>
      <c r="I153" s="3"/>
      <c r="J153" s="3"/>
    </row>
    <row r="154" ht="24.0" customHeight="1">
      <c r="A154" s="18" t="str">
        <f t="shared" si="1"/>
        <v/>
      </c>
      <c r="B154" s="18" t="str">
        <f t="shared" si="2"/>
        <v/>
      </c>
      <c r="C154" s="23" t="str">
        <f t="array" ref="C154">IF($H154="","",IFERROR(INDEX('Game Records'!$A:$A,$H154),""))</f>
        <v/>
      </c>
      <c r="D154" s="23" t="str">
        <f t="array" ref="D154">IF($H154="","",IFERROR(INDEX('Game Records'!$U:$U,$H154),""))</f>
        <v/>
      </c>
      <c r="E154" s="23" t="str">
        <f t="array" ref="E154">IF($H154="","",LET(r,$H154,mode,LOWER(INDEX('Game Records'!$D:$D,r)&amp;""),endDate,INDEX('Game Records'!$C:$C,r),IF(mode="estimate",IF(endDate="","Estimate — End Date missing",IF(NOT(ISNUMBER(endDate)),"Estimate — Check End Date",IF(INT(endDate)&gt;=TODAY(),"In Progress — ends "&amp;TEXT(endDate,"mmm d, yyyy"),"Ready to Finalize"))),IF($F154="","No Highlighted Fields","Highlighted Fields Present"))))</f>
        <v/>
      </c>
      <c r="F154" s="23" t="str">
        <f t="array" ref="F154">IF($H154="","",IF(OR(NOT(_xlfn.ISFORMULA(INDEX('Game Records'!$N:$N,$H154))),NOT(_xlfn.ISFORMULA(INDEX('Game Records'!$O:$O,$H154))),NOT(_xlfn.ISFORMULA(INDEX('Game Records'!$P:$P,$H154))),NOT(_xlfn.ISFORMULA(INDEX('Game Records'!$Q:$Q,$H154))),NOT(_xlfn.ISFORMULA(INDEX('Game Records'!$R:$R,$H154))),NOT(_xlfn.ISFORMULA(INDEX('Game Records'!$S:$S,$H154))),NOT(_xlfn.ISFORMULA(INDEX('Game Records'!$T:$T,$H154))),NOT(_xlfn.ISFORMULA(INDEX('Game Records'!$U:$U,$H154))),NOT(_xlfn.ISFORMULA(INDEX('Game Records'!$V:$V,$H154))),NOT(_xlfn.ISFORMULA(INDEX('Game Records'!$W:$W,$H154))),NOT(_xlfn.ISFORMULA(INDEX('Game Records'!$X:$X,$H154))),NOT(_xlfn.ISFORMULA(INDEX('Game Records'!$Y:$Y,$H154))),NOT(_xlfn.ISFORMULA(INDEX('Game Records'!$Z:$Z,$H154)))),"","")&amp;IF(INDEX('Game Records'!$B:$B,$H154)="","Start Date; ","")&amp;IF(INDEX('Game Records'!$C:$C,$H154)="","End Date; ","")&amp;IF(AND(INDEX('Game Records'!$U:$U,$H154)&lt;&gt;"Subscription",INDEX('Game Records'!$U:$U,$H154)&lt;&gt;"Free Game",INDEX('Game Records'!$U:$U,$H154)&lt;&gt;"Disqualified — Free Game",OR(INDEX('Game Records'!$D:$D,$H154)="",LOWER(INDEX('Game Records'!$D:$D,$H154)&amp;"")="n/a")),"Entry Mode; ","")&amp;IF(AND(INDEX('Game Records'!$U:$U,$H154)&lt;&gt;"Subscription",INDEX('Game Records'!$U:$U,$H154)&lt;&gt;"Free Game",INDEX('Game Records'!$U:$U,$H154)&lt;&gt;"Disqualified — Free Game",OR(INDEX('Game Records'!$E:$E,$H154)="",LOWER(INDEX('Game Records'!$E:$E,$H154)&amp;"")="n/a")),"Game Type; ","")&amp;IF(INDEX('Game Records'!$F:$F,$H154)="","Payment Type; ","")&amp;IF(AND(INDEX('Game Records'!$U:$U,$H154)&lt;&gt;"Subscription",INDEX('Game Records'!$U:$U,$H154)&lt;&gt;"Free Game",INDEX('Game Records'!$U:$U,$H154)&lt;&gt;"Disqualified — Free Game",INDEX('Game Records'!$G:$G,$H154)=""),"Gross Pot; ","")&amp;IF(AND(INDEX('Game Records'!$U:$U,$H154)&lt;&gt;"Free Game",INDEX('Game Records'!$U:$U,$H154)&lt;&gt;"Disqualified — Free Game",INDEX('Game Records'!$H:$H,$H154)=""),"Entry Fee; ","")&amp;IF(AND(INDEX('Game Records'!$U:$U,$H154)&lt;&gt;"Subscription",INDEX('Game Records'!$U:$U,$H154)&lt;&gt;"Free Game",INDEX('Game Records'!$U:$U,$H154)&lt;&gt;"Disqualified — Free Game",INDEX('Game Records'!$I:$I,$H154)=""),"Eligible Players; ","")&amp;IF(AND(INDEX('Game Records'!$U:$U,$H154)&lt;&gt;"Subscription",INDEX('Game Records'!$U:$U,$H154)&lt;&gt;"Free Game",INDEX('Game Records'!$U:$U,$H154)&lt;&gt;"Disqualified — Free Game",INDEX('Game Records'!$J:$J,$H154)=""),"Total Players; ","")&amp;IF(AND(LOWER(INDEX('Game Records'!$D:$D,$H154)&amp;"")="finalized",LOWER(INDEX('Game Records'!$L:$L,$H154)&amp;"")&lt;&gt;"yes",INDEX('Game Records'!$U:$U,$H154)&lt;&gt;"Subscription",INDEX('Game Records'!$U:$U,$H154)&lt;&gt;"Free Game",INDEX('Game Records'!$U:$U,$H154)&lt;&gt;"Disqualified — Free Game",INDEX('Game Records'!$K:$K,$H154)=""),"Final Payout; ","")&amp;IF(AND(LOWER(INDEX('Game Records'!$D:$D,$H154)&amp;"")="finalized",INDEX('Game Records'!$U:$U,$H154)&lt;&gt;"Subscription",INDEX('Game Records'!$U:$U,$H154)&lt;&gt;"Free Game",INDEX('Game Records'!$U:$U,$H154)&lt;&gt;"Disqualified — Free Game",OR(INDEX('Game Records'!$L:$L,$H154)="",LOWER(INDEX('Game Records'!$L:$L,$H154)&amp;"")="n/a")),"Disqualified Status; ",""))</f>
        <v/>
      </c>
      <c r="G154" s="23" t="str">
        <f t="array" ref="G154">IF($H154="","",IFERROR(INDEX('Game Records'!$M:$M,$H154),""))</f>
        <v/>
      </c>
      <c r="H154" s="3"/>
      <c r="I154" s="3"/>
      <c r="J154" s="3"/>
    </row>
    <row r="155" ht="24.0" customHeight="1">
      <c r="A155" s="18" t="str">
        <f t="shared" si="1"/>
        <v/>
      </c>
      <c r="B155" s="18" t="str">
        <f t="shared" si="2"/>
        <v/>
      </c>
      <c r="C155" s="23" t="str">
        <f t="array" ref="C155">IF($H155="","",IFERROR(INDEX('Game Records'!$A:$A,$H155),""))</f>
        <v/>
      </c>
      <c r="D155" s="23" t="str">
        <f t="array" ref="D155">IF($H155="","",IFERROR(INDEX('Game Records'!$U:$U,$H155),""))</f>
        <v/>
      </c>
      <c r="E155" s="23" t="str">
        <f t="array" ref="E155">IF($H155="","",LET(r,$H155,mode,LOWER(INDEX('Game Records'!$D:$D,r)&amp;""),endDate,INDEX('Game Records'!$C:$C,r),IF(mode="estimate",IF(endDate="","Estimate — End Date missing",IF(NOT(ISNUMBER(endDate)),"Estimate — Check End Date",IF(INT(endDate)&gt;=TODAY(),"In Progress — ends "&amp;TEXT(endDate,"mmm d, yyyy"),"Ready to Finalize"))),IF($F155="","No Highlighted Fields","Highlighted Fields Present"))))</f>
        <v/>
      </c>
      <c r="F155" s="23" t="str">
        <f t="array" ref="F155">IF($H155="","",IF(OR(NOT(_xlfn.ISFORMULA(INDEX('Game Records'!$N:$N,$H155))),NOT(_xlfn.ISFORMULA(INDEX('Game Records'!$O:$O,$H155))),NOT(_xlfn.ISFORMULA(INDEX('Game Records'!$P:$P,$H155))),NOT(_xlfn.ISFORMULA(INDEX('Game Records'!$Q:$Q,$H155))),NOT(_xlfn.ISFORMULA(INDEX('Game Records'!$R:$R,$H155))),NOT(_xlfn.ISFORMULA(INDEX('Game Records'!$S:$S,$H155))),NOT(_xlfn.ISFORMULA(INDEX('Game Records'!$T:$T,$H155))),NOT(_xlfn.ISFORMULA(INDEX('Game Records'!$U:$U,$H155))),NOT(_xlfn.ISFORMULA(INDEX('Game Records'!$V:$V,$H155))),NOT(_xlfn.ISFORMULA(INDEX('Game Records'!$W:$W,$H155))),NOT(_xlfn.ISFORMULA(INDEX('Game Records'!$X:$X,$H155))),NOT(_xlfn.ISFORMULA(INDEX('Game Records'!$Y:$Y,$H155))),NOT(_xlfn.ISFORMULA(INDEX('Game Records'!$Z:$Z,$H155)))),"","")&amp;IF(INDEX('Game Records'!$B:$B,$H155)="","Start Date; ","")&amp;IF(INDEX('Game Records'!$C:$C,$H155)="","End Date; ","")&amp;IF(AND(INDEX('Game Records'!$U:$U,$H155)&lt;&gt;"Subscription",INDEX('Game Records'!$U:$U,$H155)&lt;&gt;"Free Game",INDEX('Game Records'!$U:$U,$H155)&lt;&gt;"Disqualified — Free Game",OR(INDEX('Game Records'!$D:$D,$H155)="",LOWER(INDEX('Game Records'!$D:$D,$H155)&amp;"")="n/a")),"Entry Mode; ","")&amp;IF(AND(INDEX('Game Records'!$U:$U,$H155)&lt;&gt;"Subscription",INDEX('Game Records'!$U:$U,$H155)&lt;&gt;"Free Game",INDEX('Game Records'!$U:$U,$H155)&lt;&gt;"Disqualified — Free Game",OR(INDEX('Game Records'!$E:$E,$H155)="",LOWER(INDEX('Game Records'!$E:$E,$H155)&amp;"")="n/a")),"Game Type; ","")&amp;IF(INDEX('Game Records'!$F:$F,$H155)="","Payment Type; ","")&amp;IF(AND(INDEX('Game Records'!$U:$U,$H155)&lt;&gt;"Subscription",INDEX('Game Records'!$U:$U,$H155)&lt;&gt;"Free Game",INDEX('Game Records'!$U:$U,$H155)&lt;&gt;"Disqualified — Free Game",INDEX('Game Records'!$G:$G,$H155)=""),"Gross Pot; ","")&amp;IF(AND(INDEX('Game Records'!$U:$U,$H155)&lt;&gt;"Free Game",INDEX('Game Records'!$U:$U,$H155)&lt;&gt;"Disqualified — Free Game",INDEX('Game Records'!$H:$H,$H155)=""),"Entry Fee; ","")&amp;IF(AND(INDEX('Game Records'!$U:$U,$H155)&lt;&gt;"Subscription",INDEX('Game Records'!$U:$U,$H155)&lt;&gt;"Free Game",INDEX('Game Records'!$U:$U,$H155)&lt;&gt;"Disqualified — Free Game",INDEX('Game Records'!$I:$I,$H155)=""),"Eligible Players; ","")&amp;IF(AND(INDEX('Game Records'!$U:$U,$H155)&lt;&gt;"Subscription",INDEX('Game Records'!$U:$U,$H155)&lt;&gt;"Free Game",INDEX('Game Records'!$U:$U,$H155)&lt;&gt;"Disqualified — Free Game",INDEX('Game Records'!$J:$J,$H155)=""),"Total Players; ","")&amp;IF(AND(LOWER(INDEX('Game Records'!$D:$D,$H155)&amp;"")="finalized",LOWER(INDEX('Game Records'!$L:$L,$H155)&amp;"")&lt;&gt;"yes",INDEX('Game Records'!$U:$U,$H155)&lt;&gt;"Subscription",INDEX('Game Records'!$U:$U,$H155)&lt;&gt;"Free Game",INDEX('Game Records'!$U:$U,$H155)&lt;&gt;"Disqualified — Free Game",INDEX('Game Records'!$K:$K,$H155)=""),"Final Payout; ","")&amp;IF(AND(LOWER(INDEX('Game Records'!$D:$D,$H155)&amp;"")="finalized",INDEX('Game Records'!$U:$U,$H155)&lt;&gt;"Subscription",INDEX('Game Records'!$U:$U,$H155)&lt;&gt;"Free Game",INDEX('Game Records'!$U:$U,$H155)&lt;&gt;"Disqualified — Free Game",OR(INDEX('Game Records'!$L:$L,$H155)="",LOWER(INDEX('Game Records'!$L:$L,$H155)&amp;"")="n/a")),"Disqualified Status; ",""))</f>
        <v/>
      </c>
      <c r="G155" s="23" t="str">
        <f t="array" ref="G155">IF($H155="","",IFERROR(INDEX('Game Records'!$M:$M,$H155),""))</f>
        <v/>
      </c>
      <c r="H155" s="3"/>
      <c r="I155" s="3"/>
      <c r="J155" s="3"/>
    </row>
    <row r="156" ht="24.0" customHeight="1">
      <c r="A156" s="18" t="str">
        <f t="shared" si="1"/>
        <v/>
      </c>
      <c r="B156" s="18" t="str">
        <f t="shared" si="2"/>
        <v/>
      </c>
      <c r="C156" s="23" t="str">
        <f t="array" ref="C156">IF($H156="","",IFERROR(INDEX('Game Records'!$A:$A,$H156),""))</f>
        <v/>
      </c>
      <c r="D156" s="23" t="str">
        <f t="array" ref="D156">IF($H156="","",IFERROR(INDEX('Game Records'!$U:$U,$H156),""))</f>
        <v/>
      </c>
      <c r="E156" s="23" t="str">
        <f t="array" ref="E156">IF($H156="","",LET(r,$H156,mode,LOWER(INDEX('Game Records'!$D:$D,r)&amp;""),endDate,INDEX('Game Records'!$C:$C,r),IF(mode="estimate",IF(endDate="","Estimate — End Date missing",IF(NOT(ISNUMBER(endDate)),"Estimate — Check End Date",IF(INT(endDate)&gt;=TODAY(),"In Progress — ends "&amp;TEXT(endDate,"mmm d, yyyy"),"Ready to Finalize"))),IF($F156="","No Highlighted Fields","Highlighted Fields Present"))))</f>
        <v/>
      </c>
      <c r="F156" s="23" t="str">
        <f t="array" ref="F156">IF($H156="","",IF(OR(NOT(_xlfn.ISFORMULA(INDEX('Game Records'!$N:$N,$H156))),NOT(_xlfn.ISFORMULA(INDEX('Game Records'!$O:$O,$H156))),NOT(_xlfn.ISFORMULA(INDEX('Game Records'!$P:$P,$H156))),NOT(_xlfn.ISFORMULA(INDEX('Game Records'!$Q:$Q,$H156))),NOT(_xlfn.ISFORMULA(INDEX('Game Records'!$R:$R,$H156))),NOT(_xlfn.ISFORMULA(INDEX('Game Records'!$S:$S,$H156))),NOT(_xlfn.ISFORMULA(INDEX('Game Records'!$T:$T,$H156))),NOT(_xlfn.ISFORMULA(INDEX('Game Records'!$U:$U,$H156))),NOT(_xlfn.ISFORMULA(INDEX('Game Records'!$V:$V,$H156))),NOT(_xlfn.ISFORMULA(INDEX('Game Records'!$W:$W,$H156))),NOT(_xlfn.ISFORMULA(INDEX('Game Records'!$X:$X,$H156))),NOT(_xlfn.ISFORMULA(INDEX('Game Records'!$Y:$Y,$H156))),NOT(_xlfn.ISFORMULA(INDEX('Game Records'!$Z:$Z,$H156)))),"","")&amp;IF(INDEX('Game Records'!$B:$B,$H156)="","Start Date; ","")&amp;IF(INDEX('Game Records'!$C:$C,$H156)="","End Date; ","")&amp;IF(AND(INDEX('Game Records'!$U:$U,$H156)&lt;&gt;"Subscription",INDEX('Game Records'!$U:$U,$H156)&lt;&gt;"Free Game",INDEX('Game Records'!$U:$U,$H156)&lt;&gt;"Disqualified — Free Game",OR(INDEX('Game Records'!$D:$D,$H156)="",LOWER(INDEX('Game Records'!$D:$D,$H156)&amp;"")="n/a")),"Entry Mode; ","")&amp;IF(AND(INDEX('Game Records'!$U:$U,$H156)&lt;&gt;"Subscription",INDEX('Game Records'!$U:$U,$H156)&lt;&gt;"Free Game",INDEX('Game Records'!$U:$U,$H156)&lt;&gt;"Disqualified — Free Game",OR(INDEX('Game Records'!$E:$E,$H156)="",LOWER(INDEX('Game Records'!$E:$E,$H156)&amp;"")="n/a")),"Game Type; ","")&amp;IF(INDEX('Game Records'!$F:$F,$H156)="","Payment Type; ","")&amp;IF(AND(INDEX('Game Records'!$U:$U,$H156)&lt;&gt;"Subscription",INDEX('Game Records'!$U:$U,$H156)&lt;&gt;"Free Game",INDEX('Game Records'!$U:$U,$H156)&lt;&gt;"Disqualified — Free Game",INDEX('Game Records'!$G:$G,$H156)=""),"Gross Pot; ","")&amp;IF(AND(INDEX('Game Records'!$U:$U,$H156)&lt;&gt;"Free Game",INDEX('Game Records'!$U:$U,$H156)&lt;&gt;"Disqualified — Free Game",INDEX('Game Records'!$H:$H,$H156)=""),"Entry Fee; ","")&amp;IF(AND(INDEX('Game Records'!$U:$U,$H156)&lt;&gt;"Subscription",INDEX('Game Records'!$U:$U,$H156)&lt;&gt;"Free Game",INDEX('Game Records'!$U:$U,$H156)&lt;&gt;"Disqualified — Free Game",INDEX('Game Records'!$I:$I,$H156)=""),"Eligible Players; ","")&amp;IF(AND(INDEX('Game Records'!$U:$U,$H156)&lt;&gt;"Subscription",INDEX('Game Records'!$U:$U,$H156)&lt;&gt;"Free Game",INDEX('Game Records'!$U:$U,$H156)&lt;&gt;"Disqualified — Free Game",INDEX('Game Records'!$J:$J,$H156)=""),"Total Players; ","")&amp;IF(AND(LOWER(INDEX('Game Records'!$D:$D,$H156)&amp;"")="finalized",LOWER(INDEX('Game Records'!$L:$L,$H156)&amp;"")&lt;&gt;"yes",INDEX('Game Records'!$U:$U,$H156)&lt;&gt;"Subscription",INDEX('Game Records'!$U:$U,$H156)&lt;&gt;"Free Game",INDEX('Game Records'!$U:$U,$H156)&lt;&gt;"Disqualified — Free Game",INDEX('Game Records'!$K:$K,$H156)=""),"Final Payout; ","")&amp;IF(AND(LOWER(INDEX('Game Records'!$D:$D,$H156)&amp;"")="finalized",INDEX('Game Records'!$U:$U,$H156)&lt;&gt;"Subscription",INDEX('Game Records'!$U:$U,$H156)&lt;&gt;"Free Game",INDEX('Game Records'!$U:$U,$H156)&lt;&gt;"Disqualified — Free Game",OR(INDEX('Game Records'!$L:$L,$H156)="",LOWER(INDEX('Game Records'!$L:$L,$H156)&amp;"")="n/a")),"Disqualified Status; ",""))</f>
        <v/>
      </c>
      <c r="G156" s="23" t="str">
        <f t="array" ref="G156">IF($H156="","",IFERROR(INDEX('Game Records'!$M:$M,$H156),""))</f>
        <v/>
      </c>
      <c r="H156" s="3"/>
      <c r="I156" s="3"/>
      <c r="J156" s="3"/>
    </row>
    <row r="157" ht="24.0" customHeight="1">
      <c r="A157" s="18" t="str">
        <f t="shared" si="1"/>
        <v/>
      </c>
      <c r="B157" s="18" t="str">
        <f t="shared" si="2"/>
        <v/>
      </c>
      <c r="C157" s="23" t="str">
        <f t="array" ref="C157">IF($H157="","",IFERROR(INDEX('Game Records'!$A:$A,$H157),""))</f>
        <v/>
      </c>
      <c r="D157" s="23" t="str">
        <f t="array" ref="D157">IF($H157="","",IFERROR(INDEX('Game Records'!$U:$U,$H157),""))</f>
        <v/>
      </c>
      <c r="E157" s="23" t="str">
        <f t="array" ref="E157">IF($H157="","",LET(r,$H157,mode,LOWER(INDEX('Game Records'!$D:$D,r)&amp;""),endDate,INDEX('Game Records'!$C:$C,r),IF(mode="estimate",IF(endDate="","Estimate — End Date missing",IF(NOT(ISNUMBER(endDate)),"Estimate — Check End Date",IF(INT(endDate)&gt;=TODAY(),"In Progress — ends "&amp;TEXT(endDate,"mmm d, yyyy"),"Ready to Finalize"))),IF($F157="","No Highlighted Fields","Highlighted Fields Present"))))</f>
        <v/>
      </c>
      <c r="F157" s="23" t="str">
        <f t="array" ref="F157">IF($H157="","",IF(OR(NOT(_xlfn.ISFORMULA(INDEX('Game Records'!$N:$N,$H157))),NOT(_xlfn.ISFORMULA(INDEX('Game Records'!$O:$O,$H157))),NOT(_xlfn.ISFORMULA(INDEX('Game Records'!$P:$P,$H157))),NOT(_xlfn.ISFORMULA(INDEX('Game Records'!$Q:$Q,$H157))),NOT(_xlfn.ISFORMULA(INDEX('Game Records'!$R:$R,$H157))),NOT(_xlfn.ISFORMULA(INDEX('Game Records'!$S:$S,$H157))),NOT(_xlfn.ISFORMULA(INDEX('Game Records'!$T:$T,$H157))),NOT(_xlfn.ISFORMULA(INDEX('Game Records'!$U:$U,$H157))),NOT(_xlfn.ISFORMULA(INDEX('Game Records'!$V:$V,$H157))),NOT(_xlfn.ISFORMULA(INDEX('Game Records'!$W:$W,$H157))),NOT(_xlfn.ISFORMULA(INDEX('Game Records'!$X:$X,$H157))),NOT(_xlfn.ISFORMULA(INDEX('Game Records'!$Y:$Y,$H157))),NOT(_xlfn.ISFORMULA(INDEX('Game Records'!$Z:$Z,$H157)))),"","")&amp;IF(INDEX('Game Records'!$B:$B,$H157)="","Start Date; ","")&amp;IF(INDEX('Game Records'!$C:$C,$H157)="","End Date; ","")&amp;IF(AND(INDEX('Game Records'!$U:$U,$H157)&lt;&gt;"Subscription",INDEX('Game Records'!$U:$U,$H157)&lt;&gt;"Free Game",INDEX('Game Records'!$U:$U,$H157)&lt;&gt;"Disqualified — Free Game",OR(INDEX('Game Records'!$D:$D,$H157)="",LOWER(INDEX('Game Records'!$D:$D,$H157)&amp;"")="n/a")),"Entry Mode; ","")&amp;IF(AND(INDEX('Game Records'!$U:$U,$H157)&lt;&gt;"Subscription",INDEX('Game Records'!$U:$U,$H157)&lt;&gt;"Free Game",INDEX('Game Records'!$U:$U,$H157)&lt;&gt;"Disqualified — Free Game",OR(INDEX('Game Records'!$E:$E,$H157)="",LOWER(INDEX('Game Records'!$E:$E,$H157)&amp;"")="n/a")),"Game Type; ","")&amp;IF(INDEX('Game Records'!$F:$F,$H157)="","Payment Type; ","")&amp;IF(AND(INDEX('Game Records'!$U:$U,$H157)&lt;&gt;"Subscription",INDEX('Game Records'!$U:$U,$H157)&lt;&gt;"Free Game",INDEX('Game Records'!$U:$U,$H157)&lt;&gt;"Disqualified — Free Game",INDEX('Game Records'!$G:$G,$H157)=""),"Gross Pot; ","")&amp;IF(AND(INDEX('Game Records'!$U:$U,$H157)&lt;&gt;"Free Game",INDEX('Game Records'!$U:$U,$H157)&lt;&gt;"Disqualified — Free Game",INDEX('Game Records'!$H:$H,$H157)=""),"Entry Fee; ","")&amp;IF(AND(INDEX('Game Records'!$U:$U,$H157)&lt;&gt;"Subscription",INDEX('Game Records'!$U:$U,$H157)&lt;&gt;"Free Game",INDEX('Game Records'!$U:$U,$H157)&lt;&gt;"Disqualified — Free Game",INDEX('Game Records'!$I:$I,$H157)=""),"Eligible Players; ","")&amp;IF(AND(INDEX('Game Records'!$U:$U,$H157)&lt;&gt;"Subscription",INDEX('Game Records'!$U:$U,$H157)&lt;&gt;"Free Game",INDEX('Game Records'!$U:$U,$H157)&lt;&gt;"Disqualified — Free Game",INDEX('Game Records'!$J:$J,$H157)=""),"Total Players; ","")&amp;IF(AND(LOWER(INDEX('Game Records'!$D:$D,$H157)&amp;"")="finalized",LOWER(INDEX('Game Records'!$L:$L,$H157)&amp;"")&lt;&gt;"yes",INDEX('Game Records'!$U:$U,$H157)&lt;&gt;"Subscription",INDEX('Game Records'!$U:$U,$H157)&lt;&gt;"Free Game",INDEX('Game Records'!$U:$U,$H157)&lt;&gt;"Disqualified — Free Game",INDEX('Game Records'!$K:$K,$H157)=""),"Final Payout; ","")&amp;IF(AND(LOWER(INDEX('Game Records'!$D:$D,$H157)&amp;"")="finalized",INDEX('Game Records'!$U:$U,$H157)&lt;&gt;"Subscription",INDEX('Game Records'!$U:$U,$H157)&lt;&gt;"Free Game",INDEX('Game Records'!$U:$U,$H157)&lt;&gt;"Disqualified — Free Game",OR(INDEX('Game Records'!$L:$L,$H157)="",LOWER(INDEX('Game Records'!$L:$L,$H157)&amp;"")="n/a")),"Disqualified Status; ",""))</f>
        <v/>
      </c>
      <c r="G157" s="23" t="str">
        <f t="array" ref="G157">IF($H157="","",IFERROR(INDEX('Game Records'!$M:$M,$H157),""))</f>
        <v/>
      </c>
      <c r="H157" s="3"/>
      <c r="I157" s="3"/>
      <c r="J157" s="3"/>
    </row>
    <row r="158" ht="24.0" customHeight="1">
      <c r="A158" s="18" t="str">
        <f t="shared" si="1"/>
        <v/>
      </c>
      <c r="B158" s="18" t="str">
        <f t="shared" si="2"/>
        <v/>
      </c>
      <c r="C158" s="23" t="str">
        <f t="array" ref="C158">IF($H158="","",IFERROR(INDEX('Game Records'!$A:$A,$H158),""))</f>
        <v/>
      </c>
      <c r="D158" s="23" t="str">
        <f t="array" ref="D158">IF($H158="","",IFERROR(INDEX('Game Records'!$U:$U,$H158),""))</f>
        <v/>
      </c>
      <c r="E158" s="23" t="str">
        <f t="array" ref="E158">IF($H158="","",LET(r,$H158,mode,LOWER(INDEX('Game Records'!$D:$D,r)&amp;""),endDate,INDEX('Game Records'!$C:$C,r),IF(mode="estimate",IF(endDate="","Estimate — End Date missing",IF(NOT(ISNUMBER(endDate)),"Estimate — Check End Date",IF(INT(endDate)&gt;=TODAY(),"In Progress — ends "&amp;TEXT(endDate,"mmm d, yyyy"),"Ready to Finalize"))),IF($F158="","No Highlighted Fields","Highlighted Fields Present"))))</f>
        <v/>
      </c>
      <c r="F158" s="23" t="str">
        <f t="array" ref="F158">IF($H158="","",IF(OR(NOT(_xlfn.ISFORMULA(INDEX('Game Records'!$N:$N,$H158))),NOT(_xlfn.ISFORMULA(INDEX('Game Records'!$O:$O,$H158))),NOT(_xlfn.ISFORMULA(INDEX('Game Records'!$P:$P,$H158))),NOT(_xlfn.ISFORMULA(INDEX('Game Records'!$Q:$Q,$H158))),NOT(_xlfn.ISFORMULA(INDEX('Game Records'!$R:$R,$H158))),NOT(_xlfn.ISFORMULA(INDEX('Game Records'!$S:$S,$H158))),NOT(_xlfn.ISFORMULA(INDEX('Game Records'!$T:$T,$H158))),NOT(_xlfn.ISFORMULA(INDEX('Game Records'!$U:$U,$H158))),NOT(_xlfn.ISFORMULA(INDEX('Game Records'!$V:$V,$H158))),NOT(_xlfn.ISFORMULA(INDEX('Game Records'!$W:$W,$H158))),NOT(_xlfn.ISFORMULA(INDEX('Game Records'!$X:$X,$H158))),NOT(_xlfn.ISFORMULA(INDEX('Game Records'!$Y:$Y,$H158))),NOT(_xlfn.ISFORMULA(INDEX('Game Records'!$Z:$Z,$H158)))),"","")&amp;IF(INDEX('Game Records'!$B:$B,$H158)="","Start Date; ","")&amp;IF(INDEX('Game Records'!$C:$C,$H158)="","End Date; ","")&amp;IF(AND(INDEX('Game Records'!$U:$U,$H158)&lt;&gt;"Subscription",INDEX('Game Records'!$U:$U,$H158)&lt;&gt;"Free Game",INDEX('Game Records'!$U:$U,$H158)&lt;&gt;"Disqualified — Free Game",OR(INDEX('Game Records'!$D:$D,$H158)="",LOWER(INDEX('Game Records'!$D:$D,$H158)&amp;"")="n/a")),"Entry Mode; ","")&amp;IF(AND(INDEX('Game Records'!$U:$U,$H158)&lt;&gt;"Subscription",INDEX('Game Records'!$U:$U,$H158)&lt;&gt;"Free Game",INDEX('Game Records'!$U:$U,$H158)&lt;&gt;"Disqualified — Free Game",OR(INDEX('Game Records'!$E:$E,$H158)="",LOWER(INDEX('Game Records'!$E:$E,$H158)&amp;"")="n/a")),"Game Type; ","")&amp;IF(INDEX('Game Records'!$F:$F,$H158)="","Payment Type; ","")&amp;IF(AND(INDEX('Game Records'!$U:$U,$H158)&lt;&gt;"Subscription",INDEX('Game Records'!$U:$U,$H158)&lt;&gt;"Free Game",INDEX('Game Records'!$U:$U,$H158)&lt;&gt;"Disqualified — Free Game",INDEX('Game Records'!$G:$G,$H158)=""),"Gross Pot; ","")&amp;IF(AND(INDEX('Game Records'!$U:$U,$H158)&lt;&gt;"Free Game",INDEX('Game Records'!$U:$U,$H158)&lt;&gt;"Disqualified — Free Game",INDEX('Game Records'!$H:$H,$H158)=""),"Entry Fee; ","")&amp;IF(AND(INDEX('Game Records'!$U:$U,$H158)&lt;&gt;"Subscription",INDEX('Game Records'!$U:$U,$H158)&lt;&gt;"Free Game",INDEX('Game Records'!$U:$U,$H158)&lt;&gt;"Disqualified — Free Game",INDEX('Game Records'!$I:$I,$H158)=""),"Eligible Players; ","")&amp;IF(AND(INDEX('Game Records'!$U:$U,$H158)&lt;&gt;"Subscription",INDEX('Game Records'!$U:$U,$H158)&lt;&gt;"Free Game",INDEX('Game Records'!$U:$U,$H158)&lt;&gt;"Disqualified — Free Game",INDEX('Game Records'!$J:$J,$H158)=""),"Total Players; ","")&amp;IF(AND(LOWER(INDEX('Game Records'!$D:$D,$H158)&amp;"")="finalized",LOWER(INDEX('Game Records'!$L:$L,$H158)&amp;"")&lt;&gt;"yes",INDEX('Game Records'!$U:$U,$H158)&lt;&gt;"Subscription",INDEX('Game Records'!$U:$U,$H158)&lt;&gt;"Free Game",INDEX('Game Records'!$U:$U,$H158)&lt;&gt;"Disqualified — Free Game",INDEX('Game Records'!$K:$K,$H158)=""),"Final Payout; ","")&amp;IF(AND(LOWER(INDEX('Game Records'!$D:$D,$H158)&amp;"")="finalized",INDEX('Game Records'!$U:$U,$H158)&lt;&gt;"Subscription",INDEX('Game Records'!$U:$U,$H158)&lt;&gt;"Free Game",INDEX('Game Records'!$U:$U,$H158)&lt;&gt;"Disqualified — Free Game",OR(INDEX('Game Records'!$L:$L,$H158)="",LOWER(INDEX('Game Records'!$L:$L,$H158)&amp;"")="n/a")),"Disqualified Status; ",""))</f>
        <v/>
      </c>
      <c r="G158" s="23" t="str">
        <f t="array" ref="G158">IF($H158="","",IFERROR(INDEX('Game Records'!$M:$M,$H158),""))</f>
        <v/>
      </c>
      <c r="H158" s="3"/>
      <c r="I158" s="3"/>
      <c r="J158" s="3"/>
    </row>
    <row r="159" ht="24.0" customHeight="1">
      <c r="A159" s="18" t="str">
        <f t="shared" si="1"/>
        <v/>
      </c>
      <c r="B159" s="18" t="str">
        <f t="shared" si="2"/>
        <v/>
      </c>
      <c r="C159" s="23" t="str">
        <f t="array" ref="C159">IF($H159="","",IFERROR(INDEX('Game Records'!$A:$A,$H159),""))</f>
        <v/>
      </c>
      <c r="D159" s="23" t="str">
        <f t="array" ref="D159">IF($H159="","",IFERROR(INDEX('Game Records'!$U:$U,$H159),""))</f>
        <v/>
      </c>
      <c r="E159" s="23" t="str">
        <f t="array" ref="E159">IF($H159="","",LET(r,$H159,mode,LOWER(INDEX('Game Records'!$D:$D,r)&amp;""),endDate,INDEX('Game Records'!$C:$C,r),IF(mode="estimate",IF(endDate="","Estimate — End Date missing",IF(NOT(ISNUMBER(endDate)),"Estimate — Check End Date",IF(INT(endDate)&gt;=TODAY(),"In Progress — ends "&amp;TEXT(endDate,"mmm d, yyyy"),"Ready to Finalize"))),IF($F159="","No Highlighted Fields","Highlighted Fields Present"))))</f>
        <v/>
      </c>
      <c r="F159" s="23" t="str">
        <f t="array" ref="F159">IF($H159="","",IF(OR(NOT(_xlfn.ISFORMULA(INDEX('Game Records'!$N:$N,$H159))),NOT(_xlfn.ISFORMULA(INDEX('Game Records'!$O:$O,$H159))),NOT(_xlfn.ISFORMULA(INDEX('Game Records'!$P:$P,$H159))),NOT(_xlfn.ISFORMULA(INDEX('Game Records'!$Q:$Q,$H159))),NOT(_xlfn.ISFORMULA(INDEX('Game Records'!$R:$R,$H159))),NOT(_xlfn.ISFORMULA(INDEX('Game Records'!$S:$S,$H159))),NOT(_xlfn.ISFORMULA(INDEX('Game Records'!$T:$T,$H159))),NOT(_xlfn.ISFORMULA(INDEX('Game Records'!$U:$U,$H159))),NOT(_xlfn.ISFORMULA(INDEX('Game Records'!$V:$V,$H159))),NOT(_xlfn.ISFORMULA(INDEX('Game Records'!$W:$W,$H159))),NOT(_xlfn.ISFORMULA(INDEX('Game Records'!$X:$X,$H159))),NOT(_xlfn.ISFORMULA(INDEX('Game Records'!$Y:$Y,$H159))),NOT(_xlfn.ISFORMULA(INDEX('Game Records'!$Z:$Z,$H159)))),"","")&amp;IF(INDEX('Game Records'!$B:$B,$H159)="","Start Date; ","")&amp;IF(INDEX('Game Records'!$C:$C,$H159)="","End Date; ","")&amp;IF(AND(INDEX('Game Records'!$U:$U,$H159)&lt;&gt;"Subscription",INDEX('Game Records'!$U:$U,$H159)&lt;&gt;"Free Game",INDEX('Game Records'!$U:$U,$H159)&lt;&gt;"Disqualified — Free Game",OR(INDEX('Game Records'!$D:$D,$H159)="",LOWER(INDEX('Game Records'!$D:$D,$H159)&amp;"")="n/a")),"Entry Mode; ","")&amp;IF(AND(INDEX('Game Records'!$U:$U,$H159)&lt;&gt;"Subscription",INDEX('Game Records'!$U:$U,$H159)&lt;&gt;"Free Game",INDEX('Game Records'!$U:$U,$H159)&lt;&gt;"Disqualified — Free Game",OR(INDEX('Game Records'!$E:$E,$H159)="",LOWER(INDEX('Game Records'!$E:$E,$H159)&amp;"")="n/a")),"Game Type; ","")&amp;IF(INDEX('Game Records'!$F:$F,$H159)="","Payment Type; ","")&amp;IF(AND(INDEX('Game Records'!$U:$U,$H159)&lt;&gt;"Subscription",INDEX('Game Records'!$U:$U,$H159)&lt;&gt;"Free Game",INDEX('Game Records'!$U:$U,$H159)&lt;&gt;"Disqualified — Free Game",INDEX('Game Records'!$G:$G,$H159)=""),"Gross Pot; ","")&amp;IF(AND(INDEX('Game Records'!$U:$U,$H159)&lt;&gt;"Free Game",INDEX('Game Records'!$U:$U,$H159)&lt;&gt;"Disqualified — Free Game",INDEX('Game Records'!$H:$H,$H159)=""),"Entry Fee; ","")&amp;IF(AND(INDEX('Game Records'!$U:$U,$H159)&lt;&gt;"Subscription",INDEX('Game Records'!$U:$U,$H159)&lt;&gt;"Free Game",INDEX('Game Records'!$U:$U,$H159)&lt;&gt;"Disqualified — Free Game",INDEX('Game Records'!$I:$I,$H159)=""),"Eligible Players; ","")&amp;IF(AND(INDEX('Game Records'!$U:$U,$H159)&lt;&gt;"Subscription",INDEX('Game Records'!$U:$U,$H159)&lt;&gt;"Free Game",INDEX('Game Records'!$U:$U,$H159)&lt;&gt;"Disqualified — Free Game",INDEX('Game Records'!$J:$J,$H159)=""),"Total Players; ","")&amp;IF(AND(LOWER(INDEX('Game Records'!$D:$D,$H159)&amp;"")="finalized",LOWER(INDEX('Game Records'!$L:$L,$H159)&amp;"")&lt;&gt;"yes",INDEX('Game Records'!$U:$U,$H159)&lt;&gt;"Subscription",INDEX('Game Records'!$U:$U,$H159)&lt;&gt;"Free Game",INDEX('Game Records'!$U:$U,$H159)&lt;&gt;"Disqualified — Free Game",INDEX('Game Records'!$K:$K,$H159)=""),"Final Payout; ","")&amp;IF(AND(LOWER(INDEX('Game Records'!$D:$D,$H159)&amp;"")="finalized",INDEX('Game Records'!$U:$U,$H159)&lt;&gt;"Subscription",INDEX('Game Records'!$U:$U,$H159)&lt;&gt;"Free Game",INDEX('Game Records'!$U:$U,$H159)&lt;&gt;"Disqualified — Free Game",OR(INDEX('Game Records'!$L:$L,$H159)="",LOWER(INDEX('Game Records'!$L:$L,$H159)&amp;"")="n/a")),"Disqualified Status; ",""))</f>
        <v/>
      </c>
      <c r="G159" s="23" t="str">
        <f t="array" ref="G159">IF($H159="","",IFERROR(INDEX('Game Records'!$M:$M,$H159),""))</f>
        <v/>
      </c>
      <c r="H159" s="3"/>
      <c r="I159" s="3"/>
      <c r="J159" s="3"/>
    </row>
    <row r="160" ht="24.0" customHeight="1">
      <c r="A160" s="18" t="str">
        <f t="shared" si="1"/>
        <v/>
      </c>
      <c r="B160" s="18" t="str">
        <f t="shared" si="2"/>
        <v/>
      </c>
      <c r="C160" s="23" t="str">
        <f t="array" ref="C160">IF($H160="","",IFERROR(INDEX('Game Records'!$A:$A,$H160),""))</f>
        <v/>
      </c>
      <c r="D160" s="23" t="str">
        <f t="array" ref="D160">IF($H160="","",IFERROR(INDEX('Game Records'!$U:$U,$H160),""))</f>
        <v/>
      </c>
      <c r="E160" s="23" t="str">
        <f t="array" ref="E160">IF($H160="","",LET(r,$H160,mode,LOWER(INDEX('Game Records'!$D:$D,r)&amp;""),endDate,INDEX('Game Records'!$C:$C,r),IF(mode="estimate",IF(endDate="","Estimate — End Date missing",IF(NOT(ISNUMBER(endDate)),"Estimate — Check End Date",IF(INT(endDate)&gt;=TODAY(),"In Progress — ends "&amp;TEXT(endDate,"mmm d, yyyy"),"Ready to Finalize"))),IF($F160="","No Highlighted Fields","Highlighted Fields Present"))))</f>
        <v/>
      </c>
      <c r="F160" s="23" t="str">
        <f t="array" ref="F160">IF($H160="","",IF(OR(NOT(_xlfn.ISFORMULA(INDEX('Game Records'!$N:$N,$H160))),NOT(_xlfn.ISFORMULA(INDEX('Game Records'!$O:$O,$H160))),NOT(_xlfn.ISFORMULA(INDEX('Game Records'!$P:$P,$H160))),NOT(_xlfn.ISFORMULA(INDEX('Game Records'!$Q:$Q,$H160))),NOT(_xlfn.ISFORMULA(INDEX('Game Records'!$R:$R,$H160))),NOT(_xlfn.ISFORMULA(INDEX('Game Records'!$S:$S,$H160))),NOT(_xlfn.ISFORMULA(INDEX('Game Records'!$T:$T,$H160))),NOT(_xlfn.ISFORMULA(INDEX('Game Records'!$U:$U,$H160))),NOT(_xlfn.ISFORMULA(INDEX('Game Records'!$V:$V,$H160))),NOT(_xlfn.ISFORMULA(INDEX('Game Records'!$W:$W,$H160))),NOT(_xlfn.ISFORMULA(INDEX('Game Records'!$X:$X,$H160))),NOT(_xlfn.ISFORMULA(INDEX('Game Records'!$Y:$Y,$H160))),NOT(_xlfn.ISFORMULA(INDEX('Game Records'!$Z:$Z,$H160)))),"","")&amp;IF(INDEX('Game Records'!$B:$B,$H160)="","Start Date; ","")&amp;IF(INDEX('Game Records'!$C:$C,$H160)="","End Date; ","")&amp;IF(AND(INDEX('Game Records'!$U:$U,$H160)&lt;&gt;"Subscription",INDEX('Game Records'!$U:$U,$H160)&lt;&gt;"Free Game",INDEX('Game Records'!$U:$U,$H160)&lt;&gt;"Disqualified — Free Game",OR(INDEX('Game Records'!$D:$D,$H160)="",LOWER(INDEX('Game Records'!$D:$D,$H160)&amp;"")="n/a")),"Entry Mode; ","")&amp;IF(AND(INDEX('Game Records'!$U:$U,$H160)&lt;&gt;"Subscription",INDEX('Game Records'!$U:$U,$H160)&lt;&gt;"Free Game",INDEX('Game Records'!$U:$U,$H160)&lt;&gt;"Disqualified — Free Game",OR(INDEX('Game Records'!$E:$E,$H160)="",LOWER(INDEX('Game Records'!$E:$E,$H160)&amp;"")="n/a")),"Game Type; ","")&amp;IF(INDEX('Game Records'!$F:$F,$H160)="","Payment Type; ","")&amp;IF(AND(INDEX('Game Records'!$U:$U,$H160)&lt;&gt;"Subscription",INDEX('Game Records'!$U:$U,$H160)&lt;&gt;"Free Game",INDEX('Game Records'!$U:$U,$H160)&lt;&gt;"Disqualified — Free Game",INDEX('Game Records'!$G:$G,$H160)=""),"Gross Pot; ","")&amp;IF(AND(INDEX('Game Records'!$U:$U,$H160)&lt;&gt;"Free Game",INDEX('Game Records'!$U:$U,$H160)&lt;&gt;"Disqualified — Free Game",INDEX('Game Records'!$H:$H,$H160)=""),"Entry Fee; ","")&amp;IF(AND(INDEX('Game Records'!$U:$U,$H160)&lt;&gt;"Subscription",INDEX('Game Records'!$U:$U,$H160)&lt;&gt;"Free Game",INDEX('Game Records'!$U:$U,$H160)&lt;&gt;"Disqualified — Free Game",INDEX('Game Records'!$I:$I,$H160)=""),"Eligible Players; ","")&amp;IF(AND(INDEX('Game Records'!$U:$U,$H160)&lt;&gt;"Subscription",INDEX('Game Records'!$U:$U,$H160)&lt;&gt;"Free Game",INDEX('Game Records'!$U:$U,$H160)&lt;&gt;"Disqualified — Free Game",INDEX('Game Records'!$J:$J,$H160)=""),"Total Players; ","")&amp;IF(AND(LOWER(INDEX('Game Records'!$D:$D,$H160)&amp;"")="finalized",LOWER(INDEX('Game Records'!$L:$L,$H160)&amp;"")&lt;&gt;"yes",INDEX('Game Records'!$U:$U,$H160)&lt;&gt;"Subscription",INDEX('Game Records'!$U:$U,$H160)&lt;&gt;"Free Game",INDEX('Game Records'!$U:$U,$H160)&lt;&gt;"Disqualified — Free Game",INDEX('Game Records'!$K:$K,$H160)=""),"Final Payout; ","")&amp;IF(AND(LOWER(INDEX('Game Records'!$D:$D,$H160)&amp;"")="finalized",INDEX('Game Records'!$U:$U,$H160)&lt;&gt;"Subscription",INDEX('Game Records'!$U:$U,$H160)&lt;&gt;"Free Game",INDEX('Game Records'!$U:$U,$H160)&lt;&gt;"Disqualified — Free Game",OR(INDEX('Game Records'!$L:$L,$H160)="",LOWER(INDEX('Game Records'!$L:$L,$H160)&amp;"")="n/a")),"Disqualified Status; ",""))</f>
        <v/>
      </c>
      <c r="G160" s="23" t="str">
        <f t="array" ref="G160">IF($H160="","",IFERROR(INDEX('Game Records'!$M:$M,$H160),""))</f>
        <v/>
      </c>
      <c r="H160" s="3"/>
      <c r="I160" s="3"/>
      <c r="J160" s="3"/>
    </row>
    <row r="161" ht="24.0" customHeight="1">
      <c r="A161" s="18" t="str">
        <f t="shared" si="1"/>
        <v/>
      </c>
      <c r="B161" s="18" t="str">
        <f t="shared" si="2"/>
        <v/>
      </c>
      <c r="C161" s="23" t="str">
        <f t="array" ref="C161">IF($H161="","",IFERROR(INDEX('Game Records'!$A:$A,$H161),""))</f>
        <v/>
      </c>
      <c r="D161" s="23" t="str">
        <f t="array" ref="D161">IF($H161="","",IFERROR(INDEX('Game Records'!$U:$U,$H161),""))</f>
        <v/>
      </c>
      <c r="E161" s="23" t="str">
        <f t="array" ref="E161">IF($H161="","",LET(r,$H161,mode,LOWER(INDEX('Game Records'!$D:$D,r)&amp;""),endDate,INDEX('Game Records'!$C:$C,r),IF(mode="estimate",IF(endDate="","Estimate — End Date missing",IF(NOT(ISNUMBER(endDate)),"Estimate — Check End Date",IF(INT(endDate)&gt;=TODAY(),"In Progress — ends "&amp;TEXT(endDate,"mmm d, yyyy"),"Ready to Finalize"))),IF($F161="","No Highlighted Fields","Highlighted Fields Present"))))</f>
        <v/>
      </c>
      <c r="F161" s="23" t="str">
        <f t="array" ref="F161">IF($H161="","",IF(OR(NOT(_xlfn.ISFORMULA(INDEX('Game Records'!$N:$N,$H161))),NOT(_xlfn.ISFORMULA(INDEX('Game Records'!$O:$O,$H161))),NOT(_xlfn.ISFORMULA(INDEX('Game Records'!$P:$P,$H161))),NOT(_xlfn.ISFORMULA(INDEX('Game Records'!$Q:$Q,$H161))),NOT(_xlfn.ISFORMULA(INDEX('Game Records'!$R:$R,$H161))),NOT(_xlfn.ISFORMULA(INDEX('Game Records'!$S:$S,$H161))),NOT(_xlfn.ISFORMULA(INDEX('Game Records'!$T:$T,$H161))),NOT(_xlfn.ISFORMULA(INDEX('Game Records'!$U:$U,$H161))),NOT(_xlfn.ISFORMULA(INDEX('Game Records'!$V:$V,$H161))),NOT(_xlfn.ISFORMULA(INDEX('Game Records'!$W:$W,$H161))),NOT(_xlfn.ISFORMULA(INDEX('Game Records'!$X:$X,$H161))),NOT(_xlfn.ISFORMULA(INDEX('Game Records'!$Y:$Y,$H161))),NOT(_xlfn.ISFORMULA(INDEX('Game Records'!$Z:$Z,$H161)))),"","")&amp;IF(INDEX('Game Records'!$B:$B,$H161)="","Start Date; ","")&amp;IF(INDEX('Game Records'!$C:$C,$H161)="","End Date; ","")&amp;IF(AND(INDEX('Game Records'!$U:$U,$H161)&lt;&gt;"Subscription",INDEX('Game Records'!$U:$U,$H161)&lt;&gt;"Free Game",INDEX('Game Records'!$U:$U,$H161)&lt;&gt;"Disqualified — Free Game",OR(INDEX('Game Records'!$D:$D,$H161)="",LOWER(INDEX('Game Records'!$D:$D,$H161)&amp;"")="n/a")),"Entry Mode; ","")&amp;IF(AND(INDEX('Game Records'!$U:$U,$H161)&lt;&gt;"Subscription",INDEX('Game Records'!$U:$U,$H161)&lt;&gt;"Free Game",INDEX('Game Records'!$U:$U,$H161)&lt;&gt;"Disqualified — Free Game",OR(INDEX('Game Records'!$E:$E,$H161)="",LOWER(INDEX('Game Records'!$E:$E,$H161)&amp;"")="n/a")),"Game Type; ","")&amp;IF(INDEX('Game Records'!$F:$F,$H161)="","Payment Type; ","")&amp;IF(AND(INDEX('Game Records'!$U:$U,$H161)&lt;&gt;"Subscription",INDEX('Game Records'!$U:$U,$H161)&lt;&gt;"Free Game",INDEX('Game Records'!$U:$U,$H161)&lt;&gt;"Disqualified — Free Game",INDEX('Game Records'!$G:$G,$H161)=""),"Gross Pot; ","")&amp;IF(AND(INDEX('Game Records'!$U:$U,$H161)&lt;&gt;"Free Game",INDEX('Game Records'!$U:$U,$H161)&lt;&gt;"Disqualified — Free Game",INDEX('Game Records'!$H:$H,$H161)=""),"Entry Fee; ","")&amp;IF(AND(INDEX('Game Records'!$U:$U,$H161)&lt;&gt;"Subscription",INDEX('Game Records'!$U:$U,$H161)&lt;&gt;"Free Game",INDEX('Game Records'!$U:$U,$H161)&lt;&gt;"Disqualified — Free Game",INDEX('Game Records'!$I:$I,$H161)=""),"Eligible Players; ","")&amp;IF(AND(INDEX('Game Records'!$U:$U,$H161)&lt;&gt;"Subscription",INDEX('Game Records'!$U:$U,$H161)&lt;&gt;"Free Game",INDEX('Game Records'!$U:$U,$H161)&lt;&gt;"Disqualified — Free Game",INDEX('Game Records'!$J:$J,$H161)=""),"Total Players; ","")&amp;IF(AND(LOWER(INDEX('Game Records'!$D:$D,$H161)&amp;"")="finalized",LOWER(INDEX('Game Records'!$L:$L,$H161)&amp;"")&lt;&gt;"yes",INDEX('Game Records'!$U:$U,$H161)&lt;&gt;"Subscription",INDEX('Game Records'!$U:$U,$H161)&lt;&gt;"Free Game",INDEX('Game Records'!$U:$U,$H161)&lt;&gt;"Disqualified — Free Game",INDEX('Game Records'!$K:$K,$H161)=""),"Final Payout; ","")&amp;IF(AND(LOWER(INDEX('Game Records'!$D:$D,$H161)&amp;"")="finalized",INDEX('Game Records'!$U:$U,$H161)&lt;&gt;"Subscription",INDEX('Game Records'!$U:$U,$H161)&lt;&gt;"Free Game",INDEX('Game Records'!$U:$U,$H161)&lt;&gt;"Disqualified — Free Game",OR(INDEX('Game Records'!$L:$L,$H161)="",LOWER(INDEX('Game Records'!$L:$L,$H161)&amp;"")="n/a")),"Disqualified Status; ",""))</f>
        <v/>
      </c>
      <c r="G161" s="23" t="str">
        <f t="array" ref="G161">IF($H161="","",IFERROR(INDEX('Game Records'!$M:$M,$H161),""))</f>
        <v/>
      </c>
      <c r="H161" s="3"/>
      <c r="I161" s="3"/>
      <c r="J161" s="3"/>
    </row>
    <row r="162" ht="24.0" customHeight="1">
      <c r="A162" s="18" t="str">
        <f t="shared" si="1"/>
        <v/>
      </c>
      <c r="B162" s="18" t="str">
        <f t="shared" si="2"/>
        <v/>
      </c>
      <c r="C162" s="23" t="str">
        <f t="array" ref="C162">IF($H162="","",IFERROR(INDEX('Game Records'!$A:$A,$H162),""))</f>
        <v/>
      </c>
      <c r="D162" s="23" t="str">
        <f t="array" ref="D162">IF($H162="","",IFERROR(INDEX('Game Records'!$U:$U,$H162),""))</f>
        <v/>
      </c>
      <c r="E162" s="23" t="str">
        <f t="array" ref="E162">IF($H162="","",LET(r,$H162,mode,LOWER(INDEX('Game Records'!$D:$D,r)&amp;""),endDate,INDEX('Game Records'!$C:$C,r),IF(mode="estimate",IF(endDate="","Estimate — End Date missing",IF(NOT(ISNUMBER(endDate)),"Estimate — Check End Date",IF(INT(endDate)&gt;=TODAY(),"In Progress — ends "&amp;TEXT(endDate,"mmm d, yyyy"),"Ready to Finalize"))),IF($F162="","No Highlighted Fields","Highlighted Fields Present"))))</f>
        <v/>
      </c>
      <c r="F162" s="23" t="str">
        <f t="array" ref="F162">IF($H162="","",IF(OR(NOT(_xlfn.ISFORMULA(INDEX('Game Records'!$N:$N,$H162))),NOT(_xlfn.ISFORMULA(INDEX('Game Records'!$O:$O,$H162))),NOT(_xlfn.ISFORMULA(INDEX('Game Records'!$P:$P,$H162))),NOT(_xlfn.ISFORMULA(INDEX('Game Records'!$Q:$Q,$H162))),NOT(_xlfn.ISFORMULA(INDEX('Game Records'!$R:$R,$H162))),NOT(_xlfn.ISFORMULA(INDEX('Game Records'!$S:$S,$H162))),NOT(_xlfn.ISFORMULA(INDEX('Game Records'!$T:$T,$H162))),NOT(_xlfn.ISFORMULA(INDEX('Game Records'!$U:$U,$H162))),NOT(_xlfn.ISFORMULA(INDEX('Game Records'!$V:$V,$H162))),NOT(_xlfn.ISFORMULA(INDEX('Game Records'!$W:$W,$H162))),NOT(_xlfn.ISFORMULA(INDEX('Game Records'!$X:$X,$H162))),NOT(_xlfn.ISFORMULA(INDEX('Game Records'!$Y:$Y,$H162))),NOT(_xlfn.ISFORMULA(INDEX('Game Records'!$Z:$Z,$H162)))),"","")&amp;IF(INDEX('Game Records'!$B:$B,$H162)="","Start Date; ","")&amp;IF(INDEX('Game Records'!$C:$C,$H162)="","End Date; ","")&amp;IF(AND(INDEX('Game Records'!$U:$U,$H162)&lt;&gt;"Subscription",INDEX('Game Records'!$U:$U,$H162)&lt;&gt;"Free Game",INDEX('Game Records'!$U:$U,$H162)&lt;&gt;"Disqualified — Free Game",OR(INDEX('Game Records'!$D:$D,$H162)="",LOWER(INDEX('Game Records'!$D:$D,$H162)&amp;"")="n/a")),"Entry Mode; ","")&amp;IF(AND(INDEX('Game Records'!$U:$U,$H162)&lt;&gt;"Subscription",INDEX('Game Records'!$U:$U,$H162)&lt;&gt;"Free Game",INDEX('Game Records'!$U:$U,$H162)&lt;&gt;"Disqualified — Free Game",OR(INDEX('Game Records'!$E:$E,$H162)="",LOWER(INDEX('Game Records'!$E:$E,$H162)&amp;"")="n/a")),"Game Type; ","")&amp;IF(INDEX('Game Records'!$F:$F,$H162)="","Payment Type; ","")&amp;IF(AND(INDEX('Game Records'!$U:$U,$H162)&lt;&gt;"Subscription",INDEX('Game Records'!$U:$U,$H162)&lt;&gt;"Free Game",INDEX('Game Records'!$U:$U,$H162)&lt;&gt;"Disqualified — Free Game",INDEX('Game Records'!$G:$G,$H162)=""),"Gross Pot; ","")&amp;IF(AND(INDEX('Game Records'!$U:$U,$H162)&lt;&gt;"Free Game",INDEX('Game Records'!$U:$U,$H162)&lt;&gt;"Disqualified — Free Game",INDEX('Game Records'!$H:$H,$H162)=""),"Entry Fee; ","")&amp;IF(AND(INDEX('Game Records'!$U:$U,$H162)&lt;&gt;"Subscription",INDEX('Game Records'!$U:$U,$H162)&lt;&gt;"Free Game",INDEX('Game Records'!$U:$U,$H162)&lt;&gt;"Disqualified — Free Game",INDEX('Game Records'!$I:$I,$H162)=""),"Eligible Players; ","")&amp;IF(AND(INDEX('Game Records'!$U:$U,$H162)&lt;&gt;"Subscription",INDEX('Game Records'!$U:$U,$H162)&lt;&gt;"Free Game",INDEX('Game Records'!$U:$U,$H162)&lt;&gt;"Disqualified — Free Game",INDEX('Game Records'!$J:$J,$H162)=""),"Total Players; ","")&amp;IF(AND(LOWER(INDEX('Game Records'!$D:$D,$H162)&amp;"")="finalized",LOWER(INDEX('Game Records'!$L:$L,$H162)&amp;"")&lt;&gt;"yes",INDEX('Game Records'!$U:$U,$H162)&lt;&gt;"Subscription",INDEX('Game Records'!$U:$U,$H162)&lt;&gt;"Free Game",INDEX('Game Records'!$U:$U,$H162)&lt;&gt;"Disqualified — Free Game",INDEX('Game Records'!$K:$K,$H162)=""),"Final Payout; ","")&amp;IF(AND(LOWER(INDEX('Game Records'!$D:$D,$H162)&amp;"")="finalized",INDEX('Game Records'!$U:$U,$H162)&lt;&gt;"Subscription",INDEX('Game Records'!$U:$U,$H162)&lt;&gt;"Free Game",INDEX('Game Records'!$U:$U,$H162)&lt;&gt;"Disqualified — Free Game",OR(INDEX('Game Records'!$L:$L,$H162)="",LOWER(INDEX('Game Records'!$L:$L,$H162)&amp;"")="n/a")),"Disqualified Status; ",""))</f>
        <v/>
      </c>
      <c r="G162" s="23" t="str">
        <f t="array" ref="G162">IF($H162="","",IFERROR(INDEX('Game Records'!$M:$M,$H162),""))</f>
        <v/>
      </c>
      <c r="H162" s="3"/>
      <c r="I162" s="3"/>
      <c r="J162" s="3"/>
    </row>
    <row r="163" ht="24.0" customHeight="1">
      <c r="A163" s="18" t="str">
        <f t="shared" si="1"/>
        <v/>
      </c>
      <c r="B163" s="18" t="str">
        <f t="shared" si="2"/>
        <v/>
      </c>
      <c r="C163" s="23" t="str">
        <f t="array" ref="C163">IF($H163="","",IFERROR(INDEX('Game Records'!$A:$A,$H163),""))</f>
        <v/>
      </c>
      <c r="D163" s="23" t="str">
        <f t="array" ref="D163">IF($H163="","",IFERROR(INDEX('Game Records'!$U:$U,$H163),""))</f>
        <v/>
      </c>
      <c r="E163" s="23" t="str">
        <f t="array" ref="E163">IF($H163="","",LET(r,$H163,mode,LOWER(INDEX('Game Records'!$D:$D,r)&amp;""),endDate,INDEX('Game Records'!$C:$C,r),IF(mode="estimate",IF(endDate="","Estimate — End Date missing",IF(NOT(ISNUMBER(endDate)),"Estimate — Check End Date",IF(INT(endDate)&gt;=TODAY(),"In Progress — ends "&amp;TEXT(endDate,"mmm d, yyyy"),"Ready to Finalize"))),IF($F163="","No Highlighted Fields","Highlighted Fields Present"))))</f>
        <v/>
      </c>
      <c r="F163" s="23" t="str">
        <f t="array" ref="F163">IF($H163="","",IF(OR(NOT(_xlfn.ISFORMULA(INDEX('Game Records'!$N:$N,$H163))),NOT(_xlfn.ISFORMULA(INDEX('Game Records'!$O:$O,$H163))),NOT(_xlfn.ISFORMULA(INDEX('Game Records'!$P:$P,$H163))),NOT(_xlfn.ISFORMULA(INDEX('Game Records'!$Q:$Q,$H163))),NOT(_xlfn.ISFORMULA(INDEX('Game Records'!$R:$R,$H163))),NOT(_xlfn.ISFORMULA(INDEX('Game Records'!$S:$S,$H163))),NOT(_xlfn.ISFORMULA(INDEX('Game Records'!$T:$T,$H163))),NOT(_xlfn.ISFORMULA(INDEX('Game Records'!$U:$U,$H163))),NOT(_xlfn.ISFORMULA(INDEX('Game Records'!$V:$V,$H163))),NOT(_xlfn.ISFORMULA(INDEX('Game Records'!$W:$W,$H163))),NOT(_xlfn.ISFORMULA(INDEX('Game Records'!$X:$X,$H163))),NOT(_xlfn.ISFORMULA(INDEX('Game Records'!$Y:$Y,$H163))),NOT(_xlfn.ISFORMULA(INDEX('Game Records'!$Z:$Z,$H163)))),"","")&amp;IF(INDEX('Game Records'!$B:$B,$H163)="","Start Date; ","")&amp;IF(INDEX('Game Records'!$C:$C,$H163)="","End Date; ","")&amp;IF(AND(INDEX('Game Records'!$U:$U,$H163)&lt;&gt;"Subscription",INDEX('Game Records'!$U:$U,$H163)&lt;&gt;"Free Game",INDEX('Game Records'!$U:$U,$H163)&lt;&gt;"Disqualified — Free Game",OR(INDEX('Game Records'!$D:$D,$H163)="",LOWER(INDEX('Game Records'!$D:$D,$H163)&amp;"")="n/a")),"Entry Mode; ","")&amp;IF(AND(INDEX('Game Records'!$U:$U,$H163)&lt;&gt;"Subscription",INDEX('Game Records'!$U:$U,$H163)&lt;&gt;"Free Game",INDEX('Game Records'!$U:$U,$H163)&lt;&gt;"Disqualified — Free Game",OR(INDEX('Game Records'!$E:$E,$H163)="",LOWER(INDEX('Game Records'!$E:$E,$H163)&amp;"")="n/a")),"Game Type; ","")&amp;IF(INDEX('Game Records'!$F:$F,$H163)="","Payment Type; ","")&amp;IF(AND(INDEX('Game Records'!$U:$U,$H163)&lt;&gt;"Subscription",INDEX('Game Records'!$U:$U,$H163)&lt;&gt;"Free Game",INDEX('Game Records'!$U:$U,$H163)&lt;&gt;"Disqualified — Free Game",INDEX('Game Records'!$G:$G,$H163)=""),"Gross Pot; ","")&amp;IF(AND(INDEX('Game Records'!$U:$U,$H163)&lt;&gt;"Free Game",INDEX('Game Records'!$U:$U,$H163)&lt;&gt;"Disqualified — Free Game",INDEX('Game Records'!$H:$H,$H163)=""),"Entry Fee; ","")&amp;IF(AND(INDEX('Game Records'!$U:$U,$H163)&lt;&gt;"Subscription",INDEX('Game Records'!$U:$U,$H163)&lt;&gt;"Free Game",INDEX('Game Records'!$U:$U,$H163)&lt;&gt;"Disqualified — Free Game",INDEX('Game Records'!$I:$I,$H163)=""),"Eligible Players; ","")&amp;IF(AND(INDEX('Game Records'!$U:$U,$H163)&lt;&gt;"Subscription",INDEX('Game Records'!$U:$U,$H163)&lt;&gt;"Free Game",INDEX('Game Records'!$U:$U,$H163)&lt;&gt;"Disqualified — Free Game",INDEX('Game Records'!$J:$J,$H163)=""),"Total Players; ","")&amp;IF(AND(LOWER(INDEX('Game Records'!$D:$D,$H163)&amp;"")="finalized",LOWER(INDEX('Game Records'!$L:$L,$H163)&amp;"")&lt;&gt;"yes",INDEX('Game Records'!$U:$U,$H163)&lt;&gt;"Subscription",INDEX('Game Records'!$U:$U,$H163)&lt;&gt;"Free Game",INDEX('Game Records'!$U:$U,$H163)&lt;&gt;"Disqualified — Free Game",INDEX('Game Records'!$K:$K,$H163)=""),"Final Payout; ","")&amp;IF(AND(LOWER(INDEX('Game Records'!$D:$D,$H163)&amp;"")="finalized",INDEX('Game Records'!$U:$U,$H163)&lt;&gt;"Subscription",INDEX('Game Records'!$U:$U,$H163)&lt;&gt;"Free Game",INDEX('Game Records'!$U:$U,$H163)&lt;&gt;"Disqualified — Free Game",OR(INDEX('Game Records'!$L:$L,$H163)="",LOWER(INDEX('Game Records'!$L:$L,$H163)&amp;"")="n/a")),"Disqualified Status; ",""))</f>
        <v/>
      </c>
      <c r="G163" s="23" t="str">
        <f t="array" ref="G163">IF($H163="","",IFERROR(INDEX('Game Records'!$M:$M,$H163),""))</f>
        <v/>
      </c>
      <c r="H163" s="3"/>
      <c r="I163" s="3"/>
      <c r="J163" s="3"/>
    </row>
    <row r="164" ht="24.0" customHeight="1">
      <c r="A164" s="18" t="str">
        <f t="shared" si="1"/>
        <v/>
      </c>
      <c r="B164" s="18" t="str">
        <f t="shared" si="2"/>
        <v/>
      </c>
      <c r="C164" s="23" t="str">
        <f t="array" ref="C164">IF($H164="","",IFERROR(INDEX('Game Records'!$A:$A,$H164),""))</f>
        <v/>
      </c>
      <c r="D164" s="23" t="str">
        <f t="array" ref="D164">IF($H164="","",IFERROR(INDEX('Game Records'!$U:$U,$H164),""))</f>
        <v/>
      </c>
      <c r="E164" s="23" t="str">
        <f t="array" ref="E164">IF($H164="","",LET(r,$H164,mode,LOWER(INDEX('Game Records'!$D:$D,r)&amp;""),endDate,INDEX('Game Records'!$C:$C,r),IF(mode="estimate",IF(endDate="","Estimate — End Date missing",IF(NOT(ISNUMBER(endDate)),"Estimate — Check End Date",IF(INT(endDate)&gt;=TODAY(),"In Progress — ends "&amp;TEXT(endDate,"mmm d, yyyy"),"Ready to Finalize"))),IF($F164="","No Highlighted Fields","Highlighted Fields Present"))))</f>
        <v/>
      </c>
      <c r="F164" s="23" t="str">
        <f t="array" ref="F164">IF($H164="","",IF(OR(NOT(_xlfn.ISFORMULA(INDEX('Game Records'!$N:$N,$H164))),NOT(_xlfn.ISFORMULA(INDEX('Game Records'!$O:$O,$H164))),NOT(_xlfn.ISFORMULA(INDEX('Game Records'!$P:$P,$H164))),NOT(_xlfn.ISFORMULA(INDEX('Game Records'!$Q:$Q,$H164))),NOT(_xlfn.ISFORMULA(INDEX('Game Records'!$R:$R,$H164))),NOT(_xlfn.ISFORMULA(INDEX('Game Records'!$S:$S,$H164))),NOT(_xlfn.ISFORMULA(INDEX('Game Records'!$T:$T,$H164))),NOT(_xlfn.ISFORMULA(INDEX('Game Records'!$U:$U,$H164))),NOT(_xlfn.ISFORMULA(INDEX('Game Records'!$V:$V,$H164))),NOT(_xlfn.ISFORMULA(INDEX('Game Records'!$W:$W,$H164))),NOT(_xlfn.ISFORMULA(INDEX('Game Records'!$X:$X,$H164))),NOT(_xlfn.ISFORMULA(INDEX('Game Records'!$Y:$Y,$H164))),NOT(_xlfn.ISFORMULA(INDEX('Game Records'!$Z:$Z,$H164)))),"","")&amp;IF(INDEX('Game Records'!$B:$B,$H164)="","Start Date; ","")&amp;IF(INDEX('Game Records'!$C:$C,$H164)="","End Date; ","")&amp;IF(AND(INDEX('Game Records'!$U:$U,$H164)&lt;&gt;"Subscription",INDEX('Game Records'!$U:$U,$H164)&lt;&gt;"Free Game",INDEX('Game Records'!$U:$U,$H164)&lt;&gt;"Disqualified — Free Game",OR(INDEX('Game Records'!$D:$D,$H164)="",LOWER(INDEX('Game Records'!$D:$D,$H164)&amp;"")="n/a")),"Entry Mode; ","")&amp;IF(AND(INDEX('Game Records'!$U:$U,$H164)&lt;&gt;"Subscription",INDEX('Game Records'!$U:$U,$H164)&lt;&gt;"Free Game",INDEX('Game Records'!$U:$U,$H164)&lt;&gt;"Disqualified — Free Game",OR(INDEX('Game Records'!$E:$E,$H164)="",LOWER(INDEX('Game Records'!$E:$E,$H164)&amp;"")="n/a")),"Game Type; ","")&amp;IF(INDEX('Game Records'!$F:$F,$H164)="","Payment Type; ","")&amp;IF(AND(INDEX('Game Records'!$U:$U,$H164)&lt;&gt;"Subscription",INDEX('Game Records'!$U:$U,$H164)&lt;&gt;"Free Game",INDEX('Game Records'!$U:$U,$H164)&lt;&gt;"Disqualified — Free Game",INDEX('Game Records'!$G:$G,$H164)=""),"Gross Pot; ","")&amp;IF(AND(INDEX('Game Records'!$U:$U,$H164)&lt;&gt;"Free Game",INDEX('Game Records'!$U:$U,$H164)&lt;&gt;"Disqualified — Free Game",INDEX('Game Records'!$H:$H,$H164)=""),"Entry Fee; ","")&amp;IF(AND(INDEX('Game Records'!$U:$U,$H164)&lt;&gt;"Subscription",INDEX('Game Records'!$U:$U,$H164)&lt;&gt;"Free Game",INDEX('Game Records'!$U:$U,$H164)&lt;&gt;"Disqualified — Free Game",INDEX('Game Records'!$I:$I,$H164)=""),"Eligible Players; ","")&amp;IF(AND(INDEX('Game Records'!$U:$U,$H164)&lt;&gt;"Subscription",INDEX('Game Records'!$U:$U,$H164)&lt;&gt;"Free Game",INDEX('Game Records'!$U:$U,$H164)&lt;&gt;"Disqualified — Free Game",INDEX('Game Records'!$J:$J,$H164)=""),"Total Players; ","")&amp;IF(AND(LOWER(INDEX('Game Records'!$D:$D,$H164)&amp;"")="finalized",LOWER(INDEX('Game Records'!$L:$L,$H164)&amp;"")&lt;&gt;"yes",INDEX('Game Records'!$U:$U,$H164)&lt;&gt;"Subscription",INDEX('Game Records'!$U:$U,$H164)&lt;&gt;"Free Game",INDEX('Game Records'!$U:$U,$H164)&lt;&gt;"Disqualified — Free Game",INDEX('Game Records'!$K:$K,$H164)=""),"Final Payout; ","")&amp;IF(AND(LOWER(INDEX('Game Records'!$D:$D,$H164)&amp;"")="finalized",INDEX('Game Records'!$U:$U,$H164)&lt;&gt;"Subscription",INDEX('Game Records'!$U:$U,$H164)&lt;&gt;"Free Game",INDEX('Game Records'!$U:$U,$H164)&lt;&gt;"Disqualified — Free Game",OR(INDEX('Game Records'!$L:$L,$H164)="",LOWER(INDEX('Game Records'!$L:$L,$H164)&amp;"")="n/a")),"Disqualified Status; ",""))</f>
        <v/>
      </c>
      <c r="G164" s="23" t="str">
        <f t="array" ref="G164">IF($H164="","",IFERROR(INDEX('Game Records'!$M:$M,$H164),""))</f>
        <v/>
      </c>
      <c r="H164" s="3"/>
      <c r="I164" s="3"/>
      <c r="J164" s="3"/>
    </row>
    <row r="165" ht="24.0" customHeight="1">
      <c r="A165" s="18" t="str">
        <f t="shared" si="1"/>
        <v/>
      </c>
      <c r="B165" s="18" t="str">
        <f t="shared" si="2"/>
        <v/>
      </c>
      <c r="C165" s="23" t="str">
        <f t="array" ref="C165">IF($H165="","",IFERROR(INDEX('Game Records'!$A:$A,$H165),""))</f>
        <v/>
      </c>
      <c r="D165" s="23" t="str">
        <f t="array" ref="D165">IF($H165="","",IFERROR(INDEX('Game Records'!$U:$U,$H165),""))</f>
        <v/>
      </c>
      <c r="E165" s="23" t="str">
        <f t="array" ref="E165">IF($H165="","",LET(r,$H165,mode,LOWER(INDEX('Game Records'!$D:$D,r)&amp;""),endDate,INDEX('Game Records'!$C:$C,r),IF(mode="estimate",IF(endDate="","Estimate — End Date missing",IF(NOT(ISNUMBER(endDate)),"Estimate — Check End Date",IF(INT(endDate)&gt;=TODAY(),"In Progress — ends "&amp;TEXT(endDate,"mmm d, yyyy"),"Ready to Finalize"))),IF($F165="","No Highlighted Fields","Highlighted Fields Present"))))</f>
        <v/>
      </c>
      <c r="F165" s="23" t="str">
        <f t="array" ref="F165">IF($H165="","",IF(OR(NOT(_xlfn.ISFORMULA(INDEX('Game Records'!$N:$N,$H165))),NOT(_xlfn.ISFORMULA(INDEX('Game Records'!$O:$O,$H165))),NOT(_xlfn.ISFORMULA(INDEX('Game Records'!$P:$P,$H165))),NOT(_xlfn.ISFORMULA(INDEX('Game Records'!$Q:$Q,$H165))),NOT(_xlfn.ISFORMULA(INDEX('Game Records'!$R:$R,$H165))),NOT(_xlfn.ISFORMULA(INDEX('Game Records'!$S:$S,$H165))),NOT(_xlfn.ISFORMULA(INDEX('Game Records'!$T:$T,$H165))),NOT(_xlfn.ISFORMULA(INDEX('Game Records'!$U:$U,$H165))),NOT(_xlfn.ISFORMULA(INDEX('Game Records'!$V:$V,$H165))),NOT(_xlfn.ISFORMULA(INDEX('Game Records'!$W:$W,$H165))),NOT(_xlfn.ISFORMULA(INDEX('Game Records'!$X:$X,$H165))),NOT(_xlfn.ISFORMULA(INDEX('Game Records'!$Y:$Y,$H165))),NOT(_xlfn.ISFORMULA(INDEX('Game Records'!$Z:$Z,$H165)))),"","")&amp;IF(INDEX('Game Records'!$B:$B,$H165)="","Start Date; ","")&amp;IF(INDEX('Game Records'!$C:$C,$H165)="","End Date; ","")&amp;IF(AND(INDEX('Game Records'!$U:$U,$H165)&lt;&gt;"Subscription",INDEX('Game Records'!$U:$U,$H165)&lt;&gt;"Free Game",INDEX('Game Records'!$U:$U,$H165)&lt;&gt;"Disqualified — Free Game",OR(INDEX('Game Records'!$D:$D,$H165)="",LOWER(INDEX('Game Records'!$D:$D,$H165)&amp;"")="n/a")),"Entry Mode; ","")&amp;IF(AND(INDEX('Game Records'!$U:$U,$H165)&lt;&gt;"Subscription",INDEX('Game Records'!$U:$U,$H165)&lt;&gt;"Free Game",INDEX('Game Records'!$U:$U,$H165)&lt;&gt;"Disqualified — Free Game",OR(INDEX('Game Records'!$E:$E,$H165)="",LOWER(INDEX('Game Records'!$E:$E,$H165)&amp;"")="n/a")),"Game Type; ","")&amp;IF(INDEX('Game Records'!$F:$F,$H165)="","Payment Type; ","")&amp;IF(AND(INDEX('Game Records'!$U:$U,$H165)&lt;&gt;"Subscription",INDEX('Game Records'!$U:$U,$H165)&lt;&gt;"Free Game",INDEX('Game Records'!$U:$U,$H165)&lt;&gt;"Disqualified — Free Game",INDEX('Game Records'!$G:$G,$H165)=""),"Gross Pot; ","")&amp;IF(AND(INDEX('Game Records'!$U:$U,$H165)&lt;&gt;"Free Game",INDEX('Game Records'!$U:$U,$H165)&lt;&gt;"Disqualified — Free Game",INDEX('Game Records'!$H:$H,$H165)=""),"Entry Fee; ","")&amp;IF(AND(INDEX('Game Records'!$U:$U,$H165)&lt;&gt;"Subscription",INDEX('Game Records'!$U:$U,$H165)&lt;&gt;"Free Game",INDEX('Game Records'!$U:$U,$H165)&lt;&gt;"Disqualified — Free Game",INDEX('Game Records'!$I:$I,$H165)=""),"Eligible Players; ","")&amp;IF(AND(INDEX('Game Records'!$U:$U,$H165)&lt;&gt;"Subscription",INDEX('Game Records'!$U:$U,$H165)&lt;&gt;"Free Game",INDEX('Game Records'!$U:$U,$H165)&lt;&gt;"Disqualified — Free Game",INDEX('Game Records'!$J:$J,$H165)=""),"Total Players; ","")&amp;IF(AND(LOWER(INDEX('Game Records'!$D:$D,$H165)&amp;"")="finalized",LOWER(INDEX('Game Records'!$L:$L,$H165)&amp;"")&lt;&gt;"yes",INDEX('Game Records'!$U:$U,$H165)&lt;&gt;"Subscription",INDEX('Game Records'!$U:$U,$H165)&lt;&gt;"Free Game",INDEX('Game Records'!$U:$U,$H165)&lt;&gt;"Disqualified — Free Game",INDEX('Game Records'!$K:$K,$H165)=""),"Final Payout; ","")&amp;IF(AND(LOWER(INDEX('Game Records'!$D:$D,$H165)&amp;"")="finalized",INDEX('Game Records'!$U:$U,$H165)&lt;&gt;"Subscription",INDEX('Game Records'!$U:$U,$H165)&lt;&gt;"Free Game",INDEX('Game Records'!$U:$U,$H165)&lt;&gt;"Disqualified — Free Game",OR(INDEX('Game Records'!$L:$L,$H165)="",LOWER(INDEX('Game Records'!$L:$L,$H165)&amp;"")="n/a")),"Disqualified Status; ",""))</f>
        <v/>
      </c>
      <c r="G165" s="23" t="str">
        <f t="array" ref="G165">IF($H165="","",IFERROR(INDEX('Game Records'!$M:$M,$H165),""))</f>
        <v/>
      </c>
      <c r="H165" s="3"/>
      <c r="I165" s="3"/>
      <c r="J165" s="3"/>
    </row>
    <row r="166" ht="24.0" customHeight="1">
      <c r="A166" s="18" t="str">
        <f t="shared" si="1"/>
        <v/>
      </c>
      <c r="B166" s="18" t="str">
        <f t="shared" si="2"/>
        <v/>
      </c>
      <c r="C166" s="23" t="str">
        <f t="array" ref="C166">IF($H166="","",IFERROR(INDEX('Game Records'!$A:$A,$H166),""))</f>
        <v/>
      </c>
      <c r="D166" s="23" t="str">
        <f t="array" ref="D166">IF($H166="","",IFERROR(INDEX('Game Records'!$U:$U,$H166),""))</f>
        <v/>
      </c>
      <c r="E166" s="23" t="str">
        <f t="array" ref="E166">IF($H166="","",LET(r,$H166,mode,LOWER(INDEX('Game Records'!$D:$D,r)&amp;""),endDate,INDEX('Game Records'!$C:$C,r),IF(mode="estimate",IF(endDate="","Estimate — End Date missing",IF(NOT(ISNUMBER(endDate)),"Estimate — Check End Date",IF(INT(endDate)&gt;=TODAY(),"In Progress — ends "&amp;TEXT(endDate,"mmm d, yyyy"),"Ready to Finalize"))),IF($F166="","No Highlighted Fields","Highlighted Fields Present"))))</f>
        <v/>
      </c>
      <c r="F166" s="23" t="str">
        <f t="array" ref="F166">IF($H166="","",IF(OR(NOT(_xlfn.ISFORMULA(INDEX('Game Records'!$N:$N,$H166))),NOT(_xlfn.ISFORMULA(INDEX('Game Records'!$O:$O,$H166))),NOT(_xlfn.ISFORMULA(INDEX('Game Records'!$P:$P,$H166))),NOT(_xlfn.ISFORMULA(INDEX('Game Records'!$Q:$Q,$H166))),NOT(_xlfn.ISFORMULA(INDEX('Game Records'!$R:$R,$H166))),NOT(_xlfn.ISFORMULA(INDEX('Game Records'!$S:$S,$H166))),NOT(_xlfn.ISFORMULA(INDEX('Game Records'!$T:$T,$H166))),NOT(_xlfn.ISFORMULA(INDEX('Game Records'!$U:$U,$H166))),NOT(_xlfn.ISFORMULA(INDEX('Game Records'!$V:$V,$H166))),NOT(_xlfn.ISFORMULA(INDEX('Game Records'!$W:$W,$H166))),NOT(_xlfn.ISFORMULA(INDEX('Game Records'!$X:$X,$H166))),NOT(_xlfn.ISFORMULA(INDEX('Game Records'!$Y:$Y,$H166))),NOT(_xlfn.ISFORMULA(INDEX('Game Records'!$Z:$Z,$H166)))),"","")&amp;IF(INDEX('Game Records'!$B:$B,$H166)="","Start Date; ","")&amp;IF(INDEX('Game Records'!$C:$C,$H166)="","End Date; ","")&amp;IF(AND(INDEX('Game Records'!$U:$U,$H166)&lt;&gt;"Subscription",INDEX('Game Records'!$U:$U,$H166)&lt;&gt;"Free Game",INDEX('Game Records'!$U:$U,$H166)&lt;&gt;"Disqualified — Free Game",OR(INDEX('Game Records'!$D:$D,$H166)="",LOWER(INDEX('Game Records'!$D:$D,$H166)&amp;"")="n/a")),"Entry Mode; ","")&amp;IF(AND(INDEX('Game Records'!$U:$U,$H166)&lt;&gt;"Subscription",INDEX('Game Records'!$U:$U,$H166)&lt;&gt;"Free Game",INDEX('Game Records'!$U:$U,$H166)&lt;&gt;"Disqualified — Free Game",OR(INDEX('Game Records'!$E:$E,$H166)="",LOWER(INDEX('Game Records'!$E:$E,$H166)&amp;"")="n/a")),"Game Type; ","")&amp;IF(INDEX('Game Records'!$F:$F,$H166)="","Payment Type; ","")&amp;IF(AND(INDEX('Game Records'!$U:$U,$H166)&lt;&gt;"Subscription",INDEX('Game Records'!$U:$U,$H166)&lt;&gt;"Free Game",INDEX('Game Records'!$U:$U,$H166)&lt;&gt;"Disqualified — Free Game",INDEX('Game Records'!$G:$G,$H166)=""),"Gross Pot; ","")&amp;IF(AND(INDEX('Game Records'!$U:$U,$H166)&lt;&gt;"Free Game",INDEX('Game Records'!$U:$U,$H166)&lt;&gt;"Disqualified — Free Game",INDEX('Game Records'!$H:$H,$H166)=""),"Entry Fee; ","")&amp;IF(AND(INDEX('Game Records'!$U:$U,$H166)&lt;&gt;"Subscription",INDEX('Game Records'!$U:$U,$H166)&lt;&gt;"Free Game",INDEX('Game Records'!$U:$U,$H166)&lt;&gt;"Disqualified — Free Game",INDEX('Game Records'!$I:$I,$H166)=""),"Eligible Players; ","")&amp;IF(AND(INDEX('Game Records'!$U:$U,$H166)&lt;&gt;"Subscription",INDEX('Game Records'!$U:$U,$H166)&lt;&gt;"Free Game",INDEX('Game Records'!$U:$U,$H166)&lt;&gt;"Disqualified — Free Game",INDEX('Game Records'!$J:$J,$H166)=""),"Total Players; ","")&amp;IF(AND(LOWER(INDEX('Game Records'!$D:$D,$H166)&amp;"")="finalized",LOWER(INDEX('Game Records'!$L:$L,$H166)&amp;"")&lt;&gt;"yes",INDEX('Game Records'!$U:$U,$H166)&lt;&gt;"Subscription",INDEX('Game Records'!$U:$U,$H166)&lt;&gt;"Free Game",INDEX('Game Records'!$U:$U,$H166)&lt;&gt;"Disqualified — Free Game",INDEX('Game Records'!$K:$K,$H166)=""),"Final Payout; ","")&amp;IF(AND(LOWER(INDEX('Game Records'!$D:$D,$H166)&amp;"")="finalized",INDEX('Game Records'!$U:$U,$H166)&lt;&gt;"Subscription",INDEX('Game Records'!$U:$U,$H166)&lt;&gt;"Free Game",INDEX('Game Records'!$U:$U,$H166)&lt;&gt;"Disqualified — Free Game",OR(INDEX('Game Records'!$L:$L,$H166)="",LOWER(INDEX('Game Records'!$L:$L,$H166)&amp;"")="n/a")),"Disqualified Status; ",""))</f>
        <v/>
      </c>
      <c r="G166" s="23" t="str">
        <f t="array" ref="G166">IF($H166="","",IFERROR(INDEX('Game Records'!$M:$M,$H166),""))</f>
        <v/>
      </c>
      <c r="H166" s="3"/>
      <c r="I166" s="3"/>
      <c r="J166" s="3"/>
    </row>
    <row r="167" ht="24.0" customHeight="1">
      <c r="A167" s="18" t="str">
        <f t="shared" si="1"/>
        <v/>
      </c>
      <c r="B167" s="18" t="str">
        <f t="shared" si="2"/>
        <v/>
      </c>
      <c r="C167" s="23" t="str">
        <f t="array" ref="C167">IF($H167="","",IFERROR(INDEX('Game Records'!$A:$A,$H167),""))</f>
        <v/>
      </c>
      <c r="D167" s="23" t="str">
        <f t="array" ref="D167">IF($H167="","",IFERROR(INDEX('Game Records'!$U:$U,$H167),""))</f>
        <v/>
      </c>
      <c r="E167" s="23" t="str">
        <f t="array" ref="E167">IF($H167="","",LET(r,$H167,mode,LOWER(INDEX('Game Records'!$D:$D,r)&amp;""),endDate,INDEX('Game Records'!$C:$C,r),IF(mode="estimate",IF(endDate="","Estimate — End Date missing",IF(NOT(ISNUMBER(endDate)),"Estimate — Check End Date",IF(INT(endDate)&gt;=TODAY(),"In Progress — ends "&amp;TEXT(endDate,"mmm d, yyyy"),"Ready to Finalize"))),IF($F167="","No Highlighted Fields","Highlighted Fields Present"))))</f>
        <v/>
      </c>
      <c r="F167" s="23" t="str">
        <f t="array" ref="F167">IF($H167="","",IF(OR(NOT(_xlfn.ISFORMULA(INDEX('Game Records'!$N:$N,$H167))),NOT(_xlfn.ISFORMULA(INDEX('Game Records'!$O:$O,$H167))),NOT(_xlfn.ISFORMULA(INDEX('Game Records'!$P:$P,$H167))),NOT(_xlfn.ISFORMULA(INDEX('Game Records'!$Q:$Q,$H167))),NOT(_xlfn.ISFORMULA(INDEX('Game Records'!$R:$R,$H167))),NOT(_xlfn.ISFORMULA(INDEX('Game Records'!$S:$S,$H167))),NOT(_xlfn.ISFORMULA(INDEX('Game Records'!$T:$T,$H167))),NOT(_xlfn.ISFORMULA(INDEX('Game Records'!$U:$U,$H167))),NOT(_xlfn.ISFORMULA(INDEX('Game Records'!$V:$V,$H167))),NOT(_xlfn.ISFORMULA(INDEX('Game Records'!$W:$W,$H167))),NOT(_xlfn.ISFORMULA(INDEX('Game Records'!$X:$X,$H167))),NOT(_xlfn.ISFORMULA(INDEX('Game Records'!$Y:$Y,$H167))),NOT(_xlfn.ISFORMULA(INDEX('Game Records'!$Z:$Z,$H167)))),"","")&amp;IF(INDEX('Game Records'!$B:$B,$H167)="","Start Date; ","")&amp;IF(INDEX('Game Records'!$C:$C,$H167)="","End Date; ","")&amp;IF(AND(INDEX('Game Records'!$U:$U,$H167)&lt;&gt;"Subscription",INDEX('Game Records'!$U:$U,$H167)&lt;&gt;"Free Game",INDEX('Game Records'!$U:$U,$H167)&lt;&gt;"Disqualified — Free Game",OR(INDEX('Game Records'!$D:$D,$H167)="",LOWER(INDEX('Game Records'!$D:$D,$H167)&amp;"")="n/a")),"Entry Mode; ","")&amp;IF(AND(INDEX('Game Records'!$U:$U,$H167)&lt;&gt;"Subscription",INDEX('Game Records'!$U:$U,$H167)&lt;&gt;"Free Game",INDEX('Game Records'!$U:$U,$H167)&lt;&gt;"Disqualified — Free Game",OR(INDEX('Game Records'!$E:$E,$H167)="",LOWER(INDEX('Game Records'!$E:$E,$H167)&amp;"")="n/a")),"Game Type; ","")&amp;IF(INDEX('Game Records'!$F:$F,$H167)="","Payment Type; ","")&amp;IF(AND(INDEX('Game Records'!$U:$U,$H167)&lt;&gt;"Subscription",INDEX('Game Records'!$U:$U,$H167)&lt;&gt;"Free Game",INDEX('Game Records'!$U:$U,$H167)&lt;&gt;"Disqualified — Free Game",INDEX('Game Records'!$G:$G,$H167)=""),"Gross Pot; ","")&amp;IF(AND(INDEX('Game Records'!$U:$U,$H167)&lt;&gt;"Free Game",INDEX('Game Records'!$U:$U,$H167)&lt;&gt;"Disqualified — Free Game",INDEX('Game Records'!$H:$H,$H167)=""),"Entry Fee; ","")&amp;IF(AND(INDEX('Game Records'!$U:$U,$H167)&lt;&gt;"Subscription",INDEX('Game Records'!$U:$U,$H167)&lt;&gt;"Free Game",INDEX('Game Records'!$U:$U,$H167)&lt;&gt;"Disqualified — Free Game",INDEX('Game Records'!$I:$I,$H167)=""),"Eligible Players; ","")&amp;IF(AND(INDEX('Game Records'!$U:$U,$H167)&lt;&gt;"Subscription",INDEX('Game Records'!$U:$U,$H167)&lt;&gt;"Free Game",INDEX('Game Records'!$U:$U,$H167)&lt;&gt;"Disqualified — Free Game",INDEX('Game Records'!$J:$J,$H167)=""),"Total Players; ","")&amp;IF(AND(LOWER(INDEX('Game Records'!$D:$D,$H167)&amp;"")="finalized",LOWER(INDEX('Game Records'!$L:$L,$H167)&amp;"")&lt;&gt;"yes",INDEX('Game Records'!$U:$U,$H167)&lt;&gt;"Subscription",INDEX('Game Records'!$U:$U,$H167)&lt;&gt;"Free Game",INDEX('Game Records'!$U:$U,$H167)&lt;&gt;"Disqualified — Free Game",INDEX('Game Records'!$K:$K,$H167)=""),"Final Payout; ","")&amp;IF(AND(LOWER(INDEX('Game Records'!$D:$D,$H167)&amp;"")="finalized",INDEX('Game Records'!$U:$U,$H167)&lt;&gt;"Subscription",INDEX('Game Records'!$U:$U,$H167)&lt;&gt;"Free Game",INDEX('Game Records'!$U:$U,$H167)&lt;&gt;"Disqualified — Free Game",OR(INDEX('Game Records'!$L:$L,$H167)="",LOWER(INDEX('Game Records'!$L:$L,$H167)&amp;"")="n/a")),"Disqualified Status; ",""))</f>
        <v/>
      </c>
      <c r="G167" s="23" t="str">
        <f t="array" ref="G167">IF($H167="","",IFERROR(INDEX('Game Records'!$M:$M,$H167),""))</f>
        <v/>
      </c>
      <c r="H167" s="3"/>
      <c r="I167" s="3"/>
      <c r="J167" s="3"/>
    </row>
    <row r="168" ht="24.0" customHeight="1">
      <c r="A168" s="18" t="str">
        <f t="shared" si="1"/>
        <v/>
      </c>
      <c r="B168" s="18" t="str">
        <f t="shared" si="2"/>
        <v/>
      </c>
      <c r="C168" s="23" t="str">
        <f t="array" ref="C168">IF($H168="","",IFERROR(INDEX('Game Records'!$A:$A,$H168),""))</f>
        <v/>
      </c>
      <c r="D168" s="23" t="str">
        <f t="array" ref="D168">IF($H168="","",IFERROR(INDEX('Game Records'!$U:$U,$H168),""))</f>
        <v/>
      </c>
      <c r="E168" s="23" t="str">
        <f t="array" ref="E168">IF($H168="","",LET(r,$H168,mode,LOWER(INDEX('Game Records'!$D:$D,r)&amp;""),endDate,INDEX('Game Records'!$C:$C,r),IF(mode="estimate",IF(endDate="","Estimate — End Date missing",IF(NOT(ISNUMBER(endDate)),"Estimate — Check End Date",IF(INT(endDate)&gt;=TODAY(),"In Progress — ends "&amp;TEXT(endDate,"mmm d, yyyy"),"Ready to Finalize"))),IF($F168="","No Highlighted Fields","Highlighted Fields Present"))))</f>
        <v/>
      </c>
      <c r="F168" s="23" t="str">
        <f t="array" ref="F168">IF($H168="","",IF(OR(NOT(_xlfn.ISFORMULA(INDEX('Game Records'!$N:$N,$H168))),NOT(_xlfn.ISFORMULA(INDEX('Game Records'!$O:$O,$H168))),NOT(_xlfn.ISFORMULA(INDEX('Game Records'!$P:$P,$H168))),NOT(_xlfn.ISFORMULA(INDEX('Game Records'!$Q:$Q,$H168))),NOT(_xlfn.ISFORMULA(INDEX('Game Records'!$R:$R,$H168))),NOT(_xlfn.ISFORMULA(INDEX('Game Records'!$S:$S,$H168))),NOT(_xlfn.ISFORMULA(INDEX('Game Records'!$T:$T,$H168))),NOT(_xlfn.ISFORMULA(INDEX('Game Records'!$U:$U,$H168))),NOT(_xlfn.ISFORMULA(INDEX('Game Records'!$V:$V,$H168))),NOT(_xlfn.ISFORMULA(INDEX('Game Records'!$W:$W,$H168))),NOT(_xlfn.ISFORMULA(INDEX('Game Records'!$X:$X,$H168))),NOT(_xlfn.ISFORMULA(INDEX('Game Records'!$Y:$Y,$H168))),NOT(_xlfn.ISFORMULA(INDEX('Game Records'!$Z:$Z,$H168)))),"","")&amp;IF(INDEX('Game Records'!$B:$B,$H168)="","Start Date; ","")&amp;IF(INDEX('Game Records'!$C:$C,$H168)="","End Date; ","")&amp;IF(AND(INDEX('Game Records'!$U:$U,$H168)&lt;&gt;"Subscription",INDEX('Game Records'!$U:$U,$H168)&lt;&gt;"Free Game",INDEX('Game Records'!$U:$U,$H168)&lt;&gt;"Disqualified — Free Game",OR(INDEX('Game Records'!$D:$D,$H168)="",LOWER(INDEX('Game Records'!$D:$D,$H168)&amp;"")="n/a")),"Entry Mode; ","")&amp;IF(AND(INDEX('Game Records'!$U:$U,$H168)&lt;&gt;"Subscription",INDEX('Game Records'!$U:$U,$H168)&lt;&gt;"Free Game",INDEX('Game Records'!$U:$U,$H168)&lt;&gt;"Disqualified — Free Game",OR(INDEX('Game Records'!$E:$E,$H168)="",LOWER(INDEX('Game Records'!$E:$E,$H168)&amp;"")="n/a")),"Game Type; ","")&amp;IF(INDEX('Game Records'!$F:$F,$H168)="","Payment Type; ","")&amp;IF(AND(INDEX('Game Records'!$U:$U,$H168)&lt;&gt;"Subscription",INDEX('Game Records'!$U:$U,$H168)&lt;&gt;"Free Game",INDEX('Game Records'!$U:$U,$H168)&lt;&gt;"Disqualified — Free Game",INDEX('Game Records'!$G:$G,$H168)=""),"Gross Pot; ","")&amp;IF(AND(INDEX('Game Records'!$U:$U,$H168)&lt;&gt;"Free Game",INDEX('Game Records'!$U:$U,$H168)&lt;&gt;"Disqualified — Free Game",INDEX('Game Records'!$H:$H,$H168)=""),"Entry Fee; ","")&amp;IF(AND(INDEX('Game Records'!$U:$U,$H168)&lt;&gt;"Subscription",INDEX('Game Records'!$U:$U,$H168)&lt;&gt;"Free Game",INDEX('Game Records'!$U:$U,$H168)&lt;&gt;"Disqualified — Free Game",INDEX('Game Records'!$I:$I,$H168)=""),"Eligible Players; ","")&amp;IF(AND(INDEX('Game Records'!$U:$U,$H168)&lt;&gt;"Subscription",INDEX('Game Records'!$U:$U,$H168)&lt;&gt;"Free Game",INDEX('Game Records'!$U:$U,$H168)&lt;&gt;"Disqualified — Free Game",INDEX('Game Records'!$J:$J,$H168)=""),"Total Players; ","")&amp;IF(AND(LOWER(INDEX('Game Records'!$D:$D,$H168)&amp;"")="finalized",LOWER(INDEX('Game Records'!$L:$L,$H168)&amp;"")&lt;&gt;"yes",INDEX('Game Records'!$U:$U,$H168)&lt;&gt;"Subscription",INDEX('Game Records'!$U:$U,$H168)&lt;&gt;"Free Game",INDEX('Game Records'!$U:$U,$H168)&lt;&gt;"Disqualified — Free Game",INDEX('Game Records'!$K:$K,$H168)=""),"Final Payout; ","")&amp;IF(AND(LOWER(INDEX('Game Records'!$D:$D,$H168)&amp;"")="finalized",INDEX('Game Records'!$U:$U,$H168)&lt;&gt;"Subscription",INDEX('Game Records'!$U:$U,$H168)&lt;&gt;"Free Game",INDEX('Game Records'!$U:$U,$H168)&lt;&gt;"Disqualified — Free Game",OR(INDEX('Game Records'!$L:$L,$H168)="",LOWER(INDEX('Game Records'!$L:$L,$H168)&amp;"")="n/a")),"Disqualified Status; ",""))</f>
        <v/>
      </c>
      <c r="G168" s="23" t="str">
        <f t="array" ref="G168">IF($H168="","",IFERROR(INDEX('Game Records'!$M:$M,$H168),""))</f>
        <v/>
      </c>
      <c r="H168" s="3"/>
      <c r="I168" s="3"/>
      <c r="J168" s="3"/>
    </row>
    <row r="169" ht="24.0" customHeight="1">
      <c r="A169" s="18" t="str">
        <f t="shared" si="1"/>
        <v/>
      </c>
      <c r="B169" s="18" t="str">
        <f t="shared" si="2"/>
        <v/>
      </c>
      <c r="C169" s="23" t="str">
        <f t="array" ref="C169">IF($H169="","",IFERROR(INDEX('Game Records'!$A:$A,$H169),""))</f>
        <v/>
      </c>
      <c r="D169" s="23" t="str">
        <f t="array" ref="D169">IF($H169="","",IFERROR(INDEX('Game Records'!$U:$U,$H169),""))</f>
        <v/>
      </c>
      <c r="E169" s="23" t="str">
        <f t="array" ref="E169">IF($H169="","",LET(r,$H169,mode,LOWER(INDEX('Game Records'!$D:$D,r)&amp;""),endDate,INDEX('Game Records'!$C:$C,r),IF(mode="estimate",IF(endDate="","Estimate — End Date missing",IF(NOT(ISNUMBER(endDate)),"Estimate — Check End Date",IF(INT(endDate)&gt;=TODAY(),"In Progress — ends "&amp;TEXT(endDate,"mmm d, yyyy"),"Ready to Finalize"))),IF($F169="","No Highlighted Fields","Highlighted Fields Present"))))</f>
        <v/>
      </c>
      <c r="F169" s="23" t="str">
        <f t="array" ref="F169">IF($H169="","",IF(OR(NOT(_xlfn.ISFORMULA(INDEX('Game Records'!$N:$N,$H169))),NOT(_xlfn.ISFORMULA(INDEX('Game Records'!$O:$O,$H169))),NOT(_xlfn.ISFORMULA(INDEX('Game Records'!$P:$P,$H169))),NOT(_xlfn.ISFORMULA(INDEX('Game Records'!$Q:$Q,$H169))),NOT(_xlfn.ISFORMULA(INDEX('Game Records'!$R:$R,$H169))),NOT(_xlfn.ISFORMULA(INDEX('Game Records'!$S:$S,$H169))),NOT(_xlfn.ISFORMULA(INDEX('Game Records'!$T:$T,$H169))),NOT(_xlfn.ISFORMULA(INDEX('Game Records'!$U:$U,$H169))),NOT(_xlfn.ISFORMULA(INDEX('Game Records'!$V:$V,$H169))),NOT(_xlfn.ISFORMULA(INDEX('Game Records'!$W:$W,$H169))),NOT(_xlfn.ISFORMULA(INDEX('Game Records'!$X:$X,$H169))),NOT(_xlfn.ISFORMULA(INDEX('Game Records'!$Y:$Y,$H169))),NOT(_xlfn.ISFORMULA(INDEX('Game Records'!$Z:$Z,$H169)))),"","")&amp;IF(INDEX('Game Records'!$B:$B,$H169)="","Start Date; ","")&amp;IF(INDEX('Game Records'!$C:$C,$H169)="","End Date; ","")&amp;IF(AND(INDEX('Game Records'!$U:$U,$H169)&lt;&gt;"Subscription",INDEX('Game Records'!$U:$U,$H169)&lt;&gt;"Free Game",INDEX('Game Records'!$U:$U,$H169)&lt;&gt;"Disqualified — Free Game",OR(INDEX('Game Records'!$D:$D,$H169)="",LOWER(INDEX('Game Records'!$D:$D,$H169)&amp;"")="n/a")),"Entry Mode; ","")&amp;IF(AND(INDEX('Game Records'!$U:$U,$H169)&lt;&gt;"Subscription",INDEX('Game Records'!$U:$U,$H169)&lt;&gt;"Free Game",INDEX('Game Records'!$U:$U,$H169)&lt;&gt;"Disqualified — Free Game",OR(INDEX('Game Records'!$E:$E,$H169)="",LOWER(INDEX('Game Records'!$E:$E,$H169)&amp;"")="n/a")),"Game Type; ","")&amp;IF(INDEX('Game Records'!$F:$F,$H169)="","Payment Type; ","")&amp;IF(AND(INDEX('Game Records'!$U:$U,$H169)&lt;&gt;"Subscription",INDEX('Game Records'!$U:$U,$H169)&lt;&gt;"Free Game",INDEX('Game Records'!$U:$U,$H169)&lt;&gt;"Disqualified — Free Game",INDEX('Game Records'!$G:$G,$H169)=""),"Gross Pot; ","")&amp;IF(AND(INDEX('Game Records'!$U:$U,$H169)&lt;&gt;"Free Game",INDEX('Game Records'!$U:$U,$H169)&lt;&gt;"Disqualified — Free Game",INDEX('Game Records'!$H:$H,$H169)=""),"Entry Fee; ","")&amp;IF(AND(INDEX('Game Records'!$U:$U,$H169)&lt;&gt;"Subscription",INDEX('Game Records'!$U:$U,$H169)&lt;&gt;"Free Game",INDEX('Game Records'!$U:$U,$H169)&lt;&gt;"Disqualified — Free Game",INDEX('Game Records'!$I:$I,$H169)=""),"Eligible Players; ","")&amp;IF(AND(INDEX('Game Records'!$U:$U,$H169)&lt;&gt;"Subscription",INDEX('Game Records'!$U:$U,$H169)&lt;&gt;"Free Game",INDEX('Game Records'!$U:$U,$H169)&lt;&gt;"Disqualified — Free Game",INDEX('Game Records'!$J:$J,$H169)=""),"Total Players; ","")&amp;IF(AND(LOWER(INDEX('Game Records'!$D:$D,$H169)&amp;"")="finalized",LOWER(INDEX('Game Records'!$L:$L,$H169)&amp;"")&lt;&gt;"yes",INDEX('Game Records'!$U:$U,$H169)&lt;&gt;"Subscription",INDEX('Game Records'!$U:$U,$H169)&lt;&gt;"Free Game",INDEX('Game Records'!$U:$U,$H169)&lt;&gt;"Disqualified — Free Game",INDEX('Game Records'!$K:$K,$H169)=""),"Final Payout; ","")&amp;IF(AND(LOWER(INDEX('Game Records'!$D:$D,$H169)&amp;"")="finalized",INDEX('Game Records'!$U:$U,$H169)&lt;&gt;"Subscription",INDEX('Game Records'!$U:$U,$H169)&lt;&gt;"Free Game",INDEX('Game Records'!$U:$U,$H169)&lt;&gt;"Disqualified — Free Game",OR(INDEX('Game Records'!$L:$L,$H169)="",LOWER(INDEX('Game Records'!$L:$L,$H169)&amp;"")="n/a")),"Disqualified Status; ",""))</f>
        <v/>
      </c>
      <c r="G169" s="23" t="str">
        <f t="array" ref="G169">IF($H169="","",IFERROR(INDEX('Game Records'!$M:$M,$H169),""))</f>
        <v/>
      </c>
      <c r="H169" s="3"/>
      <c r="I169" s="3"/>
      <c r="J169" s="3"/>
    </row>
    <row r="170" ht="24.0" customHeight="1">
      <c r="A170" s="18" t="str">
        <f t="shared" si="1"/>
        <v/>
      </c>
      <c r="B170" s="18" t="str">
        <f t="shared" si="2"/>
        <v/>
      </c>
      <c r="C170" s="23" t="str">
        <f t="array" ref="C170">IF($H170="","",IFERROR(INDEX('Game Records'!$A:$A,$H170),""))</f>
        <v/>
      </c>
      <c r="D170" s="23" t="str">
        <f t="array" ref="D170">IF($H170="","",IFERROR(INDEX('Game Records'!$U:$U,$H170),""))</f>
        <v/>
      </c>
      <c r="E170" s="23" t="str">
        <f t="array" ref="E170">IF($H170="","",LET(r,$H170,mode,LOWER(INDEX('Game Records'!$D:$D,r)&amp;""),endDate,INDEX('Game Records'!$C:$C,r),IF(mode="estimate",IF(endDate="","Estimate — End Date missing",IF(NOT(ISNUMBER(endDate)),"Estimate — Check End Date",IF(INT(endDate)&gt;=TODAY(),"In Progress — ends "&amp;TEXT(endDate,"mmm d, yyyy"),"Ready to Finalize"))),IF($F170="","No Highlighted Fields","Highlighted Fields Present"))))</f>
        <v/>
      </c>
      <c r="F170" s="23" t="str">
        <f t="array" ref="F170">IF($H170="","",IF(OR(NOT(_xlfn.ISFORMULA(INDEX('Game Records'!$N:$N,$H170))),NOT(_xlfn.ISFORMULA(INDEX('Game Records'!$O:$O,$H170))),NOT(_xlfn.ISFORMULA(INDEX('Game Records'!$P:$P,$H170))),NOT(_xlfn.ISFORMULA(INDEX('Game Records'!$Q:$Q,$H170))),NOT(_xlfn.ISFORMULA(INDEX('Game Records'!$R:$R,$H170))),NOT(_xlfn.ISFORMULA(INDEX('Game Records'!$S:$S,$H170))),NOT(_xlfn.ISFORMULA(INDEX('Game Records'!$T:$T,$H170))),NOT(_xlfn.ISFORMULA(INDEX('Game Records'!$U:$U,$H170))),NOT(_xlfn.ISFORMULA(INDEX('Game Records'!$V:$V,$H170))),NOT(_xlfn.ISFORMULA(INDEX('Game Records'!$W:$W,$H170))),NOT(_xlfn.ISFORMULA(INDEX('Game Records'!$X:$X,$H170))),NOT(_xlfn.ISFORMULA(INDEX('Game Records'!$Y:$Y,$H170))),NOT(_xlfn.ISFORMULA(INDEX('Game Records'!$Z:$Z,$H170)))),"","")&amp;IF(INDEX('Game Records'!$B:$B,$H170)="","Start Date; ","")&amp;IF(INDEX('Game Records'!$C:$C,$H170)="","End Date; ","")&amp;IF(AND(INDEX('Game Records'!$U:$U,$H170)&lt;&gt;"Subscription",INDEX('Game Records'!$U:$U,$H170)&lt;&gt;"Free Game",INDEX('Game Records'!$U:$U,$H170)&lt;&gt;"Disqualified — Free Game",OR(INDEX('Game Records'!$D:$D,$H170)="",LOWER(INDEX('Game Records'!$D:$D,$H170)&amp;"")="n/a")),"Entry Mode; ","")&amp;IF(AND(INDEX('Game Records'!$U:$U,$H170)&lt;&gt;"Subscription",INDEX('Game Records'!$U:$U,$H170)&lt;&gt;"Free Game",INDEX('Game Records'!$U:$U,$H170)&lt;&gt;"Disqualified — Free Game",OR(INDEX('Game Records'!$E:$E,$H170)="",LOWER(INDEX('Game Records'!$E:$E,$H170)&amp;"")="n/a")),"Game Type; ","")&amp;IF(INDEX('Game Records'!$F:$F,$H170)="","Payment Type; ","")&amp;IF(AND(INDEX('Game Records'!$U:$U,$H170)&lt;&gt;"Subscription",INDEX('Game Records'!$U:$U,$H170)&lt;&gt;"Free Game",INDEX('Game Records'!$U:$U,$H170)&lt;&gt;"Disqualified — Free Game",INDEX('Game Records'!$G:$G,$H170)=""),"Gross Pot; ","")&amp;IF(AND(INDEX('Game Records'!$U:$U,$H170)&lt;&gt;"Free Game",INDEX('Game Records'!$U:$U,$H170)&lt;&gt;"Disqualified — Free Game",INDEX('Game Records'!$H:$H,$H170)=""),"Entry Fee; ","")&amp;IF(AND(INDEX('Game Records'!$U:$U,$H170)&lt;&gt;"Subscription",INDEX('Game Records'!$U:$U,$H170)&lt;&gt;"Free Game",INDEX('Game Records'!$U:$U,$H170)&lt;&gt;"Disqualified — Free Game",INDEX('Game Records'!$I:$I,$H170)=""),"Eligible Players; ","")&amp;IF(AND(INDEX('Game Records'!$U:$U,$H170)&lt;&gt;"Subscription",INDEX('Game Records'!$U:$U,$H170)&lt;&gt;"Free Game",INDEX('Game Records'!$U:$U,$H170)&lt;&gt;"Disqualified — Free Game",INDEX('Game Records'!$J:$J,$H170)=""),"Total Players; ","")&amp;IF(AND(LOWER(INDEX('Game Records'!$D:$D,$H170)&amp;"")="finalized",LOWER(INDEX('Game Records'!$L:$L,$H170)&amp;"")&lt;&gt;"yes",INDEX('Game Records'!$U:$U,$H170)&lt;&gt;"Subscription",INDEX('Game Records'!$U:$U,$H170)&lt;&gt;"Free Game",INDEX('Game Records'!$U:$U,$H170)&lt;&gt;"Disqualified — Free Game",INDEX('Game Records'!$K:$K,$H170)=""),"Final Payout; ","")&amp;IF(AND(LOWER(INDEX('Game Records'!$D:$D,$H170)&amp;"")="finalized",INDEX('Game Records'!$U:$U,$H170)&lt;&gt;"Subscription",INDEX('Game Records'!$U:$U,$H170)&lt;&gt;"Free Game",INDEX('Game Records'!$U:$U,$H170)&lt;&gt;"Disqualified — Free Game",OR(INDEX('Game Records'!$L:$L,$H170)="",LOWER(INDEX('Game Records'!$L:$L,$H170)&amp;"")="n/a")),"Disqualified Status; ",""))</f>
        <v/>
      </c>
      <c r="G170" s="23" t="str">
        <f t="array" ref="G170">IF($H170="","",IFERROR(INDEX('Game Records'!$M:$M,$H170),""))</f>
        <v/>
      </c>
      <c r="H170" s="3"/>
      <c r="I170" s="3"/>
      <c r="J170" s="3"/>
    </row>
    <row r="171" ht="24.0" customHeight="1">
      <c r="A171" s="18" t="str">
        <f t="shared" si="1"/>
        <v/>
      </c>
      <c r="B171" s="18" t="str">
        <f t="shared" si="2"/>
        <v/>
      </c>
      <c r="C171" s="23" t="str">
        <f t="array" ref="C171">IF($H171="","",IFERROR(INDEX('Game Records'!$A:$A,$H171),""))</f>
        <v/>
      </c>
      <c r="D171" s="23" t="str">
        <f t="array" ref="D171">IF($H171="","",IFERROR(INDEX('Game Records'!$U:$U,$H171),""))</f>
        <v/>
      </c>
      <c r="E171" s="23" t="str">
        <f t="array" ref="E171">IF($H171="","",LET(r,$H171,mode,LOWER(INDEX('Game Records'!$D:$D,r)&amp;""),endDate,INDEX('Game Records'!$C:$C,r),IF(mode="estimate",IF(endDate="","Estimate — End Date missing",IF(NOT(ISNUMBER(endDate)),"Estimate — Check End Date",IF(INT(endDate)&gt;=TODAY(),"In Progress — ends "&amp;TEXT(endDate,"mmm d, yyyy"),"Ready to Finalize"))),IF($F171="","No Highlighted Fields","Highlighted Fields Present"))))</f>
        <v/>
      </c>
      <c r="F171" s="23" t="str">
        <f t="array" ref="F171">IF($H171="","",IF(OR(NOT(_xlfn.ISFORMULA(INDEX('Game Records'!$N:$N,$H171))),NOT(_xlfn.ISFORMULA(INDEX('Game Records'!$O:$O,$H171))),NOT(_xlfn.ISFORMULA(INDEX('Game Records'!$P:$P,$H171))),NOT(_xlfn.ISFORMULA(INDEX('Game Records'!$Q:$Q,$H171))),NOT(_xlfn.ISFORMULA(INDEX('Game Records'!$R:$R,$H171))),NOT(_xlfn.ISFORMULA(INDEX('Game Records'!$S:$S,$H171))),NOT(_xlfn.ISFORMULA(INDEX('Game Records'!$T:$T,$H171))),NOT(_xlfn.ISFORMULA(INDEX('Game Records'!$U:$U,$H171))),NOT(_xlfn.ISFORMULA(INDEX('Game Records'!$V:$V,$H171))),NOT(_xlfn.ISFORMULA(INDEX('Game Records'!$W:$W,$H171))),NOT(_xlfn.ISFORMULA(INDEX('Game Records'!$X:$X,$H171))),NOT(_xlfn.ISFORMULA(INDEX('Game Records'!$Y:$Y,$H171))),NOT(_xlfn.ISFORMULA(INDEX('Game Records'!$Z:$Z,$H171)))),"","")&amp;IF(INDEX('Game Records'!$B:$B,$H171)="","Start Date; ","")&amp;IF(INDEX('Game Records'!$C:$C,$H171)="","End Date; ","")&amp;IF(AND(INDEX('Game Records'!$U:$U,$H171)&lt;&gt;"Subscription",INDEX('Game Records'!$U:$U,$H171)&lt;&gt;"Free Game",INDEX('Game Records'!$U:$U,$H171)&lt;&gt;"Disqualified — Free Game",OR(INDEX('Game Records'!$D:$D,$H171)="",LOWER(INDEX('Game Records'!$D:$D,$H171)&amp;"")="n/a")),"Entry Mode; ","")&amp;IF(AND(INDEX('Game Records'!$U:$U,$H171)&lt;&gt;"Subscription",INDEX('Game Records'!$U:$U,$H171)&lt;&gt;"Free Game",INDEX('Game Records'!$U:$U,$H171)&lt;&gt;"Disqualified — Free Game",OR(INDEX('Game Records'!$E:$E,$H171)="",LOWER(INDEX('Game Records'!$E:$E,$H171)&amp;"")="n/a")),"Game Type; ","")&amp;IF(INDEX('Game Records'!$F:$F,$H171)="","Payment Type; ","")&amp;IF(AND(INDEX('Game Records'!$U:$U,$H171)&lt;&gt;"Subscription",INDEX('Game Records'!$U:$U,$H171)&lt;&gt;"Free Game",INDEX('Game Records'!$U:$U,$H171)&lt;&gt;"Disqualified — Free Game",INDEX('Game Records'!$G:$G,$H171)=""),"Gross Pot; ","")&amp;IF(AND(INDEX('Game Records'!$U:$U,$H171)&lt;&gt;"Free Game",INDEX('Game Records'!$U:$U,$H171)&lt;&gt;"Disqualified — Free Game",INDEX('Game Records'!$H:$H,$H171)=""),"Entry Fee; ","")&amp;IF(AND(INDEX('Game Records'!$U:$U,$H171)&lt;&gt;"Subscription",INDEX('Game Records'!$U:$U,$H171)&lt;&gt;"Free Game",INDEX('Game Records'!$U:$U,$H171)&lt;&gt;"Disqualified — Free Game",INDEX('Game Records'!$I:$I,$H171)=""),"Eligible Players; ","")&amp;IF(AND(INDEX('Game Records'!$U:$U,$H171)&lt;&gt;"Subscription",INDEX('Game Records'!$U:$U,$H171)&lt;&gt;"Free Game",INDEX('Game Records'!$U:$U,$H171)&lt;&gt;"Disqualified — Free Game",INDEX('Game Records'!$J:$J,$H171)=""),"Total Players; ","")&amp;IF(AND(LOWER(INDEX('Game Records'!$D:$D,$H171)&amp;"")="finalized",LOWER(INDEX('Game Records'!$L:$L,$H171)&amp;"")&lt;&gt;"yes",INDEX('Game Records'!$U:$U,$H171)&lt;&gt;"Subscription",INDEX('Game Records'!$U:$U,$H171)&lt;&gt;"Free Game",INDEX('Game Records'!$U:$U,$H171)&lt;&gt;"Disqualified — Free Game",INDEX('Game Records'!$K:$K,$H171)=""),"Final Payout; ","")&amp;IF(AND(LOWER(INDEX('Game Records'!$D:$D,$H171)&amp;"")="finalized",INDEX('Game Records'!$U:$U,$H171)&lt;&gt;"Subscription",INDEX('Game Records'!$U:$U,$H171)&lt;&gt;"Free Game",INDEX('Game Records'!$U:$U,$H171)&lt;&gt;"Disqualified — Free Game",OR(INDEX('Game Records'!$L:$L,$H171)="",LOWER(INDEX('Game Records'!$L:$L,$H171)&amp;"")="n/a")),"Disqualified Status; ",""))</f>
        <v/>
      </c>
      <c r="G171" s="23" t="str">
        <f t="array" ref="G171">IF($H171="","",IFERROR(INDEX('Game Records'!$M:$M,$H171),""))</f>
        <v/>
      </c>
      <c r="H171" s="3"/>
      <c r="I171" s="3"/>
      <c r="J171" s="3"/>
    </row>
    <row r="172" ht="24.0" customHeight="1">
      <c r="A172" s="18" t="str">
        <f t="shared" si="1"/>
        <v/>
      </c>
      <c r="B172" s="18" t="str">
        <f t="shared" si="2"/>
        <v/>
      </c>
      <c r="C172" s="23" t="str">
        <f t="array" ref="C172">IF($H172="","",IFERROR(INDEX('Game Records'!$A:$A,$H172),""))</f>
        <v/>
      </c>
      <c r="D172" s="23" t="str">
        <f t="array" ref="D172">IF($H172="","",IFERROR(INDEX('Game Records'!$U:$U,$H172),""))</f>
        <v/>
      </c>
      <c r="E172" s="23" t="str">
        <f t="array" ref="E172">IF($H172="","",LET(r,$H172,mode,LOWER(INDEX('Game Records'!$D:$D,r)&amp;""),endDate,INDEX('Game Records'!$C:$C,r),IF(mode="estimate",IF(endDate="","Estimate — End Date missing",IF(NOT(ISNUMBER(endDate)),"Estimate — Check End Date",IF(INT(endDate)&gt;=TODAY(),"In Progress — ends "&amp;TEXT(endDate,"mmm d, yyyy"),"Ready to Finalize"))),IF($F172="","No Highlighted Fields","Highlighted Fields Present"))))</f>
        <v/>
      </c>
      <c r="F172" s="23" t="str">
        <f t="array" ref="F172">IF($H172="","",IF(OR(NOT(_xlfn.ISFORMULA(INDEX('Game Records'!$N:$N,$H172))),NOT(_xlfn.ISFORMULA(INDEX('Game Records'!$O:$O,$H172))),NOT(_xlfn.ISFORMULA(INDEX('Game Records'!$P:$P,$H172))),NOT(_xlfn.ISFORMULA(INDEX('Game Records'!$Q:$Q,$H172))),NOT(_xlfn.ISFORMULA(INDEX('Game Records'!$R:$R,$H172))),NOT(_xlfn.ISFORMULA(INDEX('Game Records'!$S:$S,$H172))),NOT(_xlfn.ISFORMULA(INDEX('Game Records'!$T:$T,$H172))),NOT(_xlfn.ISFORMULA(INDEX('Game Records'!$U:$U,$H172))),NOT(_xlfn.ISFORMULA(INDEX('Game Records'!$V:$V,$H172))),NOT(_xlfn.ISFORMULA(INDEX('Game Records'!$W:$W,$H172))),NOT(_xlfn.ISFORMULA(INDEX('Game Records'!$X:$X,$H172))),NOT(_xlfn.ISFORMULA(INDEX('Game Records'!$Y:$Y,$H172))),NOT(_xlfn.ISFORMULA(INDEX('Game Records'!$Z:$Z,$H172)))),"","")&amp;IF(INDEX('Game Records'!$B:$B,$H172)="","Start Date; ","")&amp;IF(INDEX('Game Records'!$C:$C,$H172)="","End Date; ","")&amp;IF(AND(INDEX('Game Records'!$U:$U,$H172)&lt;&gt;"Subscription",INDEX('Game Records'!$U:$U,$H172)&lt;&gt;"Free Game",INDEX('Game Records'!$U:$U,$H172)&lt;&gt;"Disqualified — Free Game",OR(INDEX('Game Records'!$D:$D,$H172)="",LOWER(INDEX('Game Records'!$D:$D,$H172)&amp;"")="n/a")),"Entry Mode; ","")&amp;IF(AND(INDEX('Game Records'!$U:$U,$H172)&lt;&gt;"Subscription",INDEX('Game Records'!$U:$U,$H172)&lt;&gt;"Free Game",INDEX('Game Records'!$U:$U,$H172)&lt;&gt;"Disqualified — Free Game",OR(INDEX('Game Records'!$E:$E,$H172)="",LOWER(INDEX('Game Records'!$E:$E,$H172)&amp;"")="n/a")),"Game Type; ","")&amp;IF(INDEX('Game Records'!$F:$F,$H172)="","Payment Type; ","")&amp;IF(AND(INDEX('Game Records'!$U:$U,$H172)&lt;&gt;"Subscription",INDEX('Game Records'!$U:$U,$H172)&lt;&gt;"Free Game",INDEX('Game Records'!$U:$U,$H172)&lt;&gt;"Disqualified — Free Game",INDEX('Game Records'!$G:$G,$H172)=""),"Gross Pot; ","")&amp;IF(AND(INDEX('Game Records'!$U:$U,$H172)&lt;&gt;"Free Game",INDEX('Game Records'!$U:$U,$H172)&lt;&gt;"Disqualified — Free Game",INDEX('Game Records'!$H:$H,$H172)=""),"Entry Fee; ","")&amp;IF(AND(INDEX('Game Records'!$U:$U,$H172)&lt;&gt;"Subscription",INDEX('Game Records'!$U:$U,$H172)&lt;&gt;"Free Game",INDEX('Game Records'!$U:$U,$H172)&lt;&gt;"Disqualified — Free Game",INDEX('Game Records'!$I:$I,$H172)=""),"Eligible Players; ","")&amp;IF(AND(INDEX('Game Records'!$U:$U,$H172)&lt;&gt;"Subscription",INDEX('Game Records'!$U:$U,$H172)&lt;&gt;"Free Game",INDEX('Game Records'!$U:$U,$H172)&lt;&gt;"Disqualified — Free Game",INDEX('Game Records'!$J:$J,$H172)=""),"Total Players; ","")&amp;IF(AND(LOWER(INDEX('Game Records'!$D:$D,$H172)&amp;"")="finalized",LOWER(INDEX('Game Records'!$L:$L,$H172)&amp;"")&lt;&gt;"yes",INDEX('Game Records'!$U:$U,$H172)&lt;&gt;"Subscription",INDEX('Game Records'!$U:$U,$H172)&lt;&gt;"Free Game",INDEX('Game Records'!$U:$U,$H172)&lt;&gt;"Disqualified — Free Game",INDEX('Game Records'!$K:$K,$H172)=""),"Final Payout; ","")&amp;IF(AND(LOWER(INDEX('Game Records'!$D:$D,$H172)&amp;"")="finalized",INDEX('Game Records'!$U:$U,$H172)&lt;&gt;"Subscription",INDEX('Game Records'!$U:$U,$H172)&lt;&gt;"Free Game",INDEX('Game Records'!$U:$U,$H172)&lt;&gt;"Disqualified — Free Game",OR(INDEX('Game Records'!$L:$L,$H172)="",LOWER(INDEX('Game Records'!$L:$L,$H172)&amp;"")="n/a")),"Disqualified Status; ",""))</f>
        <v/>
      </c>
      <c r="G172" s="23" t="str">
        <f t="array" ref="G172">IF($H172="","",IFERROR(INDEX('Game Records'!$M:$M,$H172),""))</f>
        <v/>
      </c>
      <c r="H172" s="3"/>
      <c r="I172" s="3"/>
      <c r="J172" s="3"/>
    </row>
    <row r="173" ht="24.0" customHeight="1">
      <c r="A173" s="18" t="str">
        <f t="shared" si="1"/>
        <v/>
      </c>
      <c r="B173" s="18" t="str">
        <f t="shared" si="2"/>
        <v/>
      </c>
      <c r="C173" s="23" t="str">
        <f t="array" ref="C173">IF($H173="","",IFERROR(INDEX('Game Records'!$A:$A,$H173),""))</f>
        <v/>
      </c>
      <c r="D173" s="23" t="str">
        <f t="array" ref="D173">IF($H173="","",IFERROR(INDEX('Game Records'!$U:$U,$H173),""))</f>
        <v/>
      </c>
      <c r="E173" s="23" t="str">
        <f t="array" ref="E173">IF($H173="","",LET(r,$H173,mode,LOWER(INDEX('Game Records'!$D:$D,r)&amp;""),endDate,INDEX('Game Records'!$C:$C,r),IF(mode="estimate",IF(endDate="","Estimate — End Date missing",IF(NOT(ISNUMBER(endDate)),"Estimate — Check End Date",IF(INT(endDate)&gt;=TODAY(),"In Progress — ends "&amp;TEXT(endDate,"mmm d, yyyy"),"Ready to Finalize"))),IF($F173="","No Highlighted Fields","Highlighted Fields Present"))))</f>
        <v/>
      </c>
      <c r="F173" s="23" t="str">
        <f t="array" ref="F173">IF($H173="","",IF(OR(NOT(_xlfn.ISFORMULA(INDEX('Game Records'!$N:$N,$H173))),NOT(_xlfn.ISFORMULA(INDEX('Game Records'!$O:$O,$H173))),NOT(_xlfn.ISFORMULA(INDEX('Game Records'!$P:$P,$H173))),NOT(_xlfn.ISFORMULA(INDEX('Game Records'!$Q:$Q,$H173))),NOT(_xlfn.ISFORMULA(INDEX('Game Records'!$R:$R,$H173))),NOT(_xlfn.ISFORMULA(INDEX('Game Records'!$S:$S,$H173))),NOT(_xlfn.ISFORMULA(INDEX('Game Records'!$T:$T,$H173))),NOT(_xlfn.ISFORMULA(INDEX('Game Records'!$U:$U,$H173))),NOT(_xlfn.ISFORMULA(INDEX('Game Records'!$V:$V,$H173))),NOT(_xlfn.ISFORMULA(INDEX('Game Records'!$W:$W,$H173))),NOT(_xlfn.ISFORMULA(INDEX('Game Records'!$X:$X,$H173))),NOT(_xlfn.ISFORMULA(INDEX('Game Records'!$Y:$Y,$H173))),NOT(_xlfn.ISFORMULA(INDEX('Game Records'!$Z:$Z,$H173)))),"","")&amp;IF(INDEX('Game Records'!$B:$B,$H173)="","Start Date; ","")&amp;IF(INDEX('Game Records'!$C:$C,$H173)="","End Date; ","")&amp;IF(AND(INDEX('Game Records'!$U:$U,$H173)&lt;&gt;"Subscription",INDEX('Game Records'!$U:$U,$H173)&lt;&gt;"Free Game",INDEX('Game Records'!$U:$U,$H173)&lt;&gt;"Disqualified — Free Game",OR(INDEX('Game Records'!$D:$D,$H173)="",LOWER(INDEX('Game Records'!$D:$D,$H173)&amp;"")="n/a")),"Entry Mode; ","")&amp;IF(AND(INDEX('Game Records'!$U:$U,$H173)&lt;&gt;"Subscription",INDEX('Game Records'!$U:$U,$H173)&lt;&gt;"Free Game",INDEX('Game Records'!$U:$U,$H173)&lt;&gt;"Disqualified — Free Game",OR(INDEX('Game Records'!$E:$E,$H173)="",LOWER(INDEX('Game Records'!$E:$E,$H173)&amp;"")="n/a")),"Game Type; ","")&amp;IF(INDEX('Game Records'!$F:$F,$H173)="","Payment Type; ","")&amp;IF(AND(INDEX('Game Records'!$U:$U,$H173)&lt;&gt;"Subscription",INDEX('Game Records'!$U:$U,$H173)&lt;&gt;"Free Game",INDEX('Game Records'!$U:$U,$H173)&lt;&gt;"Disqualified — Free Game",INDEX('Game Records'!$G:$G,$H173)=""),"Gross Pot; ","")&amp;IF(AND(INDEX('Game Records'!$U:$U,$H173)&lt;&gt;"Free Game",INDEX('Game Records'!$U:$U,$H173)&lt;&gt;"Disqualified — Free Game",INDEX('Game Records'!$H:$H,$H173)=""),"Entry Fee; ","")&amp;IF(AND(INDEX('Game Records'!$U:$U,$H173)&lt;&gt;"Subscription",INDEX('Game Records'!$U:$U,$H173)&lt;&gt;"Free Game",INDEX('Game Records'!$U:$U,$H173)&lt;&gt;"Disqualified — Free Game",INDEX('Game Records'!$I:$I,$H173)=""),"Eligible Players; ","")&amp;IF(AND(INDEX('Game Records'!$U:$U,$H173)&lt;&gt;"Subscription",INDEX('Game Records'!$U:$U,$H173)&lt;&gt;"Free Game",INDEX('Game Records'!$U:$U,$H173)&lt;&gt;"Disqualified — Free Game",INDEX('Game Records'!$J:$J,$H173)=""),"Total Players; ","")&amp;IF(AND(LOWER(INDEX('Game Records'!$D:$D,$H173)&amp;"")="finalized",LOWER(INDEX('Game Records'!$L:$L,$H173)&amp;"")&lt;&gt;"yes",INDEX('Game Records'!$U:$U,$H173)&lt;&gt;"Subscription",INDEX('Game Records'!$U:$U,$H173)&lt;&gt;"Free Game",INDEX('Game Records'!$U:$U,$H173)&lt;&gt;"Disqualified — Free Game",INDEX('Game Records'!$K:$K,$H173)=""),"Final Payout; ","")&amp;IF(AND(LOWER(INDEX('Game Records'!$D:$D,$H173)&amp;"")="finalized",INDEX('Game Records'!$U:$U,$H173)&lt;&gt;"Subscription",INDEX('Game Records'!$U:$U,$H173)&lt;&gt;"Free Game",INDEX('Game Records'!$U:$U,$H173)&lt;&gt;"Disqualified — Free Game",OR(INDEX('Game Records'!$L:$L,$H173)="",LOWER(INDEX('Game Records'!$L:$L,$H173)&amp;"")="n/a")),"Disqualified Status; ",""))</f>
        <v/>
      </c>
      <c r="G173" s="23" t="str">
        <f t="array" ref="G173">IF($H173="","",IFERROR(INDEX('Game Records'!$M:$M,$H173),""))</f>
        <v/>
      </c>
      <c r="H173" s="3"/>
      <c r="I173" s="3"/>
      <c r="J173" s="3"/>
    </row>
    <row r="174" ht="24.0" customHeight="1">
      <c r="A174" s="18" t="str">
        <f t="shared" si="1"/>
        <v/>
      </c>
      <c r="B174" s="18" t="str">
        <f t="shared" si="2"/>
        <v/>
      </c>
      <c r="C174" s="23" t="str">
        <f t="array" ref="C174">IF($H174="","",IFERROR(INDEX('Game Records'!$A:$A,$H174),""))</f>
        <v/>
      </c>
      <c r="D174" s="23" t="str">
        <f t="array" ref="D174">IF($H174="","",IFERROR(INDEX('Game Records'!$U:$U,$H174),""))</f>
        <v/>
      </c>
      <c r="E174" s="23" t="str">
        <f t="array" ref="E174">IF($H174="","",LET(r,$H174,mode,LOWER(INDEX('Game Records'!$D:$D,r)&amp;""),endDate,INDEX('Game Records'!$C:$C,r),IF(mode="estimate",IF(endDate="","Estimate — End Date missing",IF(NOT(ISNUMBER(endDate)),"Estimate — Check End Date",IF(INT(endDate)&gt;=TODAY(),"In Progress — ends "&amp;TEXT(endDate,"mmm d, yyyy"),"Ready to Finalize"))),IF($F174="","No Highlighted Fields","Highlighted Fields Present"))))</f>
        <v/>
      </c>
      <c r="F174" s="23" t="str">
        <f t="array" ref="F174">IF($H174="","",IF(OR(NOT(_xlfn.ISFORMULA(INDEX('Game Records'!$N:$N,$H174))),NOT(_xlfn.ISFORMULA(INDEX('Game Records'!$O:$O,$H174))),NOT(_xlfn.ISFORMULA(INDEX('Game Records'!$P:$P,$H174))),NOT(_xlfn.ISFORMULA(INDEX('Game Records'!$Q:$Q,$H174))),NOT(_xlfn.ISFORMULA(INDEX('Game Records'!$R:$R,$H174))),NOT(_xlfn.ISFORMULA(INDEX('Game Records'!$S:$S,$H174))),NOT(_xlfn.ISFORMULA(INDEX('Game Records'!$T:$T,$H174))),NOT(_xlfn.ISFORMULA(INDEX('Game Records'!$U:$U,$H174))),NOT(_xlfn.ISFORMULA(INDEX('Game Records'!$V:$V,$H174))),NOT(_xlfn.ISFORMULA(INDEX('Game Records'!$W:$W,$H174))),NOT(_xlfn.ISFORMULA(INDEX('Game Records'!$X:$X,$H174))),NOT(_xlfn.ISFORMULA(INDEX('Game Records'!$Y:$Y,$H174))),NOT(_xlfn.ISFORMULA(INDEX('Game Records'!$Z:$Z,$H174)))),"","")&amp;IF(INDEX('Game Records'!$B:$B,$H174)="","Start Date; ","")&amp;IF(INDEX('Game Records'!$C:$C,$H174)="","End Date; ","")&amp;IF(AND(INDEX('Game Records'!$U:$U,$H174)&lt;&gt;"Subscription",INDEX('Game Records'!$U:$U,$H174)&lt;&gt;"Free Game",INDEX('Game Records'!$U:$U,$H174)&lt;&gt;"Disqualified — Free Game",OR(INDEX('Game Records'!$D:$D,$H174)="",LOWER(INDEX('Game Records'!$D:$D,$H174)&amp;"")="n/a")),"Entry Mode; ","")&amp;IF(AND(INDEX('Game Records'!$U:$U,$H174)&lt;&gt;"Subscription",INDEX('Game Records'!$U:$U,$H174)&lt;&gt;"Free Game",INDEX('Game Records'!$U:$U,$H174)&lt;&gt;"Disqualified — Free Game",OR(INDEX('Game Records'!$E:$E,$H174)="",LOWER(INDEX('Game Records'!$E:$E,$H174)&amp;"")="n/a")),"Game Type; ","")&amp;IF(INDEX('Game Records'!$F:$F,$H174)="","Payment Type; ","")&amp;IF(AND(INDEX('Game Records'!$U:$U,$H174)&lt;&gt;"Subscription",INDEX('Game Records'!$U:$U,$H174)&lt;&gt;"Free Game",INDEX('Game Records'!$U:$U,$H174)&lt;&gt;"Disqualified — Free Game",INDEX('Game Records'!$G:$G,$H174)=""),"Gross Pot; ","")&amp;IF(AND(INDEX('Game Records'!$U:$U,$H174)&lt;&gt;"Free Game",INDEX('Game Records'!$U:$U,$H174)&lt;&gt;"Disqualified — Free Game",INDEX('Game Records'!$H:$H,$H174)=""),"Entry Fee; ","")&amp;IF(AND(INDEX('Game Records'!$U:$U,$H174)&lt;&gt;"Subscription",INDEX('Game Records'!$U:$U,$H174)&lt;&gt;"Free Game",INDEX('Game Records'!$U:$U,$H174)&lt;&gt;"Disqualified — Free Game",INDEX('Game Records'!$I:$I,$H174)=""),"Eligible Players; ","")&amp;IF(AND(INDEX('Game Records'!$U:$U,$H174)&lt;&gt;"Subscription",INDEX('Game Records'!$U:$U,$H174)&lt;&gt;"Free Game",INDEX('Game Records'!$U:$U,$H174)&lt;&gt;"Disqualified — Free Game",INDEX('Game Records'!$J:$J,$H174)=""),"Total Players; ","")&amp;IF(AND(LOWER(INDEX('Game Records'!$D:$D,$H174)&amp;"")="finalized",LOWER(INDEX('Game Records'!$L:$L,$H174)&amp;"")&lt;&gt;"yes",INDEX('Game Records'!$U:$U,$H174)&lt;&gt;"Subscription",INDEX('Game Records'!$U:$U,$H174)&lt;&gt;"Free Game",INDEX('Game Records'!$U:$U,$H174)&lt;&gt;"Disqualified — Free Game",INDEX('Game Records'!$K:$K,$H174)=""),"Final Payout; ","")&amp;IF(AND(LOWER(INDEX('Game Records'!$D:$D,$H174)&amp;"")="finalized",INDEX('Game Records'!$U:$U,$H174)&lt;&gt;"Subscription",INDEX('Game Records'!$U:$U,$H174)&lt;&gt;"Free Game",INDEX('Game Records'!$U:$U,$H174)&lt;&gt;"Disqualified — Free Game",OR(INDEX('Game Records'!$L:$L,$H174)="",LOWER(INDEX('Game Records'!$L:$L,$H174)&amp;"")="n/a")),"Disqualified Status; ",""))</f>
        <v/>
      </c>
      <c r="G174" s="23" t="str">
        <f t="array" ref="G174">IF($H174="","",IFERROR(INDEX('Game Records'!$M:$M,$H174),""))</f>
        <v/>
      </c>
      <c r="H174" s="3"/>
      <c r="I174" s="3"/>
      <c r="J174" s="3"/>
    </row>
    <row r="175" ht="24.0" customHeight="1">
      <c r="A175" s="18" t="str">
        <f t="shared" si="1"/>
        <v/>
      </c>
      <c r="B175" s="18" t="str">
        <f t="shared" si="2"/>
        <v/>
      </c>
      <c r="C175" s="23" t="str">
        <f t="array" ref="C175">IF($H175="","",IFERROR(INDEX('Game Records'!$A:$A,$H175),""))</f>
        <v/>
      </c>
      <c r="D175" s="23" t="str">
        <f t="array" ref="D175">IF($H175="","",IFERROR(INDEX('Game Records'!$U:$U,$H175),""))</f>
        <v/>
      </c>
      <c r="E175" s="23" t="str">
        <f t="array" ref="E175">IF($H175="","",LET(r,$H175,mode,LOWER(INDEX('Game Records'!$D:$D,r)&amp;""),endDate,INDEX('Game Records'!$C:$C,r),IF(mode="estimate",IF(endDate="","Estimate — End Date missing",IF(NOT(ISNUMBER(endDate)),"Estimate — Check End Date",IF(INT(endDate)&gt;=TODAY(),"In Progress — ends "&amp;TEXT(endDate,"mmm d, yyyy"),"Ready to Finalize"))),IF($F175="","No Highlighted Fields","Highlighted Fields Present"))))</f>
        <v/>
      </c>
      <c r="F175" s="23" t="str">
        <f t="array" ref="F175">IF($H175="","",IF(OR(NOT(_xlfn.ISFORMULA(INDEX('Game Records'!$N:$N,$H175))),NOT(_xlfn.ISFORMULA(INDEX('Game Records'!$O:$O,$H175))),NOT(_xlfn.ISFORMULA(INDEX('Game Records'!$P:$P,$H175))),NOT(_xlfn.ISFORMULA(INDEX('Game Records'!$Q:$Q,$H175))),NOT(_xlfn.ISFORMULA(INDEX('Game Records'!$R:$R,$H175))),NOT(_xlfn.ISFORMULA(INDEX('Game Records'!$S:$S,$H175))),NOT(_xlfn.ISFORMULA(INDEX('Game Records'!$T:$T,$H175))),NOT(_xlfn.ISFORMULA(INDEX('Game Records'!$U:$U,$H175))),NOT(_xlfn.ISFORMULA(INDEX('Game Records'!$V:$V,$H175))),NOT(_xlfn.ISFORMULA(INDEX('Game Records'!$W:$W,$H175))),NOT(_xlfn.ISFORMULA(INDEX('Game Records'!$X:$X,$H175))),NOT(_xlfn.ISFORMULA(INDEX('Game Records'!$Y:$Y,$H175))),NOT(_xlfn.ISFORMULA(INDEX('Game Records'!$Z:$Z,$H175)))),"","")&amp;IF(INDEX('Game Records'!$B:$B,$H175)="","Start Date; ","")&amp;IF(INDEX('Game Records'!$C:$C,$H175)="","End Date; ","")&amp;IF(AND(INDEX('Game Records'!$U:$U,$H175)&lt;&gt;"Subscription",INDEX('Game Records'!$U:$U,$H175)&lt;&gt;"Free Game",INDEX('Game Records'!$U:$U,$H175)&lt;&gt;"Disqualified — Free Game",OR(INDEX('Game Records'!$D:$D,$H175)="",LOWER(INDEX('Game Records'!$D:$D,$H175)&amp;"")="n/a")),"Entry Mode; ","")&amp;IF(AND(INDEX('Game Records'!$U:$U,$H175)&lt;&gt;"Subscription",INDEX('Game Records'!$U:$U,$H175)&lt;&gt;"Free Game",INDEX('Game Records'!$U:$U,$H175)&lt;&gt;"Disqualified — Free Game",OR(INDEX('Game Records'!$E:$E,$H175)="",LOWER(INDEX('Game Records'!$E:$E,$H175)&amp;"")="n/a")),"Game Type; ","")&amp;IF(INDEX('Game Records'!$F:$F,$H175)="","Payment Type; ","")&amp;IF(AND(INDEX('Game Records'!$U:$U,$H175)&lt;&gt;"Subscription",INDEX('Game Records'!$U:$U,$H175)&lt;&gt;"Free Game",INDEX('Game Records'!$U:$U,$H175)&lt;&gt;"Disqualified — Free Game",INDEX('Game Records'!$G:$G,$H175)=""),"Gross Pot; ","")&amp;IF(AND(INDEX('Game Records'!$U:$U,$H175)&lt;&gt;"Free Game",INDEX('Game Records'!$U:$U,$H175)&lt;&gt;"Disqualified — Free Game",INDEX('Game Records'!$H:$H,$H175)=""),"Entry Fee; ","")&amp;IF(AND(INDEX('Game Records'!$U:$U,$H175)&lt;&gt;"Subscription",INDEX('Game Records'!$U:$U,$H175)&lt;&gt;"Free Game",INDEX('Game Records'!$U:$U,$H175)&lt;&gt;"Disqualified — Free Game",INDEX('Game Records'!$I:$I,$H175)=""),"Eligible Players; ","")&amp;IF(AND(INDEX('Game Records'!$U:$U,$H175)&lt;&gt;"Subscription",INDEX('Game Records'!$U:$U,$H175)&lt;&gt;"Free Game",INDEX('Game Records'!$U:$U,$H175)&lt;&gt;"Disqualified — Free Game",INDEX('Game Records'!$J:$J,$H175)=""),"Total Players; ","")&amp;IF(AND(LOWER(INDEX('Game Records'!$D:$D,$H175)&amp;"")="finalized",LOWER(INDEX('Game Records'!$L:$L,$H175)&amp;"")&lt;&gt;"yes",INDEX('Game Records'!$U:$U,$H175)&lt;&gt;"Subscription",INDEX('Game Records'!$U:$U,$H175)&lt;&gt;"Free Game",INDEX('Game Records'!$U:$U,$H175)&lt;&gt;"Disqualified — Free Game",INDEX('Game Records'!$K:$K,$H175)=""),"Final Payout; ","")&amp;IF(AND(LOWER(INDEX('Game Records'!$D:$D,$H175)&amp;"")="finalized",INDEX('Game Records'!$U:$U,$H175)&lt;&gt;"Subscription",INDEX('Game Records'!$U:$U,$H175)&lt;&gt;"Free Game",INDEX('Game Records'!$U:$U,$H175)&lt;&gt;"Disqualified — Free Game",OR(INDEX('Game Records'!$L:$L,$H175)="",LOWER(INDEX('Game Records'!$L:$L,$H175)&amp;"")="n/a")),"Disqualified Status; ",""))</f>
        <v/>
      </c>
      <c r="G175" s="23" t="str">
        <f t="array" ref="G175">IF($H175="","",IFERROR(INDEX('Game Records'!$M:$M,$H175),""))</f>
        <v/>
      </c>
      <c r="H175" s="3"/>
      <c r="I175" s="3"/>
      <c r="J175" s="3"/>
    </row>
    <row r="176" ht="24.0" customHeight="1">
      <c r="A176" s="18" t="str">
        <f t="shared" si="1"/>
        <v/>
      </c>
      <c r="B176" s="18" t="str">
        <f t="shared" si="2"/>
        <v/>
      </c>
      <c r="C176" s="23" t="str">
        <f t="array" ref="C176">IF($H176="","",IFERROR(INDEX('Game Records'!$A:$A,$H176),""))</f>
        <v/>
      </c>
      <c r="D176" s="23" t="str">
        <f t="array" ref="D176">IF($H176="","",IFERROR(INDEX('Game Records'!$U:$U,$H176),""))</f>
        <v/>
      </c>
      <c r="E176" s="23" t="str">
        <f t="array" ref="E176">IF($H176="","",LET(r,$H176,mode,LOWER(INDEX('Game Records'!$D:$D,r)&amp;""),endDate,INDEX('Game Records'!$C:$C,r),IF(mode="estimate",IF(endDate="","Estimate — End Date missing",IF(NOT(ISNUMBER(endDate)),"Estimate — Check End Date",IF(INT(endDate)&gt;=TODAY(),"In Progress — ends "&amp;TEXT(endDate,"mmm d, yyyy"),"Ready to Finalize"))),IF($F176="","No Highlighted Fields","Highlighted Fields Present"))))</f>
        <v/>
      </c>
      <c r="F176" s="23" t="str">
        <f t="array" ref="F176">IF($H176="","",IF(OR(NOT(_xlfn.ISFORMULA(INDEX('Game Records'!$N:$N,$H176))),NOT(_xlfn.ISFORMULA(INDEX('Game Records'!$O:$O,$H176))),NOT(_xlfn.ISFORMULA(INDEX('Game Records'!$P:$P,$H176))),NOT(_xlfn.ISFORMULA(INDEX('Game Records'!$Q:$Q,$H176))),NOT(_xlfn.ISFORMULA(INDEX('Game Records'!$R:$R,$H176))),NOT(_xlfn.ISFORMULA(INDEX('Game Records'!$S:$S,$H176))),NOT(_xlfn.ISFORMULA(INDEX('Game Records'!$T:$T,$H176))),NOT(_xlfn.ISFORMULA(INDEX('Game Records'!$U:$U,$H176))),NOT(_xlfn.ISFORMULA(INDEX('Game Records'!$V:$V,$H176))),NOT(_xlfn.ISFORMULA(INDEX('Game Records'!$W:$W,$H176))),NOT(_xlfn.ISFORMULA(INDEX('Game Records'!$X:$X,$H176))),NOT(_xlfn.ISFORMULA(INDEX('Game Records'!$Y:$Y,$H176))),NOT(_xlfn.ISFORMULA(INDEX('Game Records'!$Z:$Z,$H176)))),"","")&amp;IF(INDEX('Game Records'!$B:$B,$H176)="","Start Date; ","")&amp;IF(INDEX('Game Records'!$C:$C,$H176)="","End Date; ","")&amp;IF(AND(INDEX('Game Records'!$U:$U,$H176)&lt;&gt;"Subscription",INDEX('Game Records'!$U:$U,$H176)&lt;&gt;"Free Game",INDEX('Game Records'!$U:$U,$H176)&lt;&gt;"Disqualified — Free Game",OR(INDEX('Game Records'!$D:$D,$H176)="",LOWER(INDEX('Game Records'!$D:$D,$H176)&amp;"")="n/a")),"Entry Mode; ","")&amp;IF(AND(INDEX('Game Records'!$U:$U,$H176)&lt;&gt;"Subscription",INDEX('Game Records'!$U:$U,$H176)&lt;&gt;"Free Game",INDEX('Game Records'!$U:$U,$H176)&lt;&gt;"Disqualified — Free Game",OR(INDEX('Game Records'!$E:$E,$H176)="",LOWER(INDEX('Game Records'!$E:$E,$H176)&amp;"")="n/a")),"Game Type; ","")&amp;IF(INDEX('Game Records'!$F:$F,$H176)="","Payment Type; ","")&amp;IF(AND(INDEX('Game Records'!$U:$U,$H176)&lt;&gt;"Subscription",INDEX('Game Records'!$U:$U,$H176)&lt;&gt;"Free Game",INDEX('Game Records'!$U:$U,$H176)&lt;&gt;"Disqualified — Free Game",INDEX('Game Records'!$G:$G,$H176)=""),"Gross Pot; ","")&amp;IF(AND(INDEX('Game Records'!$U:$U,$H176)&lt;&gt;"Free Game",INDEX('Game Records'!$U:$U,$H176)&lt;&gt;"Disqualified — Free Game",INDEX('Game Records'!$H:$H,$H176)=""),"Entry Fee; ","")&amp;IF(AND(INDEX('Game Records'!$U:$U,$H176)&lt;&gt;"Subscription",INDEX('Game Records'!$U:$U,$H176)&lt;&gt;"Free Game",INDEX('Game Records'!$U:$U,$H176)&lt;&gt;"Disqualified — Free Game",INDEX('Game Records'!$I:$I,$H176)=""),"Eligible Players; ","")&amp;IF(AND(INDEX('Game Records'!$U:$U,$H176)&lt;&gt;"Subscription",INDEX('Game Records'!$U:$U,$H176)&lt;&gt;"Free Game",INDEX('Game Records'!$U:$U,$H176)&lt;&gt;"Disqualified — Free Game",INDEX('Game Records'!$J:$J,$H176)=""),"Total Players; ","")&amp;IF(AND(LOWER(INDEX('Game Records'!$D:$D,$H176)&amp;"")="finalized",LOWER(INDEX('Game Records'!$L:$L,$H176)&amp;"")&lt;&gt;"yes",INDEX('Game Records'!$U:$U,$H176)&lt;&gt;"Subscription",INDEX('Game Records'!$U:$U,$H176)&lt;&gt;"Free Game",INDEX('Game Records'!$U:$U,$H176)&lt;&gt;"Disqualified — Free Game",INDEX('Game Records'!$K:$K,$H176)=""),"Final Payout; ","")&amp;IF(AND(LOWER(INDEX('Game Records'!$D:$D,$H176)&amp;"")="finalized",INDEX('Game Records'!$U:$U,$H176)&lt;&gt;"Subscription",INDEX('Game Records'!$U:$U,$H176)&lt;&gt;"Free Game",INDEX('Game Records'!$U:$U,$H176)&lt;&gt;"Disqualified — Free Game",OR(INDEX('Game Records'!$L:$L,$H176)="",LOWER(INDEX('Game Records'!$L:$L,$H176)&amp;"")="n/a")),"Disqualified Status; ",""))</f>
        <v/>
      </c>
      <c r="G176" s="23" t="str">
        <f t="array" ref="G176">IF($H176="","",IFERROR(INDEX('Game Records'!$M:$M,$H176),""))</f>
        <v/>
      </c>
      <c r="H176" s="3"/>
      <c r="I176" s="3"/>
      <c r="J176" s="3"/>
    </row>
    <row r="177" ht="24.0" customHeight="1">
      <c r="A177" s="18" t="str">
        <f t="shared" si="1"/>
        <v/>
      </c>
      <c r="B177" s="18" t="str">
        <f t="shared" si="2"/>
        <v/>
      </c>
      <c r="C177" s="23" t="str">
        <f t="array" ref="C177">IF($H177="","",IFERROR(INDEX('Game Records'!$A:$A,$H177),""))</f>
        <v/>
      </c>
      <c r="D177" s="23" t="str">
        <f t="array" ref="D177">IF($H177="","",IFERROR(INDEX('Game Records'!$U:$U,$H177),""))</f>
        <v/>
      </c>
      <c r="E177" s="23" t="str">
        <f t="array" ref="E177">IF($H177="","",LET(r,$H177,mode,LOWER(INDEX('Game Records'!$D:$D,r)&amp;""),endDate,INDEX('Game Records'!$C:$C,r),IF(mode="estimate",IF(endDate="","Estimate — End Date missing",IF(NOT(ISNUMBER(endDate)),"Estimate — Check End Date",IF(INT(endDate)&gt;=TODAY(),"In Progress — ends "&amp;TEXT(endDate,"mmm d, yyyy"),"Ready to Finalize"))),IF($F177="","No Highlighted Fields","Highlighted Fields Present"))))</f>
        <v/>
      </c>
      <c r="F177" s="23" t="str">
        <f t="array" ref="F177">IF($H177="","",IF(OR(NOT(_xlfn.ISFORMULA(INDEX('Game Records'!$N:$N,$H177))),NOT(_xlfn.ISFORMULA(INDEX('Game Records'!$O:$O,$H177))),NOT(_xlfn.ISFORMULA(INDEX('Game Records'!$P:$P,$H177))),NOT(_xlfn.ISFORMULA(INDEX('Game Records'!$Q:$Q,$H177))),NOT(_xlfn.ISFORMULA(INDEX('Game Records'!$R:$R,$H177))),NOT(_xlfn.ISFORMULA(INDEX('Game Records'!$S:$S,$H177))),NOT(_xlfn.ISFORMULA(INDEX('Game Records'!$T:$T,$H177))),NOT(_xlfn.ISFORMULA(INDEX('Game Records'!$U:$U,$H177))),NOT(_xlfn.ISFORMULA(INDEX('Game Records'!$V:$V,$H177))),NOT(_xlfn.ISFORMULA(INDEX('Game Records'!$W:$W,$H177))),NOT(_xlfn.ISFORMULA(INDEX('Game Records'!$X:$X,$H177))),NOT(_xlfn.ISFORMULA(INDEX('Game Records'!$Y:$Y,$H177))),NOT(_xlfn.ISFORMULA(INDEX('Game Records'!$Z:$Z,$H177)))),"","")&amp;IF(INDEX('Game Records'!$B:$B,$H177)="","Start Date; ","")&amp;IF(INDEX('Game Records'!$C:$C,$H177)="","End Date; ","")&amp;IF(AND(INDEX('Game Records'!$U:$U,$H177)&lt;&gt;"Subscription",INDEX('Game Records'!$U:$U,$H177)&lt;&gt;"Free Game",INDEX('Game Records'!$U:$U,$H177)&lt;&gt;"Disqualified — Free Game",OR(INDEX('Game Records'!$D:$D,$H177)="",LOWER(INDEX('Game Records'!$D:$D,$H177)&amp;"")="n/a")),"Entry Mode; ","")&amp;IF(AND(INDEX('Game Records'!$U:$U,$H177)&lt;&gt;"Subscription",INDEX('Game Records'!$U:$U,$H177)&lt;&gt;"Free Game",INDEX('Game Records'!$U:$U,$H177)&lt;&gt;"Disqualified — Free Game",OR(INDEX('Game Records'!$E:$E,$H177)="",LOWER(INDEX('Game Records'!$E:$E,$H177)&amp;"")="n/a")),"Game Type; ","")&amp;IF(INDEX('Game Records'!$F:$F,$H177)="","Payment Type; ","")&amp;IF(AND(INDEX('Game Records'!$U:$U,$H177)&lt;&gt;"Subscription",INDEX('Game Records'!$U:$U,$H177)&lt;&gt;"Free Game",INDEX('Game Records'!$U:$U,$H177)&lt;&gt;"Disqualified — Free Game",INDEX('Game Records'!$G:$G,$H177)=""),"Gross Pot; ","")&amp;IF(AND(INDEX('Game Records'!$U:$U,$H177)&lt;&gt;"Free Game",INDEX('Game Records'!$U:$U,$H177)&lt;&gt;"Disqualified — Free Game",INDEX('Game Records'!$H:$H,$H177)=""),"Entry Fee; ","")&amp;IF(AND(INDEX('Game Records'!$U:$U,$H177)&lt;&gt;"Subscription",INDEX('Game Records'!$U:$U,$H177)&lt;&gt;"Free Game",INDEX('Game Records'!$U:$U,$H177)&lt;&gt;"Disqualified — Free Game",INDEX('Game Records'!$I:$I,$H177)=""),"Eligible Players; ","")&amp;IF(AND(INDEX('Game Records'!$U:$U,$H177)&lt;&gt;"Subscription",INDEX('Game Records'!$U:$U,$H177)&lt;&gt;"Free Game",INDEX('Game Records'!$U:$U,$H177)&lt;&gt;"Disqualified — Free Game",INDEX('Game Records'!$J:$J,$H177)=""),"Total Players; ","")&amp;IF(AND(LOWER(INDEX('Game Records'!$D:$D,$H177)&amp;"")="finalized",LOWER(INDEX('Game Records'!$L:$L,$H177)&amp;"")&lt;&gt;"yes",INDEX('Game Records'!$U:$U,$H177)&lt;&gt;"Subscription",INDEX('Game Records'!$U:$U,$H177)&lt;&gt;"Free Game",INDEX('Game Records'!$U:$U,$H177)&lt;&gt;"Disqualified — Free Game",INDEX('Game Records'!$K:$K,$H177)=""),"Final Payout; ","")&amp;IF(AND(LOWER(INDEX('Game Records'!$D:$D,$H177)&amp;"")="finalized",INDEX('Game Records'!$U:$U,$H177)&lt;&gt;"Subscription",INDEX('Game Records'!$U:$U,$H177)&lt;&gt;"Free Game",INDEX('Game Records'!$U:$U,$H177)&lt;&gt;"Disqualified — Free Game",OR(INDEX('Game Records'!$L:$L,$H177)="",LOWER(INDEX('Game Records'!$L:$L,$H177)&amp;"")="n/a")),"Disqualified Status; ",""))</f>
        <v/>
      </c>
      <c r="G177" s="23" t="str">
        <f t="array" ref="G177">IF($H177="","",IFERROR(INDEX('Game Records'!$M:$M,$H177),""))</f>
        <v/>
      </c>
      <c r="H177" s="3"/>
      <c r="I177" s="3"/>
      <c r="J177" s="3"/>
    </row>
    <row r="178" ht="24.0" customHeight="1">
      <c r="A178" s="18" t="str">
        <f t="shared" si="1"/>
        <v/>
      </c>
      <c r="B178" s="18" t="str">
        <f t="shared" si="2"/>
        <v/>
      </c>
      <c r="C178" s="23" t="str">
        <f t="array" ref="C178">IF($H178="","",IFERROR(INDEX('Game Records'!$A:$A,$H178),""))</f>
        <v/>
      </c>
      <c r="D178" s="23" t="str">
        <f t="array" ref="D178">IF($H178="","",IFERROR(INDEX('Game Records'!$U:$U,$H178),""))</f>
        <v/>
      </c>
      <c r="E178" s="23" t="str">
        <f t="array" ref="E178">IF($H178="","",LET(r,$H178,mode,LOWER(INDEX('Game Records'!$D:$D,r)&amp;""),endDate,INDEX('Game Records'!$C:$C,r),IF(mode="estimate",IF(endDate="","Estimate — End Date missing",IF(NOT(ISNUMBER(endDate)),"Estimate — Check End Date",IF(INT(endDate)&gt;=TODAY(),"In Progress — ends "&amp;TEXT(endDate,"mmm d, yyyy"),"Ready to Finalize"))),IF($F178="","No Highlighted Fields","Highlighted Fields Present"))))</f>
        <v/>
      </c>
      <c r="F178" s="23" t="str">
        <f t="array" ref="F178">IF($H178="","",IF(OR(NOT(_xlfn.ISFORMULA(INDEX('Game Records'!$N:$N,$H178))),NOT(_xlfn.ISFORMULA(INDEX('Game Records'!$O:$O,$H178))),NOT(_xlfn.ISFORMULA(INDEX('Game Records'!$P:$P,$H178))),NOT(_xlfn.ISFORMULA(INDEX('Game Records'!$Q:$Q,$H178))),NOT(_xlfn.ISFORMULA(INDEX('Game Records'!$R:$R,$H178))),NOT(_xlfn.ISFORMULA(INDEX('Game Records'!$S:$S,$H178))),NOT(_xlfn.ISFORMULA(INDEX('Game Records'!$T:$T,$H178))),NOT(_xlfn.ISFORMULA(INDEX('Game Records'!$U:$U,$H178))),NOT(_xlfn.ISFORMULA(INDEX('Game Records'!$V:$V,$H178))),NOT(_xlfn.ISFORMULA(INDEX('Game Records'!$W:$W,$H178))),NOT(_xlfn.ISFORMULA(INDEX('Game Records'!$X:$X,$H178))),NOT(_xlfn.ISFORMULA(INDEX('Game Records'!$Y:$Y,$H178))),NOT(_xlfn.ISFORMULA(INDEX('Game Records'!$Z:$Z,$H178)))),"","")&amp;IF(INDEX('Game Records'!$B:$B,$H178)="","Start Date; ","")&amp;IF(INDEX('Game Records'!$C:$C,$H178)="","End Date; ","")&amp;IF(AND(INDEX('Game Records'!$U:$U,$H178)&lt;&gt;"Subscription",INDEX('Game Records'!$U:$U,$H178)&lt;&gt;"Free Game",INDEX('Game Records'!$U:$U,$H178)&lt;&gt;"Disqualified — Free Game",OR(INDEX('Game Records'!$D:$D,$H178)="",LOWER(INDEX('Game Records'!$D:$D,$H178)&amp;"")="n/a")),"Entry Mode; ","")&amp;IF(AND(INDEX('Game Records'!$U:$U,$H178)&lt;&gt;"Subscription",INDEX('Game Records'!$U:$U,$H178)&lt;&gt;"Free Game",INDEX('Game Records'!$U:$U,$H178)&lt;&gt;"Disqualified — Free Game",OR(INDEX('Game Records'!$E:$E,$H178)="",LOWER(INDEX('Game Records'!$E:$E,$H178)&amp;"")="n/a")),"Game Type; ","")&amp;IF(INDEX('Game Records'!$F:$F,$H178)="","Payment Type; ","")&amp;IF(AND(INDEX('Game Records'!$U:$U,$H178)&lt;&gt;"Subscription",INDEX('Game Records'!$U:$U,$H178)&lt;&gt;"Free Game",INDEX('Game Records'!$U:$U,$H178)&lt;&gt;"Disqualified — Free Game",INDEX('Game Records'!$G:$G,$H178)=""),"Gross Pot; ","")&amp;IF(AND(INDEX('Game Records'!$U:$U,$H178)&lt;&gt;"Free Game",INDEX('Game Records'!$U:$U,$H178)&lt;&gt;"Disqualified — Free Game",INDEX('Game Records'!$H:$H,$H178)=""),"Entry Fee; ","")&amp;IF(AND(INDEX('Game Records'!$U:$U,$H178)&lt;&gt;"Subscription",INDEX('Game Records'!$U:$U,$H178)&lt;&gt;"Free Game",INDEX('Game Records'!$U:$U,$H178)&lt;&gt;"Disqualified — Free Game",INDEX('Game Records'!$I:$I,$H178)=""),"Eligible Players; ","")&amp;IF(AND(INDEX('Game Records'!$U:$U,$H178)&lt;&gt;"Subscription",INDEX('Game Records'!$U:$U,$H178)&lt;&gt;"Free Game",INDEX('Game Records'!$U:$U,$H178)&lt;&gt;"Disqualified — Free Game",INDEX('Game Records'!$J:$J,$H178)=""),"Total Players; ","")&amp;IF(AND(LOWER(INDEX('Game Records'!$D:$D,$H178)&amp;"")="finalized",LOWER(INDEX('Game Records'!$L:$L,$H178)&amp;"")&lt;&gt;"yes",INDEX('Game Records'!$U:$U,$H178)&lt;&gt;"Subscription",INDEX('Game Records'!$U:$U,$H178)&lt;&gt;"Free Game",INDEX('Game Records'!$U:$U,$H178)&lt;&gt;"Disqualified — Free Game",INDEX('Game Records'!$K:$K,$H178)=""),"Final Payout; ","")&amp;IF(AND(LOWER(INDEX('Game Records'!$D:$D,$H178)&amp;"")="finalized",INDEX('Game Records'!$U:$U,$H178)&lt;&gt;"Subscription",INDEX('Game Records'!$U:$U,$H178)&lt;&gt;"Free Game",INDEX('Game Records'!$U:$U,$H178)&lt;&gt;"Disqualified — Free Game",OR(INDEX('Game Records'!$L:$L,$H178)="",LOWER(INDEX('Game Records'!$L:$L,$H178)&amp;"")="n/a")),"Disqualified Status; ",""))</f>
        <v/>
      </c>
      <c r="G178" s="23" t="str">
        <f t="array" ref="G178">IF($H178="","",IFERROR(INDEX('Game Records'!$M:$M,$H178),""))</f>
        <v/>
      </c>
      <c r="H178" s="3"/>
      <c r="I178" s="3"/>
      <c r="J178" s="3"/>
    </row>
    <row r="179" ht="24.0" customHeight="1">
      <c r="A179" s="18" t="str">
        <f t="shared" si="1"/>
        <v/>
      </c>
      <c r="B179" s="18" t="str">
        <f t="shared" si="2"/>
        <v/>
      </c>
      <c r="C179" s="23" t="str">
        <f t="array" ref="C179">IF($H179="","",IFERROR(INDEX('Game Records'!$A:$A,$H179),""))</f>
        <v/>
      </c>
      <c r="D179" s="23" t="str">
        <f t="array" ref="D179">IF($H179="","",IFERROR(INDEX('Game Records'!$U:$U,$H179),""))</f>
        <v/>
      </c>
      <c r="E179" s="23" t="str">
        <f t="array" ref="E179">IF($H179="","",LET(r,$H179,mode,LOWER(INDEX('Game Records'!$D:$D,r)&amp;""),endDate,INDEX('Game Records'!$C:$C,r),IF(mode="estimate",IF(endDate="","Estimate — End Date missing",IF(NOT(ISNUMBER(endDate)),"Estimate — Check End Date",IF(INT(endDate)&gt;=TODAY(),"In Progress — ends "&amp;TEXT(endDate,"mmm d, yyyy"),"Ready to Finalize"))),IF($F179="","No Highlighted Fields","Highlighted Fields Present"))))</f>
        <v/>
      </c>
      <c r="F179" s="23" t="str">
        <f t="array" ref="F179">IF($H179="","",IF(OR(NOT(_xlfn.ISFORMULA(INDEX('Game Records'!$N:$N,$H179))),NOT(_xlfn.ISFORMULA(INDEX('Game Records'!$O:$O,$H179))),NOT(_xlfn.ISFORMULA(INDEX('Game Records'!$P:$P,$H179))),NOT(_xlfn.ISFORMULA(INDEX('Game Records'!$Q:$Q,$H179))),NOT(_xlfn.ISFORMULA(INDEX('Game Records'!$R:$R,$H179))),NOT(_xlfn.ISFORMULA(INDEX('Game Records'!$S:$S,$H179))),NOT(_xlfn.ISFORMULA(INDEX('Game Records'!$T:$T,$H179))),NOT(_xlfn.ISFORMULA(INDEX('Game Records'!$U:$U,$H179))),NOT(_xlfn.ISFORMULA(INDEX('Game Records'!$V:$V,$H179))),NOT(_xlfn.ISFORMULA(INDEX('Game Records'!$W:$W,$H179))),NOT(_xlfn.ISFORMULA(INDEX('Game Records'!$X:$X,$H179))),NOT(_xlfn.ISFORMULA(INDEX('Game Records'!$Y:$Y,$H179))),NOT(_xlfn.ISFORMULA(INDEX('Game Records'!$Z:$Z,$H179)))),"","")&amp;IF(INDEX('Game Records'!$B:$B,$H179)="","Start Date; ","")&amp;IF(INDEX('Game Records'!$C:$C,$H179)="","End Date; ","")&amp;IF(AND(INDEX('Game Records'!$U:$U,$H179)&lt;&gt;"Subscription",INDEX('Game Records'!$U:$U,$H179)&lt;&gt;"Free Game",INDEX('Game Records'!$U:$U,$H179)&lt;&gt;"Disqualified — Free Game",OR(INDEX('Game Records'!$D:$D,$H179)="",LOWER(INDEX('Game Records'!$D:$D,$H179)&amp;"")="n/a")),"Entry Mode; ","")&amp;IF(AND(INDEX('Game Records'!$U:$U,$H179)&lt;&gt;"Subscription",INDEX('Game Records'!$U:$U,$H179)&lt;&gt;"Free Game",INDEX('Game Records'!$U:$U,$H179)&lt;&gt;"Disqualified — Free Game",OR(INDEX('Game Records'!$E:$E,$H179)="",LOWER(INDEX('Game Records'!$E:$E,$H179)&amp;"")="n/a")),"Game Type; ","")&amp;IF(INDEX('Game Records'!$F:$F,$H179)="","Payment Type; ","")&amp;IF(AND(INDEX('Game Records'!$U:$U,$H179)&lt;&gt;"Subscription",INDEX('Game Records'!$U:$U,$H179)&lt;&gt;"Free Game",INDEX('Game Records'!$U:$U,$H179)&lt;&gt;"Disqualified — Free Game",INDEX('Game Records'!$G:$G,$H179)=""),"Gross Pot; ","")&amp;IF(AND(INDEX('Game Records'!$U:$U,$H179)&lt;&gt;"Free Game",INDEX('Game Records'!$U:$U,$H179)&lt;&gt;"Disqualified — Free Game",INDEX('Game Records'!$H:$H,$H179)=""),"Entry Fee; ","")&amp;IF(AND(INDEX('Game Records'!$U:$U,$H179)&lt;&gt;"Subscription",INDEX('Game Records'!$U:$U,$H179)&lt;&gt;"Free Game",INDEX('Game Records'!$U:$U,$H179)&lt;&gt;"Disqualified — Free Game",INDEX('Game Records'!$I:$I,$H179)=""),"Eligible Players; ","")&amp;IF(AND(INDEX('Game Records'!$U:$U,$H179)&lt;&gt;"Subscription",INDEX('Game Records'!$U:$U,$H179)&lt;&gt;"Free Game",INDEX('Game Records'!$U:$U,$H179)&lt;&gt;"Disqualified — Free Game",INDEX('Game Records'!$J:$J,$H179)=""),"Total Players; ","")&amp;IF(AND(LOWER(INDEX('Game Records'!$D:$D,$H179)&amp;"")="finalized",LOWER(INDEX('Game Records'!$L:$L,$H179)&amp;"")&lt;&gt;"yes",INDEX('Game Records'!$U:$U,$H179)&lt;&gt;"Subscription",INDEX('Game Records'!$U:$U,$H179)&lt;&gt;"Free Game",INDEX('Game Records'!$U:$U,$H179)&lt;&gt;"Disqualified — Free Game",INDEX('Game Records'!$K:$K,$H179)=""),"Final Payout; ","")&amp;IF(AND(LOWER(INDEX('Game Records'!$D:$D,$H179)&amp;"")="finalized",INDEX('Game Records'!$U:$U,$H179)&lt;&gt;"Subscription",INDEX('Game Records'!$U:$U,$H179)&lt;&gt;"Free Game",INDEX('Game Records'!$U:$U,$H179)&lt;&gt;"Disqualified — Free Game",OR(INDEX('Game Records'!$L:$L,$H179)="",LOWER(INDEX('Game Records'!$L:$L,$H179)&amp;"")="n/a")),"Disqualified Status; ",""))</f>
        <v/>
      </c>
      <c r="G179" s="23" t="str">
        <f t="array" ref="G179">IF($H179="","",IFERROR(INDEX('Game Records'!$M:$M,$H179),""))</f>
        <v/>
      </c>
      <c r="H179" s="3"/>
      <c r="I179" s="3"/>
      <c r="J179" s="3"/>
    </row>
    <row r="180" ht="24.0" customHeight="1">
      <c r="A180" s="18" t="str">
        <f t="shared" si="1"/>
        <v/>
      </c>
      <c r="B180" s="18" t="str">
        <f t="shared" si="2"/>
        <v/>
      </c>
      <c r="C180" s="23" t="str">
        <f t="array" ref="C180">IF($H180="","",IFERROR(INDEX('Game Records'!$A:$A,$H180),""))</f>
        <v/>
      </c>
      <c r="D180" s="23" t="str">
        <f t="array" ref="D180">IF($H180="","",IFERROR(INDEX('Game Records'!$U:$U,$H180),""))</f>
        <v/>
      </c>
      <c r="E180" s="23" t="str">
        <f t="array" ref="E180">IF($H180="","",LET(r,$H180,mode,LOWER(INDEX('Game Records'!$D:$D,r)&amp;""),endDate,INDEX('Game Records'!$C:$C,r),IF(mode="estimate",IF(endDate="","Estimate — End Date missing",IF(NOT(ISNUMBER(endDate)),"Estimate — Check End Date",IF(INT(endDate)&gt;=TODAY(),"In Progress — ends "&amp;TEXT(endDate,"mmm d, yyyy"),"Ready to Finalize"))),IF($F180="","No Highlighted Fields","Highlighted Fields Present"))))</f>
        <v/>
      </c>
      <c r="F180" s="23" t="str">
        <f t="array" ref="F180">IF($H180="","",IF(OR(NOT(_xlfn.ISFORMULA(INDEX('Game Records'!$N:$N,$H180))),NOT(_xlfn.ISFORMULA(INDEX('Game Records'!$O:$O,$H180))),NOT(_xlfn.ISFORMULA(INDEX('Game Records'!$P:$P,$H180))),NOT(_xlfn.ISFORMULA(INDEX('Game Records'!$Q:$Q,$H180))),NOT(_xlfn.ISFORMULA(INDEX('Game Records'!$R:$R,$H180))),NOT(_xlfn.ISFORMULA(INDEX('Game Records'!$S:$S,$H180))),NOT(_xlfn.ISFORMULA(INDEX('Game Records'!$T:$T,$H180))),NOT(_xlfn.ISFORMULA(INDEX('Game Records'!$U:$U,$H180))),NOT(_xlfn.ISFORMULA(INDEX('Game Records'!$V:$V,$H180))),NOT(_xlfn.ISFORMULA(INDEX('Game Records'!$W:$W,$H180))),NOT(_xlfn.ISFORMULA(INDEX('Game Records'!$X:$X,$H180))),NOT(_xlfn.ISFORMULA(INDEX('Game Records'!$Y:$Y,$H180))),NOT(_xlfn.ISFORMULA(INDEX('Game Records'!$Z:$Z,$H180)))),"","")&amp;IF(INDEX('Game Records'!$B:$B,$H180)="","Start Date; ","")&amp;IF(INDEX('Game Records'!$C:$C,$H180)="","End Date; ","")&amp;IF(AND(INDEX('Game Records'!$U:$U,$H180)&lt;&gt;"Subscription",INDEX('Game Records'!$U:$U,$H180)&lt;&gt;"Free Game",INDEX('Game Records'!$U:$U,$H180)&lt;&gt;"Disqualified — Free Game",OR(INDEX('Game Records'!$D:$D,$H180)="",LOWER(INDEX('Game Records'!$D:$D,$H180)&amp;"")="n/a")),"Entry Mode; ","")&amp;IF(AND(INDEX('Game Records'!$U:$U,$H180)&lt;&gt;"Subscription",INDEX('Game Records'!$U:$U,$H180)&lt;&gt;"Free Game",INDEX('Game Records'!$U:$U,$H180)&lt;&gt;"Disqualified — Free Game",OR(INDEX('Game Records'!$E:$E,$H180)="",LOWER(INDEX('Game Records'!$E:$E,$H180)&amp;"")="n/a")),"Game Type; ","")&amp;IF(INDEX('Game Records'!$F:$F,$H180)="","Payment Type; ","")&amp;IF(AND(INDEX('Game Records'!$U:$U,$H180)&lt;&gt;"Subscription",INDEX('Game Records'!$U:$U,$H180)&lt;&gt;"Free Game",INDEX('Game Records'!$U:$U,$H180)&lt;&gt;"Disqualified — Free Game",INDEX('Game Records'!$G:$G,$H180)=""),"Gross Pot; ","")&amp;IF(AND(INDEX('Game Records'!$U:$U,$H180)&lt;&gt;"Free Game",INDEX('Game Records'!$U:$U,$H180)&lt;&gt;"Disqualified — Free Game",INDEX('Game Records'!$H:$H,$H180)=""),"Entry Fee; ","")&amp;IF(AND(INDEX('Game Records'!$U:$U,$H180)&lt;&gt;"Subscription",INDEX('Game Records'!$U:$U,$H180)&lt;&gt;"Free Game",INDEX('Game Records'!$U:$U,$H180)&lt;&gt;"Disqualified — Free Game",INDEX('Game Records'!$I:$I,$H180)=""),"Eligible Players; ","")&amp;IF(AND(INDEX('Game Records'!$U:$U,$H180)&lt;&gt;"Subscription",INDEX('Game Records'!$U:$U,$H180)&lt;&gt;"Free Game",INDEX('Game Records'!$U:$U,$H180)&lt;&gt;"Disqualified — Free Game",INDEX('Game Records'!$J:$J,$H180)=""),"Total Players; ","")&amp;IF(AND(LOWER(INDEX('Game Records'!$D:$D,$H180)&amp;"")="finalized",LOWER(INDEX('Game Records'!$L:$L,$H180)&amp;"")&lt;&gt;"yes",INDEX('Game Records'!$U:$U,$H180)&lt;&gt;"Subscription",INDEX('Game Records'!$U:$U,$H180)&lt;&gt;"Free Game",INDEX('Game Records'!$U:$U,$H180)&lt;&gt;"Disqualified — Free Game",INDEX('Game Records'!$K:$K,$H180)=""),"Final Payout; ","")&amp;IF(AND(LOWER(INDEX('Game Records'!$D:$D,$H180)&amp;"")="finalized",INDEX('Game Records'!$U:$U,$H180)&lt;&gt;"Subscription",INDEX('Game Records'!$U:$U,$H180)&lt;&gt;"Free Game",INDEX('Game Records'!$U:$U,$H180)&lt;&gt;"Disqualified — Free Game",OR(INDEX('Game Records'!$L:$L,$H180)="",LOWER(INDEX('Game Records'!$L:$L,$H180)&amp;"")="n/a")),"Disqualified Status; ",""))</f>
        <v/>
      </c>
      <c r="G180" s="23" t="str">
        <f t="array" ref="G180">IF($H180="","",IFERROR(INDEX('Game Records'!$M:$M,$H180),""))</f>
        <v/>
      </c>
      <c r="H180" s="3"/>
      <c r="I180" s="3"/>
      <c r="J180" s="3"/>
    </row>
    <row r="181" ht="24.0" customHeight="1">
      <c r="A181" s="18" t="str">
        <f t="shared" si="1"/>
        <v/>
      </c>
      <c r="B181" s="18" t="str">
        <f t="shared" si="2"/>
        <v/>
      </c>
      <c r="C181" s="23" t="str">
        <f t="array" ref="C181">IF($H181="","",IFERROR(INDEX('Game Records'!$A:$A,$H181),""))</f>
        <v/>
      </c>
      <c r="D181" s="23" t="str">
        <f t="array" ref="D181">IF($H181="","",IFERROR(INDEX('Game Records'!$U:$U,$H181),""))</f>
        <v/>
      </c>
      <c r="E181" s="23" t="str">
        <f t="array" ref="E181">IF($H181="","",LET(r,$H181,mode,LOWER(INDEX('Game Records'!$D:$D,r)&amp;""),endDate,INDEX('Game Records'!$C:$C,r),IF(mode="estimate",IF(endDate="","Estimate — End Date missing",IF(NOT(ISNUMBER(endDate)),"Estimate — Check End Date",IF(INT(endDate)&gt;=TODAY(),"In Progress — ends "&amp;TEXT(endDate,"mmm d, yyyy"),"Ready to Finalize"))),IF($F181="","No Highlighted Fields","Highlighted Fields Present"))))</f>
        <v/>
      </c>
      <c r="F181" s="23" t="str">
        <f t="array" ref="F181">IF($H181="","",IF(OR(NOT(_xlfn.ISFORMULA(INDEX('Game Records'!$N:$N,$H181))),NOT(_xlfn.ISFORMULA(INDEX('Game Records'!$O:$O,$H181))),NOT(_xlfn.ISFORMULA(INDEX('Game Records'!$P:$P,$H181))),NOT(_xlfn.ISFORMULA(INDEX('Game Records'!$Q:$Q,$H181))),NOT(_xlfn.ISFORMULA(INDEX('Game Records'!$R:$R,$H181))),NOT(_xlfn.ISFORMULA(INDEX('Game Records'!$S:$S,$H181))),NOT(_xlfn.ISFORMULA(INDEX('Game Records'!$T:$T,$H181))),NOT(_xlfn.ISFORMULA(INDEX('Game Records'!$U:$U,$H181))),NOT(_xlfn.ISFORMULA(INDEX('Game Records'!$V:$V,$H181))),NOT(_xlfn.ISFORMULA(INDEX('Game Records'!$W:$W,$H181))),NOT(_xlfn.ISFORMULA(INDEX('Game Records'!$X:$X,$H181))),NOT(_xlfn.ISFORMULA(INDEX('Game Records'!$Y:$Y,$H181))),NOT(_xlfn.ISFORMULA(INDEX('Game Records'!$Z:$Z,$H181)))),"","")&amp;IF(INDEX('Game Records'!$B:$B,$H181)="","Start Date; ","")&amp;IF(INDEX('Game Records'!$C:$C,$H181)="","End Date; ","")&amp;IF(AND(INDEX('Game Records'!$U:$U,$H181)&lt;&gt;"Subscription",INDEX('Game Records'!$U:$U,$H181)&lt;&gt;"Free Game",INDEX('Game Records'!$U:$U,$H181)&lt;&gt;"Disqualified — Free Game",OR(INDEX('Game Records'!$D:$D,$H181)="",LOWER(INDEX('Game Records'!$D:$D,$H181)&amp;"")="n/a")),"Entry Mode; ","")&amp;IF(AND(INDEX('Game Records'!$U:$U,$H181)&lt;&gt;"Subscription",INDEX('Game Records'!$U:$U,$H181)&lt;&gt;"Free Game",INDEX('Game Records'!$U:$U,$H181)&lt;&gt;"Disqualified — Free Game",OR(INDEX('Game Records'!$E:$E,$H181)="",LOWER(INDEX('Game Records'!$E:$E,$H181)&amp;"")="n/a")),"Game Type; ","")&amp;IF(INDEX('Game Records'!$F:$F,$H181)="","Payment Type; ","")&amp;IF(AND(INDEX('Game Records'!$U:$U,$H181)&lt;&gt;"Subscription",INDEX('Game Records'!$U:$U,$H181)&lt;&gt;"Free Game",INDEX('Game Records'!$U:$U,$H181)&lt;&gt;"Disqualified — Free Game",INDEX('Game Records'!$G:$G,$H181)=""),"Gross Pot; ","")&amp;IF(AND(INDEX('Game Records'!$U:$U,$H181)&lt;&gt;"Free Game",INDEX('Game Records'!$U:$U,$H181)&lt;&gt;"Disqualified — Free Game",INDEX('Game Records'!$H:$H,$H181)=""),"Entry Fee; ","")&amp;IF(AND(INDEX('Game Records'!$U:$U,$H181)&lt;&gt;"Subscription",INDEX('Game Records'!$U:$U,$H181)&lt;&gt;"Free Game",INDEX('Game Records'!$U:$U,$H181)&lt;&gt;"Disqualified — Free Game",INDEX('Game Records'!$I:$I,$H181)=""),"Eligible Players; ","")&amp;IF(AND(INDEX('Game Records'!$U:$U,$H181)&lt;&gt;"Subscription",INDEX('Game Records'!$U:$U,$H181)&lt;&gt;"Free Game",INDEX('Game Records'!$U:$U,$H181)&lt;&gt;"Disqualified — Free Game",INDEX('Game Records'!$J:$J,$H181)=""),"Total Players; ","")&amp;IF(AND(LOWER(INDEX('Game Records'!$D:$D,$H181)&amp;"")="finalized",LOWER(INDEX('Game Records'!$L:$L,$H181)&amp;"")&lt;&gt;"yes",INDEX('Game Records'!$U:$U,$H181)&lt;&gt;"Subscription",INDEX('Game Records'!$U:$U,$H181)&lt;&gt;"Free Game",INDEX('Game Records'!$U:$U,$H181)&lt;&gt;"Disqualified — Free Game",INDEX('Game Records'!$K:$K,$H181)=""),"Final Payout; ","")&amp;IF(AND(LOWER(INDEX('Game Records'!$D:$D,$H181)&amp;"")="finalized",INDEX('Game Records'!$U:$U,$H181)&lt;&gt;"Subscription",INDEX('Game Records'!$U:$U,$H181)&lt;&gt;"Free Game",INDEX('Game Records'!$U:$U,$H181)&lt;&gt;"Disqualified — Free Game",OR(INDEX('Game Records'!$L:$L,$H181)="",LOWER(INDEX('Game Records'!$L:$L,$H181)&amp;"")="n/a")),"Disqualified Status; ",""))</f>
        <v/>
      </c>
      <c r="G181" s="23" t="str">
        <f t="array" ref="G181">IF($H181="","",IFERROR(INDEX('Game Records'!$M:$M,$H181),""))</f>
        <v/>
      </c>
      <c r="H181" s="3"/>
      <c r="I181" s="3"/>
      <c r="J181" s="3"/>
    </row>
    <row r="182" ht="24.0" customHeight="1">
      <c r="A182" s="18" t="str">
        <f t="shared" si="1"/>
        <v/>
      </c>
      <c r="B182" s="18" t="str">
        <f t="shared" si="2"/>
        <v/>
      </c>
      <c r="C182" s="23" t="str">
        <f t="array" ref="C182">IF($H182="","",IFERROR(INDEX('Game Records'!$A:$A,$H182),""))</f>
        <v/>
      </c>
      <c r="D182" s="23" t="str">
        <f t="array" ref="D182">IF($H182="","",IFERROR(INDEX('Game Records'!$U:$U,$H182),""))</f>
        <v/>
      </c>
      <c r="E182" s="23" t="str">
        <f t="array" ref="E182">IF($H182="","",LET(r,$H182,mode,LOWER(INDEX('Game Records'!$D:$D,r)&amp;""),endDate,INDEX('Game Records'!$C:$C,r),IF(mode="estimate",IF(endDate="","Estimate — End Date missing",IF(NOT(ISNUMBER(endDate)),"Estimate — Check End Date",IF(INT(endDate)&gt;=TODAY(),"In Progress — ends "&amp;TEXT(endDate,"mmm d, yyyy"),"Ready to Finalize"))),IF($F182="","No Highlighted Fields","Highlighted Fields Present"))))</f>
        <v/>
      </c>
      <c r="F182" s="23" t="str">
        <f t="array" ref="F182">IF($H182="","",IF(OR(NOT(_xlfn.ISFORMULA(INDEX('Game Records'!$N:$N,$H182))),NOT(_xlfn.ISFORMULA(INDEX('Game Records'!$O:$O,$H182))),NOT(_xlfn.ISFORMULA(INDEX('Game Records'!$P:$P,$H182))),NOT(_xlfn.ISFORMULA(INDEX('Game Records'!$Q:$Q,$H182))),NOT(_xlfn.ISFORMULA(INDEX('Game Records'!$R:$R,$H182))),NOT(_xlfn.ISFORMULA(INDEX('Game Records'!$S:$S,$H182))),NOT(_xlfn.ISFORMULA(INDEX('Game Records'!$T:$T,$H182))),NOT(_xlfn.ISFORMULA(INDEX('Game Records'!$U:$U,$H182))),NOT(_xlfn.ISFORMULA(INDEX('Game Records'!$V:$V,$H182))),NOT(_xlfn.ISFORMULA(INDEX('Game Records'!$W:$W,$H182))),NOT(_xlfn.ISFORMULA(INDEX('Game Records'!$X:$X,$H182))),NOT(_xlfn.ISFORMULA(INDEX('Game Records'!$Y:$Y,$H182))),NOT(_xlfn.ISFORMULA(INDEX('Game Records'!$Z:$Z,$H182)))),"","")&amp;IF(INDEX('Game Records'!$B:$B,$H182)="","Start Date; ","")&amp;IF(INDEX('Game Records'!$C:$C,$H182)="","End Date; ","")&amp;IF(AND(INDEX('Game Records'!$U:$U,$H182)&lt;&gt;"Subscription",INDEX('Game Records'!$U:$U,$H182)&lt;&gt;"Free Game",INDEX('Game Records'!$U:$U,$H182)&lt;&gt;"Disqualified — Free Game",OR(INDEX('Game Records'!$D:$D,$H182)="",LOWER(INDEX('Game Records'!$D:$D,$H182)&amp;"")="n/a")),"Entry Mode; ","")&amp;IF(AND(INDEX('Game Records'!$U:$U,$H182)&lt;&gt;"Subscription",INDEX('Game Records'!$U:$U,$H182)&lt;&gt;"Free Game",INDEX('Game Records'!$U:$U,$H182)&lt;&gt;"Disqualified — Free Game",OR(INDEX('Game Records'!$E:$E,$H182)="",LOWER(INDEX('Game Records'!$E:$E,$H182)&amp;"")="n/a")),"Game Type; ","")&amp;IF(INDEX('Game Records'!$F:$F,$H182)="","Payment Type; ","")&amp;IF(AND(INDEX('Game Records'!$U:$U,$H182)&lt;&gt;"Subscription",INDEX('Game Records'!$U:$U,$H182)&lt;&gt;"Free Game",INDEX('Game Records'!$U:$U,$H182)&lt;&gt;"Disqualified — Free Game",INDEX('Game Records'!$G:$G,$H182)=""),"Gross Pot; ","")&amp;IF(AND(INDEX('Game Records'!$U:$U,$H182)&lt;&gt;"Free Game",INDEX('Game Records'!$U:$U,$H182)&lt;&gt;"Disqualified — Free Game",INDEX('Game Records'!$H:$H,$H182)=""),"Entry Fee; ","")&amp;IF(AND(INDEX('Game Records'!$U:$U,$H182)&lt;&gt;"Subscription",INDEX('Game Records'!$U:$U,$H182)&lt;&gt;"Free Game",INDEX('Game Records'!$U:$U,$H182)&lt;&gt;"Disqualified — Free Game",INDEX('Game Records'!$I:$I,$H182)=""),"Eligible Players; ","")&amp;IF(AND(INDEX('Game Records'!$U:$U,$H182)&lt;&gt;"Subscription",INDEX('Game Records'!$U:$U,$H182)&lt;&gt;"Free Game",INDEX('Game Records'!$U:$U,$H182)&lt;&gt;"Disqualified — Free Game",INDEX('Game Records'!$J:$J,$H182)=""),"Total Players; ","")&amp;IF(AND(LOWER(INDEX('Game Records'!$D:$D,$H182)&amp;"")="finalized",LOWER(INDEX('Game Records'!$L:$L,$H182)&amp;"")&lt;&gt;"yes",INDEX('Game Records'!$U:$U,$H182)&lt;&gt;"Subscription",INDEX('Game Records'!$U:$U,$H182)&lt;&gt;"Free Game",INDEX('Game Records'!$U:$U,$H182)&lt;&gt;"Disqualified — Free Game",INDEX('Game Records'!$K:$K,$H182)=""),"Final Payout; ","")&amp;IF(AND(LOWER(INDEX('Game Records'!$D:$D,$H182)&amp;"")="finalized",INDEX('Game Records'!$U:$U,$H182)&lt;&gt;"Subscription",INDEX('Game Records'!$U:$U,$H182)&lt;&gt;"Free Game",INDEX('Game Records'!$U:$U,$H182)&lt;&gt;"Disqualified — Free Game",OR(INDEX('Game Records'!$L:$L,$H182)="",LOWER(INDEX('Game Records'!$L:$L,$H182)&amp;"")="n/a")),"Disqualified Status; ",""))</f>
        <v/>
      </c>
      <c r="G182" s="23" t="str">
        <f t="array" ref="G182">IF($H182="","",IFERROR(INDEX('Game Records'!$M:$M,$H182),""))</f>
        <v/>
      </c>
      <c r="H182" s="3"/>
      <c r="I182" s="3"/>
      <c r="J182" s="3"/>
    </row>
    <row r="183" ht="24.0" customHeight="1">
      <c r="A183" s="18" t="str">
        <f t="shared" si="1"/>
        <v/>
      </c>
      <c r="B183" s="18" t="str">
        <f t="shared" si="2"/>
        <v/>
      </c>
      <c r="C183" s="23" t="str">
        <f t="array" ref="C183">IF($H183="","",IFERROR(INDEX('Game Records'!$A:$A,$H183),""))</f>
        <v/>
      </c>
      <c r="D183" s="23" t="str">
        <f t="array" ref="D183">IF($H183="","",IFERROR(INDEX('Game Records'!$U:$U,$H183),""))</f>
        <v/>
      </c>
      <c r="E183" s="23" t="str">
        <f t="array" ref="E183">IF($H183="","",LET(r,$H183,mode,LOWER(INDEX('Game Records'!$D:$D,r)&amp;""),endDate,INDEX('Game Records'!$C:$C,r),IF(mode="estimate",IF(endDate="","Estimate — End Date missing",IF(NOT(ISNUMBER(endDate)),"Estimate — Check End Date",IF(INT(endDate)&gt;=TODAY(),"In Progress — ends "&amp;TEXT(endDate,"mmm d, yyyy"),"Ready to Finalize"))),IF($F183="","No Highlighted Fields","Highlighted Fields Present"))))</f>
        <v/>
      </c>
      <c r="F183" s="23" t="str">
        <f t="array" ref="F183">IF($H183="","",IF(OR(NOT(_xlfn.ISFORMULA(INDEX('Game Records'!$N:$N,$H183))),NOT(_xlfn.ISFORMULA(INDEX('Game Records'!$O:$O,$H183))),NOT(_xlfn.ISFORMULA(INDEX('Game Records'!$P:$P,$H183))),NOT(_xlfn.ISFORMULA(INDEX('Game Records'!$Q:$Q,$H183))),NOT(_xlfn.ISFORMULA(INDEX('Game Records'!$R:$R,$H183))),NOT(_xlfn.ISFORMULA(INDEX('Game Records'!$S:$S,$H183))),NOT(_xlfn.ISFORMULA(INDEX('Game Records'!$T:$T,$H183))),NOT(_xlfn.ISFORMULA(INDEX('Game Records'!$U:$U,$H183))),NOT(_xlfn.ISFORMULA(INDEX('Game Records'!$V:$V,$H183))),NOT(_xlfn.ISFORMULA(INDEX('Game Records'!$W:$W,$H183))),NOT(_xlfn.ISFORMULA(INDEX('Game Records'!$X:$X,$H183))),NOT(_xlfn.ISFORMULA(INDEX('Game Records'!$Y:$Y,$H183))),NOT(_xlfn.ISFORMULA(INDEX('Game Records'!$Z:$Z,$H183)))),"","")&amp;IF(INDEX('Game Records'!$B:$B,$H183)="","Start Date; ","")&amp;IF(INDEX('Game Records'!$C:$C,$H183)="","End Date; ","")&amp;IF(AND(INDEX('Game Records'!$U:$U,$H183)&lt;&gt;"Subscription",INDEX('Game Records'!$U:$U,$H183)&lt;&gt;"Free Game",INDEX('Game Records'!$U:$U,$H183)&lt;&gt;"Disqualified — Free Game",OR(INDEX('Game Records'!$D:$D,$H183)="",LOWER(INDEX('Game Records'!$D:$D,$H183)&amp;"")="n/a")),"Entry Mode; ","")&amp;IF(AND(INDEX('Game Records'!$U:$U,$H183)&lt;&gt;"Subscription",INDEX('Game Records'!$U:$U,$H183)&lt;&gt;"Free Game",INDEX('Game Records'!$U:$U,$H183)&lt;&gt;"Disqualified — Free Game",OR(INDEX('Game Records'!$E:$E,$H183)="",LOWER(INDEX('Game Records'!$E:$E,$H183)&amp;"")="n/a")),"Game Type; ","")&amp;IF(INDEX('Game Records'!$F:$F,$H183)="","Payment Type; ","")&amp;IF(AND(INDEX('Game Records'!$U:$U,$H183)&lt;&gt;"Subscription",INDEX('Game Records'!$U:$U,$H183)&lt;&gt;"Free Game",INDEX('Game Records'!$U:$U,$H183)&lt;&gt;"Disqualified — Free Game",INDEX('Game Records'!$G:$G,$H183)=""),"Gross Pot; ","")&amp;IF(AND(INDEX('Game Records'!$U:$U,$H183)&lt;&gt;"Free Game",INDEX('Game Records'!$U:$U,$H183)&lt;&gt;"Disqualified — Free Game",INDEX('Game Records'!$H:$H,$H183)=""),"Entry Fee; ","")&amp;IF(AND(INDEX('Game Records'!$U:$U,$H183)&lt;&gt;"Subscription",INDEX('Game Records'!$U:$U,$H183)&lt;&gt;"Free Game",INDEX('Game Records'!$U:$U,$H183)&lt;&gt;"Disqualified — Free Game",INDEX('Game Records'!$I:$I,$H183)=""),"Eligible Players; ","")&amp;IF(AND(INDEX('Game Records'!$U:$U,$H183)&lt;&gt;"Subscription",INDEX('Game Records'!$U:$U,$H183)&lt;&gt;"Free Game",INDEX('Game Records'!$U:$U,$H183)&lt;&gt;"Disqualified — Free Game",INDEX('Game Records'!$J:$J,$H183)=""),"Total Players; ","")&amp;IF(AND(LOWER(INDEX('Game Records'!$D:$D,$H183)&amp;"")="finalized",LOWER(INDEX('Game Records'!$L:$L,$H183)&amp;"")&lt;&gt;"yes",INDEX('Game Records'!$U:$U,$H183)&lt;&gt;"Subscription",INDEX('Game Records'!$U:$U,$H183)&lt;&gt;"Free Game",INDEX('Game Records'!$U:$U,$H183)&lt;&gt;"Disqualified — Free Game",INDEX('Game Records'!$K:$K,$H183)=""),"Final Payout; ","")&amp;IF(AND(LOWER(INDEX('Game Records'!$D:$D,$H183)&amp;"")="finalized",INDEX('Game Records'!$U:$U,$H183)&lt;&gt;"Subscription",INDEX('Game Records'!$U:$U,$H183)&lt;&gt;"Free Game",INDEX('Game Records'!$U:$U,$H183)&lt;&gt;"Disqualified — Free Game",OR(INDEX('Game Records'!$L:$L,$H183)="",LOWER(INDEX('Game Records'!$L:$L,$H183)&amp;"")="n/a")),"Disqualified Status; ",""))</f>
        <v/>
      </c>
      <c r="G183" s="23" t="str">
        <f t="array" ref="G183">IF($H183="","",IFERROR(INDEX('Game Records'!$M:$M,$H183),""))</f>
        <v/>
      </c>
      <c r="H183" s="3"/>
      <c r="I183" s="3"/>
      <c r="J183" s="3"/>
    </row>
    <row r="184" ht="24.0" customHeight="1">
      <c r="A184" s="18" t="str">
        <f t="shared" si="1"/>
        <v/>
      </c>
      <c r="B184" s="18" t="str">
        <f t="shared" si="2"/>
        <v/>
      </c>
      <c r="C184" s="23" t="str">
        <f t="array" ref="C184">IF($H184="","",IFERROR(INDEX('Game Records'!$A:$A,$H184),""))</f>
        <v/>
      </c>
      <c r="D184" s="23" t="str">
        <f t="array" ref="D184">IF($H184="","",IFERROR(INDEX('Game Records'!$U:$U,$H184),""))</f>
        <v/>
      </c>
      <c r="E184" s="23" t="str">
        <f t="array" ref="E184">IF($H184="","",LET(r,$H184,mode,LOWER(INDEX('Game Records'!$D:$D,r)&amp;""),endDate,INDEX('Game Records'!$C:$C,r),IF(mode="estimate",IF(endDate="","Estimate — End Date missing",IF(NOT(ISNUMBER(endDate)),"Estimate — Check End Date",IF(INT(endDate)&gt;=TODAY(),"In Progress — ends "&amp;TEXT(endDate,"mmm d, yyyy"),"Ready to Finalize"))),IF($F184="","No Highlighted Fields","Highlighted Fields Present"))))</f>
        <v/>
      </c>
      <c r="F184" s="23" t="str">
        <f t="array" ref="F184">IF($H184="","",IF(OR(NOT(_xlfn.ISFORMULA(INDEX('Game Records'!$N:$N,$H184))),NOT(_xlfn.ISFORMULA(INDEX('Game Records'!$O:$O,$H184))),NOT(_xlfn.ISFORMULA(INDEX('Game Records'!$P:$P,$H184))),NOT(_xlfn.ISFORMULA(INDEX('Game Records'!$Q:$Q,$H184))),NOT(_xlfn.ISFORMULA(INDEX('Game Records'!$R:$R,$H184))),NOT(_xlfn.ISFORMULA(INDEX('Game Records'!$S:$S,$H184))),NOT(_xlfn.ISFORMULA(INDEX('Game Records'!$T:$T,$H184))),NOT(_xlfn.ISFORMULA(INDEX('Game Records'!$U:$U,$H184))),NOT(_xlfn.ISFORMULA(INDEX('Game Records'!$V:$V,$H184))),NOT(_xlfn.ISFORMULA(INDEX('Game Records'!$W:$W,$H184))),NOT(_xlfn.ISFORMULA(INDEX('Game Records'!$X:$X,$H184))),NOT(_xlfn.ISFORMULA(INDEX('Game Records'!$Y:$Y,$H184))),NOT(_xlfn.ISFORMULA(INDEX('Game Records'!$Z:$Z,$H184)))),"","")&amp;IF(INDEX('Game Records'!$B:$B,$H184)="","Start Date; ","")&amp;IF(INDEX('Game Records'!$C:$C,$H184)="","End Date; ","")&amp;IF(AND(INDEX('Game Records'!$U:$U,$H184)&lt;&gt;"Subscription",INDEX('Game Records'!$U:$U,$H184)&lt;&gt;"Free Game",INDEX('Game Records'!$U:$U,$H184)&lt;&gt;"Disqualified — Free Game",OR(INDEX('Game Records'!$D:$D,$H184)="",LOWER(INDEX('Game Records'!$D:$D,$H184)&amp;"")="n/a")),"Entry Mode; ","")&amp;IF(AND(INDEX('Game Records'!$U:$U,$H184)&lt;&gt;"Subscription",INDEX('Game Records'!$U:$U,$H184)&lt;&gt;"Free Game",INDEX('Game Records'!$U:$U,$H184)&lt;&gt;"Disqualified — Free Game",OR(INDEX('Game Records'!$E:$E,$H184)="",LOWER(INDEX('Game Records'!$E:$E,$H184)&amp;"")="n/a")),"Game Type; ","")&amp;IF(INDEX('Game Records'!$F:$F,$H184)="","Payment Type; ","")&amp;IF(AND(INDEX('Game Records'!$U:$U,$H184)&lt;&gt;"Subscription",INDEX('Game Records'!$U:$U,$H184)&lt;&gt;"Free Game",INDEX('Game Records'!$U:$U,$H184)&lt;&gt;"Disqualified — Free Game",INDEX('Game Records'!$G:$G,$H184)=""),"Gross Pot; ","")&amp;IF(AND(INDEX('Game Records'!$U:$U,$H184)&lt;&gt;"Free Game",INDEX('Game Records'!$U:$U,$H184)&lt;&gt;"Disqualified — Free Game",INDEX('Game Records'!$H:$H,$H184)=""),"Entry Fee; ","")&amp;IF(AND(INDEX('Game Records'!$U:$U,$H184)&lt;&gt;"Subscription",INDEX('Game Records'!$U:$U,$H184)&lt;&gt;"Free Game",INDEX('Game Records'!$U:$U,$H184)&lt;&gt;"Disqualified — Free Game",INDEX('Game Records'!$I:$I,$H184)=""),"Eligible Players; ","")&amp;IF(AND(INDEX('Game Records'!$U:$U,$H184)&lt;&gt;"Subscription",INDEX('Game Records'!$U:$U,$H184)&lt;&gt;"Free Game",INDEX('Game Records'!$U:$U,$H184)&lt;&gt;"Disqualified — Free Game",INDEX('Game Records'!$J:$J,$H184)=""),"Total Players; ","")&amp;IF(AND(LOWER(INDEX('Game Records'!$D:$D,$H184)&amp;"")="finalized",LOWER(INDEX('Game Records'!$L:$L,$H184)&amp;"")&lt;&gt;"yes",INDEX('Game Records'!$U:$U,$H184)&lt;&gt;"Subscription",INDEX('Game Records'!$U:$U,$H184)&lt;&gt;"Free Game",INDEX('Game Records'!$U:$U,$H184)&lt;&gt;"Disqualified — Free Game",INDEX('Game Records'!$K:$K,$H184)=""),"Final Payout; ","")&amp;IF(AND(LOWER(INDEX('Game Records'!$D:$D,$H184)&amp;"")="finalized",INDEX('Game Records'!$U:$U,$H184)&lt;&gt;"Subscription",INDEX('Game Records'!$U:$U,$H184)&lt;&gt;"Free Game",INDEX('Game Records'!$U:$U,$H184)&lt;&gt;"Disqualified — Free Game",OR(INDEX('Game Records'!$L:$L,$H184)="",LOWER(INDEX('Game Records'!$L:$L,$H184)&amp;"")="n/a")),"Disqualified Status; ",""))</f>
        <v/>
      </c>
      <c r="G184" s="23" t="str">
        <f t="array" ref="G184">IF($H184="","",IFERROR(INDEX('Game Records'!$M:$M,$H184),""))</f>
        <v/>
      </c>
      <c r="H184" s="3"/>
      <c r="I184" s="3"/>
      <c r="J184" s="3"/>
    </row>
    <row r="185" ht="24.0" customHeight="1">
      <c r="A185" s="18" t="str">
        <f t="shared" si="1"/>
        <v/>
      </c>
      <c r="B185" s="18" t="str">
        <f t="shared" si="2"/>
        <v/>
      </c>
      <c r="C185" s="23" t="str">
        <f t="array" ref="C185">IF($H185="","",IFERROR(INDEX('Game Records'!$A:$A,$H185),""))</f>
        <v/>
      </c>
      <c r="D185" s="23" t="str">
        <f t="array" ref="D185">IF($H185="","",IFERROR(INDEX('Game Records'!$U:$U,$H185),""))</f>
        <v/>
      </c>
      <c r="E185" s="23" t="str">
        <f t="array" ref="E185">IF($H185="","",LET(r,$H185,mode,LOWER(INDEX('Game Records'!$D:$D,r)&amp;""),endDate,INDEX('Game Records'!$C:$C,r),IF(mode="estimate",IF(endDate="","Estimate — End Date missing",IF(NOT(ISNUMBER(endDate)),"Estimate — Check End Date",IF(INT(endDate)&gt;=TODAY(),"In Progress — ends "&amp;TEXT(endDate,"mmm d, yyyy"),"Ready to Finalize"))),IF($F185="","No Highlighted Fields","Highlighted Fields Present"))))</f>
        <v/>
      </c>
      <c r="F185" s="23" t="str">
        <f t="array" ref="F185">IF($H185="","",IF(OR(NOT(_xlfn.ISFORMULA(INDEX('Game Records'!$N:$N,$H185))),NOT(_xlfn.ISFORMULA(INDEX('Game Records'!$O:$O,$H185))),NOT(_xlfn.ISFORMULA(INDEX('Game Records'!$P:$P,$H185))),NOT(_xlfn.ISFORMULA(INDEX('Game Records'!$Q:$Q,$H185))),NOT(_xlfn.ISFORMULA(INDEX('Game Records'!$R:$R,$H185))),NOT(_xlfn.ISFORMULA(INDEX('Game Records'!$S:$S,$H185))),NOT(_xlfn.ISFORMULA(INDEX('Game Records'!$T:$T,$H185))),NOT(_xlfn.ISFORMULA(INDEX('Game Records'!$U:$U,$H185))),NOT(_xlfn.ISFORMULA(INDEX('Game Records'!$V:$V,$H185))),NOT(_xlfn.ISFORMULA(INDEX('Game Records'!$W:$W,$H185))),NOT(_xlfn.ISFORMULA(INDEX('Game Records'!$X:$X,$H185))),NOT(_xlfn.ISFORMULA(INDEX('Game Records'!$Y:$Y,$H185))),NOT(_xlfn.ISFORMULA(INDEX('Game Records'!$Z:$Z,$H185)))),"","")&amp;IF(INDEX('Game Records'!$B:$B,$H185)="","Start Date; ","")&amp;IF(INDEX('Game Records'!$C:$C,$H185)="","End Date; ","")&amp;IF(AND(INDEX('Game Records'!$U:$U,$H185)&lt;&gt;"Subscription",INDEX('Game Records'!$U:$U,$H185)&lt;&gt;"Free Game",INDEX('Game Records'!$U:$U,$H185)&lt;&gt;"Disqualified — Free Game",OR(INDEX('Game Records'!$D:$D,$H185)="",LOWER(INDEX('Game Records'!$D:$D,$H185)&amp;"")="n/a")),"Entry Mode; ","")&amp;IF(AND(INDEX('Game Records'!$U:$U,$H185)&lt;&gt;"Subscription",INDEX('Game Records'!$U:$U,$H185)&lt;&gt;"Free Game",INDEX('Game Records'!$U:$U,$H185)&lt;&gt;"Disqualified — Free Game",OR(INDEX('Game Records'!$E:$E,$H185)="",LOWER(INDEX('Game Records'!$E:$E,$H185)&amp;"")="n/a")),"Game Type; ","")&amp;IF(INDEX('Game Records'!$F:$F,$H185)="","Payment Type; ","")&amp;IF(AND(INDEX('Game Records'!$U:$U,$H185)&lt;&gt;"Subscription",INDEX('Game Records'!$U:$U,$H185)&lt;&gt;"Free Game",INDEX('Game Records'!$U:$U,$H185)&lt;&gt;"Disqualified — Free Game",INDEX('Game Records'!$G:$G,$H185)=""),"Gross Pot; ","")&amp;IF(AND(INDEX('Game Records'!$U:$U,$H185)&lt;&gt;"Free Game",INDEX('Game Records'!$U:$U,$H185)&lt;&gt;"Disqualified — Free Game",INDEX('Game Records'!$H:$H,$H185)=""),"Entry Fee; ","")&amp;IF(AND(INDEX('Game Records'!$U:$U,$H185)&lt;&gt;"Subscription",INDEX('Game Records'!$U:$U,$H185)&lt;&gt;"Free Game",INDEX('Game Records'!$U:$U,$H185)&lt;&gt;"Disqualified — Free Game",INDEX('Game Records'!$I:$I,$H185)=""),"Eligible Players; ","")&amp;IF(AND(INDEX('Game Records'!$U:$U,$H185)&lt;&gt;"Subscription",INDEX('Game Records'!$U:$U,$H185)&lt;&gt;"Free Game",INDEX('Game Records'!$U:$U,$H185)&lt;&gt;"Disqualified — Free Game",INDEX('Game Records'!$J:$J,$H185)=""),"Total Players; ","")&amp;IF(AND(LOWER(INDEX('Game Records'!$D:$D,$H185)&amp;"")="finalized",LOWER(INDEX('Game Records'!$L:$L,$H185)&amp;"")&lt;&gt;"yes",INDEX('Game Records'!$U:$U,$H185)&lt;&gt;"Subscription",INDEX('Game Records'!$U:$U,$H185)&lt;&gt;"Free Game",INDEX('Game Records'!$U:$U,$H185)&lt;&gt;"Disqualified — Free Game",INDEX('Game Records'!$K:$K,$H185)=""),"Final Payout; ","")&amp;IF(AND(LOWER(INDEX('Game Records'!$D:$D,$H185)&amp;"")="finalized",INDEX('Game Records'!$U:$U,$H185)&lt;&gt;"Subscription",INDEX('Game Records'!$U:$U,$H185)&lt;&gt;"Free Game",INDEX('Game Records'!$U:$U,$H185)&lt;&gt;"Disqualified — Free Game",OR(INDEX('Game Records'!$L:$L,$H185)="",LOWER(INDEX('Game Records'!$L:$L,$H185)&amp;"")="n/a")),"Disqualified Status; ",""))</f>
        <v/>
      </c>
      <c r="G185" s="23" t="str">
        <f t="array" ref="G185">IF($H185="","",IFERROR(INDEX('Game Records'!$M:$M,$H185),""))</f>
        <v/>
      </c>
      <c r="H185" s="3"/>
      <c r="I185" s="3"/>
      <c r="J185" s="3"/>
    </row>
    <row r="186" ht="24.0" customHeight="1">
      <c r="A186" s="18" t="str">
        <f t="shared" si="1"/>
        <v/>
      </c>
      <c r="B186" s="18" t="str">
        <f t="shared" si="2"/>
        <v/>
      </c>
      <c r="C186" s="23" t="str">
        <f t="array" ref="C186">IF($H186="","",IFERROR(INDEX('Game Records'!$A:$A,$H186),""))</f>
        <v/>
      </c>
      <c r="D186" s="23" t="str">
        <f t="array" ref="D186">IF($H186="","",IFERROR(INDEX('Game Records'!$U:$U,$H186),""))</f>
        <v/>
      </c>
      <c r="E186" s="23" t="str">
        <f t="array" ref="E186">IF($H186="","",LET(r,$H186,mode,LOWER(INDEX('Game Records'!$D:$D,r)&amp;""),endDate,INDEX('Game Records'!$C:$C,r),IF(mode="estimate",IF(endDate="","Estimate — End Date missing",IF(NOT(ISNUMBER(endDate)),"Estimate — Check End Date",IF(INT(endDate)&gt;=TODAY(),"In Progress — ends "&amp;TEXT(endDate,"mmm d, yyyy"),"Ready to Finalize"))),IF($F186="","No Highlighted Fields","Highlighted Fields Present"))))</f>
        <v/>
      </c>
      <c r="F186" s="23" t="str">
        <f t="array" ref="F186">IF($H186="","",IF(OR(NOT(_xlfn.ISFORMULA(INDEX('Game Records'!$N:$N,$H186))),NOT(_xlfn.ISFORMULA(INDEX('Game Records'!$O:$O,$H186))),NOT(_xlfn.ISFORMULA(INDEX('Game Records'!$P:$P,$H186))),NOT(_xlfn.ISFORMULA(INDEX('Game Records'!$Q:$Q,$H186))),NOT(_xlfn.ISFORMULA(INDEX('Game Records'!$R:$R,$H186))),NOT(_xlfn.ISFORMULA(INDEX('Game Records'!$S:$S,$H186))),NOT(_xlfn.ISFORMULA(INDEX('Game Records'!$T:$T,$H186))),NOT(_xlfn.ISFORMULA(INDEX('Game Records'!$U:$U,$H186))),NOT(_xlfn.ISFORMULA(INDEX('Game Records'!$V:$V,$H186))),NOT(_xlfn.ISFORMULA(INDEX('Game Records'!$W:$W,$H186))),NOT(_xlfn.ISFORMULA(INDEX('Game Records'!$X:$X,$H186))),NOT(_xlfn.ISFORMULA(INDEX('Game Records'!$Y:$Y,$H186))),NOT(_xlfn.ISFORMULA(INDEX('Game Records'!$Z:$Z,$H186)))),"","")&amp;IF(INDEX('Game Records'!$B:$B,$H186)="","Start Date; ","")&amp;IF(INDEX('Game Records'!$C:$C,$H186)="","End Date; ","")&amp;IF(AND(INDEX('Game Records'!$U:$U,$H186)&lt;&gt;"Subscription",INDEX('Game Records'!$U:$U,$H186)&lt;&gt;"Free Game",INDEX('Game Records'!$U:$U,$H186)&lt;&gt;"Disqualified — Free Game",OR(INDEX('Game Records'!$D:$D,$H186)="",LOWER(INDEX('Game Records'!$D:$D,$H186)&amp;"")="n/a")),"Entry Mode; ","")&amp;IF(AND(INDEX('Game Records'!$U:$U,$H186)&lt;&gt;"Subscription",INDEX('Game Records'!$U:$U,$H186)&lt;&gt;"Free Game",INDEX('Game Records'!$U:$U,$H186)&lt;&gt;"Disqualified — Free Game",OR(INDEX('Game Records'!$E:$E,$H186)="",LOWER(INDEX('Game Records'!$E:$E,$H186)&amp;"")="n/a")),"Game Type; ","")&amp;IF(INDEX('Game Records'!$F:$F,$H186)="","Payment Type; ","")&amp;IF(AND(INDEX('Game Records'!$U:$U,$H186)&lt;&gt;"Subscription",INDEX('Game Records'!$U:$U,$H186)&lt;&gt;"Free Game",INDEX('Game Records'!$U:$U,$H186)&lt;&gt;"Disqualified — Free Game",INDEX('Game Records'!$G:$G,$H186)=""),"Gross Pot; ","")&amp;IF(AND(INDEX('Game Records'!$U:$U,$H186)&lt;&gt;"Free Game",INDEX('Game Records'!$U:$U,$H186)&lt;&gt;"Disqualified — Free Game",INDEX('Game Records'!$H:$H,$H186)=""),"Entry Fee; ","")&amp;IF(AND(INDEX('Game Records'!$U:$U,$H186)&lt;&gt;"Subscription",INDEX('Game Records'!$U:$U,$H186)&lt;&gt;"Free Game",INDEX('Game Records'!$U:$U,$H186)&lt;&gt;"Disqualified — Free Game",INDEX('Game Records'!$I:$I,$H186)=""),"Eligible Players; ","")&amp;IF(AND(INDEX('Game Records'!$U:$U,$H186)&lt;&gt;"Subscription",INDEX('Game Records'!$U:$U,$H186)&lt;&gt;"Free Game",INDEX('Game Records'!$U:$U,$H186)&lt;&gt;"Disqualified — Free Game",INDEX('Game Records'!$J:$J,$H186)=""),"Total Players; ","")&amp;IF(AND(LOWER(INDEX('Game Records'!$D:$D,$H186)&amp;"")="finalized",LOWER(INDEX('Game Records'!$L:$L,$H186)&amp;"")&lt;&gt;"yes",INDEX('Game Records'!$U:$U,$H186)&lt;&gt;"Subscription",INDEX('Game Records'!$U:$U,$H186)&lt;&gt;"Free Game",INDEX('Game Records'!$U:$U,$H186)&lt;&gt;"Disqualified — Free Game",INDEX('Game Records'!$K:$K,$H186)=""),"Final Payout; ","")&amp;IF(AND(LOWER(INDEX('Game Records'!$D:$D,$H186)&amp;"")="finalized",INDEX('Game Records'!$U:$U,$H186)&lt;&gt;"Subscription",INDEX('Game Records'!$U:$U,$H186)&lt;&gt;"Free Game",INDEX('Game Records'!$U:$U,$H186)&lt;&gt;"Disqualified — Free Game",OR(INDEX('Game Records'!$L:$L,$H186)="",LOWER(INDEX('Game Records'!$L:$L,$H186)&amp;"")="n/a")),"Disqualified Status; ",""))</f>
        <v/>
      </c>
      <c r="G186" s="23" t="str">
        <f t="array" ref="G186">IF($H186="","",IFERROR(INDEX('Game Records'!$M:$M,$H186),""))</f>
        <v/>
      </c>
      <c r="H186" s="3"/>
      <c r="I186" s="3"/>
      <c r="J186" s="3"/>
    </row>
    <row r="187" ht="24.0" customHeight="1">
      <c r="A187" s="18" t="str">
        <f t="shared" si="1"/>
        <v/>
      </c>
      <c r="B187" s="18" t="str">
        <f t="shared" si="2"/>
        <v/>
      </c>
      <c r="C187" s="23" t="str">
        <f t="array" ref="C187">IF($H187="","",IFERROR(INDEX('Game Records'!$A:$A,$H187),""))</f>
        <v/>
      </c>
      <c r="D187" s="23" t="str">
        <f t="array" ref="D187">IF($H187="","",IFERROR(INDEX('Game Records'!$U:$U,$H187),""))</f>
        <v/>
      </c>
      <c r="E187" s="23" t="str">
        <f t="array" ref="E187">IF($H187="","",LET(r,$H187,mode,LOWER(INDEX('Game Records'!$D:$D,r)&amp;""),endDate,INDEX('Game Records'!$C:$C,r),IF(mode="estimate",IF(endDate="","Estimate — End Date missing",IF(NOT(ISNUMBER(endDate)),"Estimate — Check End Date",IF(INT(endDate)&gt;=TODAY(),"In Progress — ends "&amp;TEXT(endDate,"mmm d, yyyy"),"Ready to Finalize"))),IF($F187="","No Highlighted Fields","Highlighted Fields Present"))))</f>
        <v/>
      </c>
      <c r="F187" s="23" t="str">
        <f t="array" ref="F187">IF($H187="","",IF(OR(NOT(_xlfn.ISFORMULA(INDEX('Game Records'!$N:$N,$H187))),NOT(_xlfn.ISFORMULA(INDEX('Game Records'!$O:$O,$H187))),NOT(_xlfn.ISFORMULA(INDEX('Game Records'!$P:$P,$H187))),NOT(_xlfn.ISFORMULA(INDEX('Game Records'!$Q:$Q,$H187))),NOT(_xlfn.ISFORMULA(INDEX('Game Records'!$R:$R,$H187))),NOT(_xlfn.ISFORMULA(INDEX('Game Records'!$S:$S,$H187))),NOT(_xlfn.ISFORMULA(INDEX('Game Records'!$T:$T,$H187))),NOT(_xlfn.ISFORMULA(INDEX('Game Records'!$U:$U,$H187))),NOT(_xlfn.ISFORMULA(INDEX('Game Records'!$V:$V,$H187))),NOT(_xlfn.ISFORMULA(INDEX('Game Records'!$W:$W,$H187))),NOT(_xlfn.ISFORMULA(INDEX('Game Records'!$X:$X,$H187))),NOT(_xlfn.ISFORMULA(INDEX('Game Records'!$Y:$Y,$H187))),NOT(_xlfn.ISFORMULA(INDEX('Game Records'!$Z:$Z,$H187)))),"","")&amp;IF(INDEX('Game Records'!$B:$B,$H187)="","Start Date; ","")&amp;IF(INDEX('Game Records'!$C:$C,$H187)="","End Date; ","")&amp;IF(AND(INDEX('Game Records'!$U:$U,$H187)&lt;&gt;"Subscription",INDEX('Game Records'!$U:$U,$H187)&lt;&gt;"Free Game",INDEX('Game Records'!$U:$U,$H187)&lt;&gt;"Disqualified — Free Game",OR(INDEX('Game Records'!$D:$D,$H187)="",LOWER(INDEX('Game Records'!$D:$D,$H187)&amp;"")="n/a")),"Entry Mode; ","")&amp;IF(AND(INDEX('Game Records'!$U:$U,$H187)&lt;&gt;"Subscription",INDEX('Game Records'!$U:$U,$H187)&lt;&gt;"Free Game",INDEX('Game Records'!$U:$U,$H187)&lt;&gt;"Disqualified — Free Game",OR(INDEX('Game Records'!$E:$E,$H187)="",LOWER(INDEX('Game Records'!$E:$E,$H187)&amp;"")="n/a")),"Game Type; ","")&amp;IF(INDEX('Game Records'!$F:$F,$H187)="","Payment Type; ","")&amp;IF(AND(INDEX('Game Records'!$U:$U,$H187)&lt;&gt;"Subscription",INDEX('Game Records'!$U:$U,$H187)&lt;&gt;"Free Game",INDEX('Game Records'!$U:$U,$H187)&lt;&gt;"Disqualified — Free Game",INDEX('Game Records'!$G:$G,$H187)=""),"Gross Pot; ","")&amp;IF(AND(INDEX('Game Records'!$U:$U,$H187)&lt;&gt;"Free Game",INDEX('Game Records'!$U:$U,$H187)&lt;&gt;"Disqualified — Free Game",INDEX('Game Records'!$H:$H,$H187)=""),"Entry Fee; ","")&amp;IF(AND(INDEX('Game Records'!$U:$U,$H187)&lt;&gt;"Subscription",INDEX('Game Records'!$U:$U,$H187)&lt;&gt;"Free Game",INDEX('Game Records'!$U:$U,$H187)&lt;&gt;"Disqualified — Free Game",INDEX('Game Records'!$I:$I,$H187)=""),"Eligible Players; ","")&amp;IF(AND(INDEX('Game Records'!$U:$U,$H187)&lt;&gt;"Subscription",INDEX('Game Records'!$U:$U,$H187)&lt;&gt;"Free Game",INDEX('Game Records'!$U:$U,$H187)&lt;&gt;"Disqualified — Free Game",INDEX('Game Records'!$J:$J,$H187)=""),"Total Players; ","")&amp;IF(AND(LOWER(INDEX('Game Records'!$D:$D,$H187)&amp;"")="finalized",LOWER(INDEX('Game Records'!$L:$L,$H187)&amp;"")&lt;&gt;"yes",INDEX('Game Records'!$U:$U,$H187)&lt;&gt;"Subscription",INDEX('Game Records'!$U:$U,$H187)&lt;&gt;"Free Game",INDEX('Game Records'!$U:$U,$H187)&lt;&gt;"Disqualified — Free Game",INDEX('Game Records'!$K:$K,$H187)=""),"Final Payout; ","")&amp;IF(AND(LOWER(INDEX('Game Records'!$D:$D,$H187)&amp;"")="finalized",INDEX('Game Records'!$U:$U,$H187)&lt;&gt;"Subscription",INDEX('Game Records'!$U:$U,$H187)&lt;&gt;"Free Game",INDEX('Game Records'!$U:$U,$H187)&lt;&gt;"Disqualified — Free Game",OR(INDEX('Game Records'!$L:$L,$H187)="",LOWER(INDEX('Game Records'!$L:$L,$H187)&amp;"")="n/a")),"Disqualified Status; ",""))</f>
        <v/>
      </c>
      <c r="G187" s="23" t="str">
        <f t="array" ref="G187">IF($H187="","",IFERROR(INDEX('Game Records'!$M:$M,$H187),""))</f>
        <v/>
      </c>
      <c r="H187" s="3"/>
      <c r="I187" s="3"/>
      <c r="J187" s="3"/>
    </row>
    <row r="188" ht="24.0" customHeight="1">
      <c r="A188" s="18" t="str">
        <f t="shared" si="1"/>
        <v/>
      </c>
      <c r="B188" s="18" t="str">
        <f t="shared" si="2"/>
        <v/>
      </c>
      <c r="C188" s="23" t="str">
        <f t="array" ref="C188">IF($H188="","",IFERROR(INDEX('Game Records'!$A:$A,$H188),""))</f>
        <v/>
      </c>
      <c r="D188" s="23" t="str">
        <f t="array" ref="D188">IF($H188="","",IFERROR(INDEX('Game Records'!$U:$U,$H188),""))</f>
        <v/>
      </c>
      <c r="E188" s="23" t="str">
        <f t="array" ref="E188">IF($H188="","",LET(r,$H188,mode,LOWER(INDEX('Game Records'!$D:$D,r)&amp;""),endDate,INDEX('Game Records'!$C:$C,r),IF(mode="estimate",IF(endDate="","Estimate — End Date missing",IF(NOT(ISNUMBER(endDate)),"Estimate — Check End Date",IF(INT(endDate)&gt;=TODAY(),"In Progress — ends "&amp;TEXT(endDate,"mmm d, yyyy"),"Ready to Finalize"))),IF($F188="","No Highlighted Fields","Highlighted Fields Present"))))</f>
        <v/>
      </c>
      <c r="F188" s="23" t="str">
        <f t="array" ref="F188">IF($H188="","",IF(OR(NOT(_xlfn.ISFORMULA(INDEX('Game Records'!$N:$N,$H188))),NOT(_xlfn.ISFORMULA(INDEX('Game Records'!$O:$O,$H188))),NOT(_xlfn.ISFORMULA(INDEX('Game Records'!$P:$P,$H188))),NOT(_xlfn.ISFORMULA(INDEX('Game Records'!$Q:$Q,$H188))),NOT(_xlfn.ISFORMULA(INDEX('Game Records'!$R:$R,$H188))),NOT(_xlfn.ISFORMULA(INDEX('Game Records'!$S:$S,$H188))),NOT(_xlfn.ISFORMULA(INDEX('Game Records'!$T:$T,$H188))),NOT(_xlfn.ISFORMULA(INDEX('Game Records'!$U:$U,$H188))),NOT(_xlfn.ISFORMULA(INDEX('Game Records'!$V:$V,$H188))),NOT(_xlfn.ISFORMULA(INDEX('Game Records'!$W:$W,$H188))),NOT(_xlfn.ISFORMULA(INDEX('Game Records'!$X:$X,$H188))),NOT(_xlfn.ISFORMULA(INDEX('Game Records'!$Y:$Y,$H188))),NOT(_xlfn.ISFORMULA(INDEX('Game Records'!$Z:$Z,$H188)))),"","")&amp;IF(INDEX('Game Records'!$B:$B,$H188)="","Start Date; ","")&amp;IF(INDEX('Game Records'!$C:$C,$H188)="","End Date; ","")&amp;IF(AND(INDEX('Game Records'!$U:$U,$H188)&lt;&gt;"Subscription",INDEX('Game Records'!$U:$U,$H188)&lt;&gt;"Free Game",INDEX('Game Records'!$U:$U,$H188)&lt;&gt;"Disqualified — Free Game",OR(INDEX('Game Records'!$D:$D,$H188)="",LOWER(INDEX('Game Records'!$D:$D,$H188)&amp;"")="n/a")),"Entry Mode; ","")&amp;IF(AND(INDEX('Game Records'!$U:$U,$H188)&lt;&gt;"Subscription",INDEX('Game Records'!$U:$U,$H188)&lt;&gt;"Free Game",INDEX('Game Records'!$U:$U,$H188)&lt;&gt;"Disqualified — Free Game",OR(INDEX('Game Records'!$E:$E,$H188)="",LOWER(INDEX('Game Records'!$E:$E,$H188)&amp;"")="n/a")),"Game Type; ","")&amp;IF(INDEX('Game Records'!$F:$F,$H188)="","Payment Type; ","")&amp;IF(AND(INDEX('Game Records'!$U:$U,$H188)&lt;&gt;"Subscription",INDEX('Game Records'!$U:$U,$H188)&lt;&gt;"Free Game",INDEX('Game Records'!$U:$U,$H188)&lt;&gt;"Disqualified — Free Game",INDEX('Game Records'!$G:$G,$H188)=""),"Gross Pot; ","")&amp;IF(AND(INDEX('Game Records'!$U:$U,$H188)&lt;&gt;"Free Game",INDEX('Game Records'!$U:$U,$H188)&lt;&gt;"Disqualified — Free Game",INDEX('Game Records'!$H:$H,$H188)=""),"Entry Fee; ","")&amp;IF(AND(INDEX('Game Records'!$U:$U,$H188)&lt;&gt;"Subscription",INDEX('Game Records'!$U:$U,$H188)&lt;&gt;"Free Game",INDEX('Game Records'!$U:$U,$H188)&lt;&gt;"Disqualified — Free Game",INDEX('Game Records'!$I:$I,$H188)=""),"Eligible Players; ","")&amp;IF(AND(INDEX('Game Records'!$U:$U,$H188)&lt;&gt;"Subscription",INDEX('Game Records'!$U:$U,$H188)&lt;&gt;"Free Game",INDEX('Game Records'!$U:$U,$H188)&lt;&gt;"Disqualified — Free Game",INDEX('Game Records'!$J:$J,$H188)=""),"Total Players; ","")&amp;IF(AND(LOWER(INDEX('Game Records'!$D:$D,$H188)&amp;"")="finalized",LOWER(INDEX('Game Records'!$L:$L,$H188)&amp;"")&lt;&gt;"yes",INDEX('Game Records'!$U:$U,$H188)&lt;&gt;"Subscription",INDEX('Game Records'!$U:$U,$H188)&lt;&gt;"Free Game",INDEX('Game Records'!$U:$U,$H188)&lt;&gt;"Disqualified — Free Game",INDEX('Game Records'!$K:$K,$H188)=""),"Final Payout; ","")&amp;IF(AND(LOWER(INDEX('Game Records'!$D:$D,$H188)&amp;"")="finalized",INDEX('Game Records'!$U:$U,$H188)&lt;&gt;"Subscription",INDEX('Game Records'!$U:$U,$H188)&lt;&gt;"Free Game",INDEX('Game Records'!$U:$U,$H188)&lt;&gt;"Disqualified — Free Game",OR(INDEX('Game Records'!$L:$L,$H188)="",LOWER(INDEX('Game Records'!$L:$L,$H188)&amp;"")="n/a")),"Disqualified Status; ",""))</f>
        <v/>
      </c>
      <c r="G188" s="23" t="str">
        <f t="array" ref="G188">IF($H188="","",IFERROR(INDEX('Game Records'!$M:$M,$H188),""))</f>
        <v/>
      </c>
      <c r="H188" s="3"/>
      <c r="I188" s="3"/>
      <c r="J188" s="3"/>
    </row>
    <row r="189" ht="24.0" customHeight="1">
      <c r="A189" s="18" t="str">
        <f t="shared" si="1"/>
        <v/>
      </c>
      <c r="B189" s="18" t="str">
        <f t="shared" si="2"/>
        <v/>
      </c>
      <c r="C189" s="23" t="str">
        <f t="array" ref="C189">IF($H189="","",IFERROR(INDEX('Game Records'!$A:$A,$H189),""))</f>
        <v/>
      </c>
      <c r="D189" s="23" t="str">
        <f t="array" ref="D189">IF($H189="","",IFERROR(INDEX('Game Records'!$U:$U,$H189),""))</f>
        <v/>
      </c>
      <c r="E189" s="23" t="str">
        <f t="array" ref="E189">IF($H189="","",LET(r,$H189,mode,LOWER(INDEX('Game Records'!$D:$D,r)&amp;""),endDate,INDEX('Game Records'!$C:$C,r),IF(mode="estimate",IF(endDate="","Estimate — End Date missing",IF(NOT(ISNUMBER(endDate)),"Estimate — Check End Date",IF(INT(endDate)&gt;=TODAY(),"In Progress — ends "&amp;TEXT(endDate,"mmm d, yyyy"),"Ready to Finalize"))),IF($F189="","No Highlighted Fields","Highlighted Fields Present"))))</f>
        <v/>
      </c>
      <c r="F189" s="23" t="str">
        <f t="array" ref="F189">IF($H189="","",IF(OR(NOT(_xlfn.ISFORMULA(INDEX('Game Records'!$N:$N,$H189))),NOT(_xlfn.ISFORMULA(INDEX('Game Records'!$O:$O,$H189))),NOT(_xlfn.ISFORMULA(INDEX('Game Records'!$P:$P,$H189))),NOT(_xlfn.ISFORMULA(INDEX('Game Records'!$Q:$Q,$H189))),NOT(_xlfn.ISFORMULA(INDEX('Game Records'!$R:$R,$H189))),NOT(_xlfn.ISFORMULA(INDEX('Game Records'!$S:$S,$H189))),NOT(_xlfn.ISFORMULA(INDEX('Game Records'!$T:$T,$H189))),NOT(_xlfn.ISFORMULA(INDEX('Game Records'!$U:$U,$H189))),NOT(_xlfn.ISFORMULA(INDEX('Game Records'!$V:$V,$H189))),NOT(_xlfn.ISFORMULA(INDEX('Game Records'!$W:$W,$H189))),NOT(_xlfn.ISFORMULA(INDEX('Game Records'!$X:$X,$H189))),NOT(_xlfn.ISFORMULA(INDEX('Game Records'!$Y:$Y,$H189))),NOT(_xlfn.ISFORMULA(INDEX('Game Records'!$Z:$Z,$H189)))),"","")&amp;IF(INDEX('Game Records'!$B:$B,$H189)="","Start Date; ","")&amp;IF(INDEX('Game Records'!$C:$C,$H189)="","End Date; ","")&amp;IF(AND(INDEX('Game Records'!$U:$U,$H189)&lt;&gt;"Subscription",INDEX('Game Records'!$U:$U,$H189)&lt;&gt;"Free Game",INDEX('Game Records'!$U:$U,$H189)&lt;&gt;"Disqualified — Free Game",OR(INDEX('Game Records'!$D:$D,$H189)="",LOWER(INDEX('Game Records'!$D:$D,$H189)&amp;"")="n/a")),"Entry Mode; ","")&amp;IF(AND(INDEX('Game Records'!$U:$U,$H189)&lt;&gt;"Subscription",INDEX('Game Records'!$U:$U,$H189)&lt;&gt;"Free Game",INDEX('Game Records'!$U:$U,$H189)&lt;&gt;"Disqualified — Free Game",OR(INDEX('Game Records'!$E:$E,$H189)="",LOWER(INDEX('Game Records'!$E:$E,$H189)&amp;"")="n/a")),"Game Type; ","")&amp;IF(INDEX('Game Records'!$F:$F,$H189)="","Payment Type; ","")&amp;IF(AND(INDEX('Game Records'!$U:$U,$H189)&lt;&gt;"Subscription",INDEX('Game Records'!$U:$U,$H189)&lt;&gt;"Free Game",INDEX('Game Records'!$U:$U,$H189)&lt;&gt;"Disqualified — Free Game",INDEX('Game Records'!$G:$G,$H189)=""),"Gross Pot; ","")&amp;IF(AND(INDEX('Game Records'!$U:$U,$H189)&lt;&gt;"Free Game",INDEX('Game Records'!$U:$U,$H189)&lt;&gt;"Disqualified — Free Game",INDEX('Game Records'!$H:$H,$H189)=""),"Entry Fee; ","")&amp;IF(AND(INDEX('Game Records'!$U:$U,$H189)&lt;&gt;"Subscription",INDEX('Game Records'!$U:$U,$H189)&lt;&gt;"Free Game",INDEX('Game Records'!$U:$U,$H189)&lt;&gt;"Disqualified — Free Game",INDEX('Game Records'!$I:$I,$H189)=""),"Eligible Players; ","")&amp;IF(AND(INDEX('Game Records'!$U:$U,$H189)&lt;&gt;"Subscription",INDEX('Game Records'!$U:$U,$H189)&lt;&gt;"Free Game",INDEX('Game Records'!$U:$U,$H189)&lt;&gt;"Disqualified — Free Game",INDEX('Game Records'!$J:$J,$H189)=""),"Total Players; ","")&amp;IF(AND(LOWER(INDEX('Game Records'!$D:$D,$H189)&amp;"")="finalized",LOWER(INDEX('Game Records'!$L:$L,$H189)&amp;"")&lt;&gt;"yes",INDEX('Game Records'!$U:$U,$H189)&lt;&gt;"Subscription",INDEX('Game Records'!$U:$U,$H189)&lt;&gt;"Free Game",INDEX('Game Records'!$U:$U,$H189)&lt;&gt;"Disqualified — Free Game",INDEX('Game Records'!$K:$K,$H189)=""),"Final Payout; ","")&amp;IF(AND(LOWER(INDEX('Game Records'!$D:$D,$H189)&amp;"")="finalized",INDEX('Game Records'!$U:$U,$H189)&lt;&gt;"Subscription",INDEX('Game Records'!$U:$U,$H189)&lt;&gt;"Free Game",INDEX('Game Records'!$U:$U,$H189)&lt;&gt;"Disqualified — Free Game",OR(INDEX('Game Records'!$L:$L,$H189)="",LOWER(INDEX('Game Records'!$L:$L,$H189)&amp;"")="n/a")),"Disqualified Status; ",""))</f>
        <v/>
      </c>
      <c r="G189" s="23" t="str">
        <f t="array" ref="G189">IF($H189="","",IFERROR(INDEX('Game Records'!$M:$M,$H189),""))</f>
        <v/>
      </c>
      <c r="H189" s="3"/>
      <c r="I189" s="3"/>
      <c r="J189" s="3"/>
    </row>
    <row r="190" ht="24.0" customHeight="1">
      <c r="A190" s="18" t="str">
        <f t="shared" si="1"/>
        <v/>
      </c>
      <c r="B190" s="18" t="str">
        <f t="shared" si="2"/>
        <v/>
      </c>
      <c r="C190" s="23" t="str">
        <f t="array" ref="C190">IF($H190="","",IFERROR(INDEX('Game Records'!$A:$A,$H190),""))</f>
        <v/>
      </c>
      <c r="D190" s="23" t="str">
        <f t="array" ref="D190">IF($H190="","",IFERROR(INDEX('Game Records'!$U:$U,$H190),""))</f>
        <v/>
      </c>
      <c r="E190" s="23" t="str">
        <f t="array" ref="E190">IF($H190="","",LET(r,$H190,mode,LOWER(INDEX('Game Records'!$D:$D,r)&amp;""),endDate,INDEX('Game Records'!$C:$C,r),IF(mode="estimate",IF(endDate="","Estimate — End Date missing",IF(NOT(ISNUMBER(endDate)),"Estimate — Check End Date",IF(INT(endDate)&gt;=TODAY(),"In Progress — ends "&amp;TEXT(endDate,"mmm d, yyyy"),"Ready to Finalize"))),IF($F190="","No Highlighted Fields","Highlighted Fields Present"))))</f>
        <v/>
      </c>
      <c r="F190" s="23" t="str">
        <f t="array" ref="F190">IF($H190="","",IF(OR(NOT(_xlfn.ISFORMULA(INDEX('Game Records'!$N:$N,$H190))),NOT(_xlfn.ISFORMULA(INDEX('Game Records'!$O:$O,$H190))),NOT(_xlfn.ISFORMULA(INDEX('Game Records'!$P:$P,$H190))),NOT(_xlfn.ISFORMULA(INDEX('Game Records'!$Q:$Q,$H190))),NOT(_xlfn.ISFORMULA(INDEX('Game Records'!$R:$R,$H190))),NOT(_xlfn.ISFORMULA(INDEX('Game Records'!$S:$S,$H190))),NOT(_xlfn.ISFORMULA(INDEX('Game Records'!$T:$T,$H190))),NOT(_xlfn.ISFORMULA(INDEX('Game Records'!$U:$U,$H190))),NOT(_xlfn.ISFORMULA(INDEX('Game Records'!$V:$V,$H190))),NOT(_xlfn.ISFORMULA(INDEX('Game Records'!$W:$W,$H190))),NOT(_xlfn.ISFORMULA(INDEX('Game Records'!$X:$X,$H190))),NOT(_xlfn.ISFORMULA(INDEX('Game Records'!$Y:$Y,$H190))),NOT(_xlfn.ISFORMULA(INDEX('Game Records'!$Z:$Z,$H190)))),"","")&amp;IF(INDEX('Game Records'!$B:$B,$H190)="","Start Date; ","")&amp;IF(INDEX('Game Records'!$C:$C,$H190)="","End Date; ","")&amp;IF(AND(INDEX('Game Records'!$U:$U,$H190)&lt;&gt;"Subscription",INDEX('Game Records'!$U:$U,$H190)&lt;&gt;"Free Game",INDEX('Game Records'!$U:$U,$H190)&lt;&gt;"Disqualified — Free Game",OR(INDEX('Game Records'!$D:$D,$H190)="",LOWER(INDEX('Game Records'!$D:$D,$H190)&amp;"")="n/a")),"Entry Mode; ","")&amp;IF(AND(INDEX('Game Records'!$U:$U,$H190)&lt;&gt;"Subscription",INDEX('Game Records'!$U:$U,$H190)&lt;&gt;"Free Game",INDEX('Game Records'!$U:$U,$H190)&lt;&gt;"Disqualified — Free Game",OR(INDEX('Game Records'!$E:$E,$H190)="",LOWER(INDEX('Game Records'!$E:$E,$H190)&amp;"")="n/a")),"Game Type; ","")&amp;IF(INDEX('Game Records'!$F:$F,$H190)="","Payment Type; ","")&amp;IF(AND(INDEX('Game Records'!$U:$U,$H190)&lt;&gt;"Subscription",INDEX('Game Records'!$U:$U,$H190)&lt;&gt;"Free Game",INDEX('Game Records'!$U:$U,$H190)&lt;&gt;"Disqualified — Free Game",INDEX('Game Records'!$G:$G,$H190)=""),"Gross Pot; ","")&amp;IF(AND(INDEX('Game Records'!$U:$U,$H190)&lt;&gt;"Free Game",INDEX('Game Records'!$U:$U,$H190)&lt;&gt;"Disqualified — Free Game",INDEX('Game Records'!$H:$H,$H190)=""),"Entry Fee; ","")&amp;IF(AND(INDEX('Game Records'!$U:$U,$H190)&lt;&gt;"Subscription",INDEX('Game Records'!$U:$U,$H190)&lt;&gt;"Free Game",INDEX('Game Records'!$U:$U,$H190)&lt;&gt;"Disqualified — Free Game",INDEX('Game Records'!$I:$I,$H190)=""),"Eligible Players; ","")&amp;IF(AND(INDEX('Game Records'!$U:$U,$H190)&lt;&gt;"Subscription",INDEX('Game Records'!$U:$U,$H190)&lt;&gt;"Free Game",INDEX('Game Records'!$U:$U,$H190)&lt;&gt;"Disqualified — Free Game",INDEX('Game Records'!$J:$J,$H190)=""),"Total Players; ","")&amp;IF(AND(LOWER(INDEX('Game Records'!$D:$D,$H190)&amp;"")="finalized",LOWER(INDEX('Game Records'!$L:$L,$H190)&amp;"")&lt;&gt;"yes",INDEX('Game Records'!$U:$U,$H190)&lt;&gt;"Subscription",INDEX('Game Records'!$U:$U,$H190)&lt;&gt;"Free Game",INDEX('Game Records'!$U:$U,$H190)&lt;&gt;"Disqualified — Free Game",INDEX('Game Records'!$K:$K,$H190)=""),"Final Payout; ","")&amp;IF(AND(LOWER(INDEX('Game Records'!$D:$D,$H190)&amp;"")="finalized",INDEX('Game Records'!$U:$U,$H190)&lt;&gt;"Subscription",INDEX('Game Records'!$U:$U,$H190)&lt;&gt;"Free Game",INDEX('Game Records'!$U:$U,$H190)&lt;&gt;"Disqualified — Free Game",OR(INDEX('Game Records'!$L:$L,$H190)="",LOWER(INDEX('Game Records'!$L:$L,$H190)&amp;"")="n/a")),"Disqualified Status; ",""))</f>
        <v/>
      </c>
      <c r="G190" s="23" t="str">
        <f t="array" ref="G190">IF($H190="","",IFERROR(INDEX('Game Records'!$M:$M,$H190),""))</f>
        <v/>
      </c>
      <c r="H190" s="3"/>
      <c r="I190" s="3"/>
      <c r="J190" s="3"/>
    </row>
    <row r="191" ht="24.0" customHeight="1">
      <c r="A191" s="18" t="str">
        <f t="shared" si="1"/>
        <v/>
      </c>
      <c r="B191" s="18" t="str">
        <f t="shared" si="2"/>
        <v/>
      </c>
      <c r="C191" s="23" t="str">
        <f t="array" ref="C191">IF($H191="","",IFERROR(INDEX('Game Records'!$A:$A,$H191),""))</f>
        <v/>
      </c>
      <c r="D191" s="23" t="str">
        <f t="array" ref="D191">IF($H191="","",IFERROR(INDEX('Game Records'!$U:$U,$H191),""))</f>
        <v/>
      </c>
      <c r="E191" s="23" t="str">
        <f t="array" ref="E191">IF($H191="","",LET(r,$H191,mode,LOWER(INDEX('Game Records'!$D:$D,r)&amp;""),endDate,INDEX('Game Records'!$C:$C,r),IF(mode="estimate",IF(endDate="","Estimate — End Date missing",IF(NOT(ISNUMBER(endDate)),"Estimate — Check End Date",IF(INT(endDate)&gt;=TODAY(),"In Progress — ends "&amp;TEXT(endDate,"mmm d, yyyy"),"Ready to Finalize"))),IF($F191="","No Highlighted Fields","Highlighted Fields Present"))))</f>
        <v/>
      </c>
      <c r="F191" s="23" t="str">
        <f t="array" ref="F191">IF($H191="","",IF(OR(NOT(_xlfn.ISFORMULA(INDEX('Game Records'!$N:$N,$H191))),NOT(_xlfn.ISFORMULA(INDEX('Game Records'!$O:$O,$H191))),NOT(_xlfn.ISFORMULA(INDEX('Game Records'!$P:$P,$H191))),NOT(_xlfn.ISFORMULA(INDEX('Game Records'!$Q:$Q,$H191))),NOT(_xlfn.ISFORMULA(INDEX('Game Records'!$R:$R,$H191))),NOT(_xlfn.ISFORMULA(INDEX('Game Records'!$S:$S,$H191))),NOT(_xlfn.ISFORMULA(INDEX('Game Records'!$T:$T,$H191))),NOT(_xlfn.ISFORMULA(INDEX('Game Records'!$U:$U,$H191))),NOT(_xlfn.ISFORMULA(INDEX('Game Records'!$V:$V,$H191))),NOT(_xlfn.ISFORMULA(INDEX('Game Records'!$W:$W,$H191))),NOT(_xlfn.ISFORMULA(INDEX('Game Records'!$X:$X,$H191))),NOT(_xlfn.ISFORMULA(INDEX('Game Records'!$Y:$Y,$H191))),NOT(_xlfn.ISFORMULA(INDEX('Game Records'!$Z:$Z,$H191)))),"","")&amp;IF(INDEX('Game Records'!$B:$B,$H191)="","Start Date; ","")&amp;IF(INDEX('Game Records'!$C:$C,$H191)="","End Date; ","")&amp;IF(AND(INDEX('Game Records'!$U:$U,$H191)&lt;&gt;"Subscription",INDEX('Game Records'!$U:$U,$H191)&lt;&gt;"Free Game",INDEX('Game Records'!$U:$U,$H191)&lt;&gt;"Disqualified — Free Game",OR(INDEX('Game Records'!$D:$D,$H191)="",LOWER(INDEX('Game Records'!$D:$D,$H191)&amp;"")="n/a")),"Entry Mode; ","")&amp;IF(AND(INDEX('Game Records'!$U:$U,$H191)&lt;&gt;"Subscription",INDEX('Game Records'!$U:$U,$H191)&lt;&gt;"Free Game",INDEX('Game Records'!$U:$U,$H191)&lt;&gt;"Disqualified — Free Game",OR(INDEX('Game Records'!$E:$E,$H191)="",LOWER(INDEX('Game Records'!$E:$E,$H191)&amp;"")="n/a")),"Game Type; ","")&amp;IF(INDEX('Game Records'!$F:$F,$H191)="","Payment Type; ","")&amp;IF(AND(INDEX('Game Records'!$U:$U,$H191)&lt;&gt;"Subscription",INDEX('Game Records'!$U:$U,$H191)&lt;&gt;"Free Game",INDEX('Game Records'!$U:$U,$H191)&lt;&gt;"Disqualified — Free Game",INDEX('Game Records'!$G:$G,$H191)=""),"Gross Pot; ","")&amp;IF(AND(INDEX('Game Records'!$U:$U,$H191)&lt;&gt;"Free Game",INDEX('Game Records'!$U:$U,$H191)&lt;&gt;"Disqualified — Free Game",INDEX('Game Records'!$H:$H,$H191)=""),"Entry Fee; ","")&amp;IF(AND(INDEX('Game Records'!$U:$U,$H191)&lt;&gt;"Subscription",INDEX('Game Records'!$U:$U,$H191)&lt;&gt;"Free Game",INDEX('Game Records'!$U:$U,$H191)&lt;&gt;"Disqualified — Free Game",INDEX('Game Records'!$I:$I,$H191)=""),"Eligible Players; ","")&amp;IF(AND(INDEX('Game Records'!$U:$U,$H191)&lt;&gt;"Subscription",INDEX('Game Records'!$U:$U,$H191)&lt;&gt;"Free Game",INDEX('Game Records'!$U:$U,$H191)&lt;&gt;"Disqualified — Free Game",INDEX('Game Records'!$J:$J,$H191)=""),"Total Players; ","")&amp;IF(AND(LOWER(INDEX('Game Records'!$D:$D,$H191)&amp;"")="finalized",LOWER(INDEX('Game Records'!$L:$L,$H191)&amp;"")&lt;&gt;"yes",INDEX('Game Records'!$U:$U,$H191)&lt;&gt;"Subscription",INDEX('Game Records'!$U:$U,$H191)&lt;&gt;"Free Game",INDEX('Game Records'!$U:$U,$H191)&lt;&gt;"Disqualified — Free Game",INDEX('Game Records'!$K:$K,$H191)=""),"Final Payout; ","")&amp;IF(AND(LOWER(INDEX('Game Records'!$D:$D,$H191)&amp;"")="finalized",INDEX('Game Records'!$U:$U,$H191)&lt;&gt;"Subscription",INDEX('Game Records'!$U:$U,$H191)&lt;&gt;"Free Game",INDEX('Game Records'!$U:$U,$H191)&lt;&gt;"Disqualified — Free Game",OR(INDEX('Game Records'!$L:$L,$H191)="",LOWER(INDEX('Game Records'!$L:$L,$H191)&amp;"")="n/a")),"Disqualified Status; ",""))</f>
        <v/>
      </c>
      <c r="G191" s="23" t="str">
        <f t="array" ref="G191">IF($H191="","",IFERROR(INDEX('Game Records'!$M:$M,$H191),""))</f>
        <v/>
      </c>
      <c r="H191" s="3"/>
      <c r="I191" s="3"/>
      <c r="J191" s="3"/>
    </row>
    <row r="192" ht="24.0" customHeight="1">
      <c r="A192" s="18" t="str">
        <f t="shared" si="1"/>
        <v/>
      </c>
      <c r="B192" s="18" t="str">
        <f t="shared" si="2"/>
        <v/>
      </c>
      <c r="C192" s="23" t="str">
        <f t="array" ref="C192">IF($H192="","",IFERROR(INDEX('Game Records'!$A:$A,$H192),""))</f>
        <v/>
      </c>
      <c r="D192" s="23" t="str">
        <f t="array" ref="D192">IF($H192="","",IFERROR(INDEX('Game Records'!$U:$U,$H192),""))</f>
        <v/>
      </c>
      <c r="E192" s="23" t="str">
        <f t="array" ref="E192">IF($H192="","",LET(r,$H192,mode,LOWER(INDEX('Game Records'!$D:$D,r)&amp;""),endDate,INDEX('Game Records'!$C:$C,r),IF(mode="estimate",IF(endDate="","Estimate — End Date missing",IF(NOT(ISNUMBER(endDate)),"Estimate — Check End Date",IF(INT(endDate)&gt;=TODAY(),"In Progress — ends "&amp;TEXT(endDate,"mmm d, yyyy"),"Ready to Finalize"))),IF($F192="","No Highlighted Fields","Highlighted Fields Present"))))</f>
        <v/>
      </c>
      <c r="F192" s="23" t="str">
        <f t="array" ref="F192">IF($H192="","",IF(OR(NOT(_xlfn.ISFORMULA(INDEX('Game Records'!$N:$N,$H192))),NOT(_xlfn.ISFORMULA(INDEX('Game Records'!$O:$O,$H192))),NOT(_xlfn.ISFORMULA(INDEX('Game Records'!$P:$P,$H192))),NOT(_xlfn.ISFORMULA(INDEX('Game Records'!$Q:$Q,$H192))),NOT(_xlfn.ISFORMULA(INDEX('Game Records'!$R:$R,$H192))),NOT(_xlfn.ISFORMULA(INDEX('Game Records'!$S:$S,$H192))),NOT(_xlfn.ISFORMULA(INDEX('Game Records'!$T:$T,$H192))),NOT(_xlfn.ISFORMULA(INDEX('Game Records'!$U:$U,$H192))),NOT(_xlfn.ISFORMULA(INDEX('Game Records'!$V:$V,$H192))),NOT(_xlfn.ISFORMULA(INDEX('Game Records'!$W:$W,$H192))),NOT(_xlfn.ISFORMULA(INDEX('Game Records'!$X:$X,$H192))),NOT(_xlfn.ISFORMULA(INDEX('Game Records'!$Y:$Y,$H192))),NOT(_xlfn.ISFORMULA(INDEX('Game Records'!$Z:$Z,$H192)))),"","")&amp;IF(INDEX('Game Records'!$B:$B,$H192)="","Start Date; ","")&amp;IF(INDEX('Game Records'!$C:$C,$H192)="","End Date; ","")&amp;IF(AND(INDEX('Game Records'!$U:$U,$H192)&lt;&gt;"Subscription",INDEX('Game Records'!$U:$U,$H192)&lt;&gt;"Free Game",INDEX('Game Records'!$U:$U,$H192)&lt;&gt;"Disqualified — Free Game",OR(INDEX('Game Records'!$D:$D,$H192)="",LOWER(INDEX('Game Records'!$D:$D,$H192)&amp;"")="n/a")),"Entry Mode; ","")&amp;IF(AND(INDEX('Game Records'!$U:$U,$H192)&lt;&gt;"Subscription",INDEX('Game Records'!$U:$U,$H192)&lt;&gt;"Free Game",INDEX('Game Records'!$U:$U,$H192)&lt;&gt;"Disqualified — Free Game",OR(INDEX('Game Records'!$E:$E,$H192)="",LOWER(INDEX('Game Records'!$E:$E,$H192)&amp;"")="n/a")),"Game Type; ","")&amp;IF(INDEX('Game Records'!$F:$F,$H192)="","Payment Type; ","")&amp;IF(AND(INDEX('Game Records'!$U:$U,$H192)&lt;&gt;"Subscription",INDEX('Game Records'!$U:$U,$H192)&lt;&gt;"Free Game",INDEX('Game Records'!$U:$U,$H192)&lt;&gt;"Disqualified — Free Game",INDEX('Game Records'!$G:$G,$H192)=""),"Gross Pot; ","")&amp;IF(AND(INDEX('Game Records'!$U:$U,$H192)&lt;&gt;"Free Game",INDEX('Game Records'!$U:$U,$H192)&lt;&gt;"Disqualified — Free Game",INDEX('Game Records'!$H:$H,$H192)=""),"Entry Fee; ","")&amp;IF(AND(INDEX('Game Records'!$U:$U,$H192)&lt;&gt;"Subscription",INDEX('Game Records'!$U:$U,$H192)&lt;&gt;"Free Game",INDEX('Game Records'!$U:$U,$H192)&lt;&gt;"Disqualified — Free Game",INDEX('Game Records'!$I:$I,$H192)=""),"Eligible Players; ","")&amp;IF(AND(INDEX('Game Records'!$U:$U,$H192)&lt;&gt;"Subscription",INDEX('Game Records'!$U:$U,$H192)&lt;&gt;"Free Game",INDEX('Game Records'!$U:$U,$H192)&lt;&gt;"Disqualified — Free Game",INDEX('Game Records'!$J:$J,$H192)=""),"Total Players; ","")&amp;IF(AND(LOWER(INDEX('Game Records'!$D:$D,$H192)&amp;"")="finalized",LOWER(INDEX('Game Records'!$L:$L,$H192)&amp;"")&lt;&gt;"yes",INDEX('Game Records'!$U:$U,$H192)&lt;&gt;"Subscription",INDEX('Game Records'!$U:$U,$H192)&lt;&gt;"Free Game",INDEX('Game Records'!$U:$U,$H192)&lt;&gt;"Disqualified — Free Game",INDEX('Game Records'!$K:$K,$H192)=""),"Final Payout; ","")&amp;IF(AND(LOWER(INDEX('Game Records'!$D:$D,$H192)&amp;"")="finalized",INDEX('Game Records'!$U:$U,$H192)&lt;&gt;"Subscription",INDEX('Game Records'!$U:$U,$H192)&lt;&gt;"Free Game",INDEX('Game Records'!$U:$U,$H192)&lt;&gt;"Disqualified — Free Game",OR(INDEX('Game Records'!$L:$L,$H192)="",LOWER(INDEX('Game Records'!$L:$L,$H192)&amp;"")="n/a")),"Disqualified Status; ",""))</f>
        <v/>
      </c>
      <c r="G192" s="23" t="str">
        <f t="array" ref="G192">IF($H192="","",IFERROR(INDEX('Game Records'!$M:$M,$H192),""))</f>
        <v/>
      </c>
      <c r="H192" s="3"/>
      <c r="I192" s="3"/>
      <c r="J192" s="3"/>
    </row>
    <row r="193" ht="24.0" customHeight="1">
      <c r="A193" s="18" t="str">
        <f t="shared" si="1"/>
        <v/>
      </c>
      <c r="B193" s="18" t="str">
        <f t="shared" si="2"/>
        <v/>
      </c>
      <c r="C193" s="23" t="str">
        <f t="array" ref="C193">IF($H193="","",IFERROR(INDEX('Game Records'!$A:$A,$H193),""))</f>
        <v/>
      </c>
      <c r="D193" s="23" t="str">
        <f t="array" ref="D193">IF($H193="","",IFERROR(INDEX('Game Records'!$U:$U,$H193),""))</f>
        <v/>
      </c>
      <c r="E193" s="23" t="str">
        <f t="array" ref="E193">IF($H193="","",LET(r,$H193,mode,LOWER(INDEX('Game Records'!$D:$D,r)&amp;""),endDate,INDEX('Game Records'!$C:$C,r),IF(mode="estimate",IF(endDate="","Estimate — End Date missing",IF(NOT(ISNUMBER(endDate)),"Estimate — Check End Date",IF(INT(endDate)&gt;=TODAY(),"In Progress — ends "&amp;TEXT(endDate,"mmm d, yyyy"),"Ready to Finalize"))),IF($F193="","No Highlighted Fields","Highlighted Fields Present"))))</f>
        <v/>
      </c>
      <c r="F193" s="23" t="str">
        <f t="array" ref="F193">IF($H193="","",IF(OR(NOT(_xlfn.ISFORMULA(INDEX('Game Records'!$N:$N,$H193))),NOT(_xlfn.ISFORMULA(INDEX('Game Records'!$O:$O,$H193))),NOT(_xlfn.ISFORMULA(INDEX('Game Records'!$P:$P,$H193))),NOT(_xlfn.ISFORMULA(INDEX('Game Records'!$Q:$Q,$H193))),NOT(_xlfn.ISFORMULA(INDEX('Game Records'!$R:$R,$H193))),NOT(_xlfn.ISFORMULA(INDEX('Game Records'!$S:$S,$H193))),NOT(_xlfn.ISFORMULA(INDEX('Game Records'!$T:$T,$H193))),NOT(_xlfn.ISFORMULA(INDEX('Game Records'!$U:$U,$H193))),NOT(_xlfn.ISFORMULA(INDEX('Game Records'!$V:$V,$H193))),NOT(_xlfn.ISFORMULA(INDEX('Game Records'!$W:$W,$H193))),NOT(_xlfn.ISFORMULA(INDEX('Game Records'!$X:$X,$H193))),NOT(_xlfn.ISFORMULA(INDEX('Game Records'!$Y:$Y,$H193))),NOT(_xlfn.ISFORMULA(INDEX('Game Records'!$Z:$Z,$H193)))),"","")&amp;IF(INDEX('Game Records'!$B:$B,$H193)="","Start Date; ","")&amp;IF(INDEX('Game Records'!$C:$C,$H193)="","End Date; ","")&amp;IF(AND(INDEX('Game Records'!$U:$U,$H193)&lt;&gt;"Subscription",INDEX('Game Records'!$U:$U,$H193)&lt;&gt;"Free Game",INDEX('Game Records'!$U:$U,$H193)&lt;&gt;"Disqualified — Free Game",OR(INDEX('Game Records'!$D:$D,$H193)="",LOWER(INDEX('Game Records'!$D:$D,$H193)&amp;"")="n/a")),"Entry Mode; ","")&amp;IF(AND(INDEX('Game Records'!$U:$U,$H193)&lt;&gt;"Subscription",INDEX('Game Records'!$U:$U,$H193)&lt;&gt;"Free Game",INDEX('Game Records'!$U:$U,$H193)&lt;&gt;"Disqualified — Free Game",OR(INDEX('Game Records'!$E:$E,$H193)="",LOWER(INDEX('Game Records'!$E:$E,$H193)&amp;"")="n/a")),"Game Type; ","")&amp;IF(INDEX('Game Records'!$F:$F,$H193)="","Payment Type; ","")&amp;IF(AND(INDEX('Game Records'!$U:$U,$H193)&lt;&gt;"Subscription",INDEX('Game Records'!$U:$U,$H193)&lt;&gt;"Free Game",INDEX('Game Records'!$U:$U,$H193)&lt;&gt;"Disqualified — Free Game",INDEX('Game Records'!$G:$G,$H193)=""),"Gross Pot; ","")&amp;IF(AND(INDEX('Game Records'!$U:$U,$H193)&lt;&gt;"Free Game",INDEX('Game Records'!$U:$U,$H193)&lt;&gt;"Disqualified — Free Game",INDEX('Game Records'!$H:$H,$H193)=""),"Entry Fee; ","")&amp;IF(AND(INDEX('Game Records'!$U:$U,$H193)&lt;&gt;"Subscription",INDEX('Game Records'!$U:$U,$H193)&lt;&gt;"Free Game",INDEX('Game Records'!$U:$U,$H193)&lt;&gt;"Disqualified — Free Game",INDEX('Game Records'!$I:$I,$H193)=""),"Eligible Players; ","")&amp;IF(AND(INDEX('Game Records'!$U:$U,$H193)&lt;&gt;"Subscription",INDEX('Game Records'!$U:$U,$H193)&lt;&gt;"Free Game",INDEX('Game Records'!$U:$U,$H193)&lt;&gt;"Disqualified — Free Game",INDEX('Game Records'!$J:$J,$H193)=""),"Total Players; ","")&amp;IF(AND(LOWER(INDEX('Game Records'!$D:$D,$H193)&amp;"")="finalized",LOWER(INDEX('Game Records'!$L:$L,$H193)&amp;"")&lt;&gt;"yes",INDEX('Game Records'!$U:$U,$H193)&lt;&gt;"Subscription",INDEX('Game Records'!$U:$U,$H193)&lt;&gt;"Free Game",INDEX('Game Records'!$U:$U,$H193)&lt;&gt;"Disqualified — Free Game",INDEX('Game Records'!$K:$K,$H193)=""),"Final Payout; ","")&amp;IF(AND(LOWER(INDEX('Game Records'!$D:$D,$H193)&amp;"")="finalized",INDEX('Game Records'!$U:$U,$H193)&lt;&gt;"Subscription",INDEX('Game Records'!$U:$U,$H193)&lt;&gt;"Free Game",INDEX('Game Records'!$U:$U,$H193)&lt;&gt;"Disqualified — Free Game",OR(INDEX('Game Records'!$L:$L,$H193)="",LOWER(INDEX('Game Records'!$L:$L,$H193)&amp;"")="n/a")),"Disqualified Status; ",""))</f>
        <v/>
      </c>
      <c r="G193" s="23" t="str">
        <f t="array" ref="G193">IF($H193="","",IFERROR(INDEX('Game Records'!$M:$M,$H193),""))</f>
        <v/>
      </c>
      <c r="H193" s="3"/>
      <c r="I193" s="3"/>
      <c r="J193" s="3"/>
    </row>
    <row r="194" ht="24.0" customHeight="1">
      <c r="A194" s="18" t="str">
        <f t="shared" si="1"/>
        <v/>
      </c>
      <c r="B194" s="18" t="str">
        <f t="shared" si="2"/>
        <v/>
      </c>
      <c r="C194" s="23" t="str">
        <f t="array" ref="C194">IF($H194="","",IFERROR(INDEX('Game Records'!$A:$A,$H194),""))</f>
        <v/>
      </c>
      <c r="D194" s="23" t="str">
        <f t="array" ref="D194">IF($H194="","",IFERROR(INDEX('Game Records'!$U:$U,$H194),""))</f>
        <v/>
      </c>
      <c r="E194" s="23" t="str">
        <f t="array" ref="E194">IF($H194="","",LET(r,$H194,mode,LOWER(INDEX('Game Records'!$D:$D,r)&amp;""),endDate,INDEX('Game Records'!$C:$C,r),IF(mode="estimate",IF(endDate="","Estimate — End Date missing",IF(NOT(ISNUMBER(endDate)),"Estimate — Check End Date",IF(INT(endDate)&gt;=TODAY(),"In Progress — ends "&amp;TEXT(endDate,"mmm d, yyyy"),"Ready to Finalize"))),IF($F194="","No Highlighted Fields","Highlighted Fields Present"))))</f>
        <v/>
      </c>
      <c r="F194" s="23" t="str">
        <f t="array" ref="F194">IF($H194="","",IF(OR(NOT(_xlfn.ISFORMULA(INDEX('Game Records'!$N:$N,$H194))),NOT(_xlfn.ISFORMULA(INDEX('Game Records'!$O:$O,$H194))),NOT(_xlfn.ISFORMULA(INDEX('Game Records'!$P:$P,$H194))),NOT(_xlfn.ISFORMULA(INDEX('Game Records'!$Q:$Q,$H194))),NOT(_xlfn.ISFORMULA(INDEX('Game Records'!$R:$R,$H194))),NOT(_xlfn.ISFORMULA(INDEX('Game Records'!$S:$S,$H194))),NOT(_xlfn.ISFORMULA(INDEX('Game Records'!$T:$T,$H194))),NOT(_xlfn.ISFORMULA(INDEX('Game Records'!$U:$U,$H194))),NOT(_xlfn.ISFORMULA(INDEX('Game Records'!$V:$V,$H194))),NOT(_xlfn.ISFORMULA(INDEX('Game Records'!$W:$W,$H194))),NOT(_xlfn.ISFORMULA(INDEX('Game Records'!$X:$X,$H194))),NOT(_xlfn.ISFORMULA(INDEX('Game Records'!$Y:$Y,$H194))),NOT(_xlfn.ISFORMULA(INDEX('Game Records'!$Z:$Z,$H194)))),"","")&amp;IF(INDEX('Game Records'!$B:$B,$H194)="","Start Date; ","")&amp;IF(INDEX('Game Records'!$C:$C,$H194)="","End Date; ","")&amp;IF(AND(INDEX('Game Records'!$U:$U,$H194)&lt;&gt;"Subscription",INDEX('Game Records'!$U:$U,$H194)&lt;&gt;"Free Game",INDEX('Game Records'!$U:$U,$H194)&lt;&gt;"Disqualified — Free Game",OR(INDEX('Game Records'!$D:$D,$H194)="",LOWER(INDEX('Game Records'!$D:$D,$H194)&amp;"")="n/a")),"Entry Mode; ","")&amp;IF(AND(INDEX('Game Records'!$U:$U,$H194)&lt;&gt;"Subscription",INDEX('Game Records'!$U:$U,$H194)&lt;&gt;"Free Game",INDEX('Game Records'!$U:$U,$H194)&lt;&gt;"Disqualified — Free Game",OR(INDEX('Game Records'!$E:$E,$H194)="",LOWER(INDEX('Game Records'!$E:$E,$H194)&amp;"")="n/a")),"Game Type; ","")&amp;IF(INDEX('Game Records'!$F:$F,$H194)="","Payment Type; ","")&amp;IF(AND(INDEX('Game Records'!$U:$U,$H194)&lt;&gt;"Subscription",INDEX('Game Records'!$U:$U,$H194)&lt;&gt;"Free Game",INDEX('Game Records'!$U:$U,$H194)&lt;&gt;"Disqualified — Free Game",INDEX('Game Records'!$G:$G,$H194)=""),"Gross Pot; ","")&amp;IF(AND(INDEX('Game Records'!$U:$U,$H194)&lt;&gt;"Free Game",INDEX('Game Records'!$U:$U,$H194)&lt;&gt;"Disqualified — Free Game",INDEX('Game Records'!$H:$H,$H194)=""),"Entry Fee; ","")&amp;IF(AND(INDEX('Game Records'!$U:$U,$H194)&lt;&gt;"Subscription",INDEX('Game Records'!$U:$U,$H194)&lt;&gt;"Free Game",INDEX('Game Records'!$U:$U,$H194)&lt;&gt;"Disqualified — Free Game",INDEX('Game Records'!$I:$I,$H194)=""),"Eligible Players; ","")&amp;IF(AND(INDEX('Game Records'!$U:$U,$H194)&lt;&gt;"Subscription",INDEX('Game Records'!$U:$U,$H194)&lt;&gt;"Free Game",INDEX('Game Records'!$U:$U,$H194)&lt;&gt;"Disqualified — Free Game",INDEX('Game Records'!$J:$J,$H194)=""),"Total Players; ","")&amp;IF(AND(LOWER(INDEX('Game Records'!$D:$D,$H194)&amp;"")="finalized",LOWER(INDEX('Game Records'!$L:$L,$H194)&amp;"")&lt;&gt;"yes",INDEX('Game Records'!$U:$U,$H194)&lt;&gt;"Subscription",INDEX('Game Records'!$U:$U,$H194)&lt;&gt;"Free Game",INDEX('Game Records'!$U:$U,$H194)&lt;&gt;"Disqualified — Free Game",INDEX('Game Records'!$K:$K,$H194)=""),"Final Payout; ","")&amp;IF(AND(LOWER(INDEX('Game Records'!$D:$D,$H194)&amp;"")="finalized",INDEX('Game Records'!$U:$U,$H194)&lt;&gt;"Subscription",INDEX('Game Records'!$U:$U,$H194)&lt;&gt;"Free Game",INDEX('Game Records'!$U:$U,$H194)&lt;&gt;"Disqualified — Free Game",OR(INDEX('Game Records'!$L:$L,$H194)="",LOWER(INDEX('Game Records'!$L:$L,$H194)&amp;"")="n/a")),"Disqualified Status; ",""))</f>
        <v/>
      </c>
      <c r="G194" s="23" t="str">
        <f t="array" ref="G194">IF($H194="","",IFERROR(INDEX('Game Records'!$M:$M,$H194),""))</f>
        <v/>
      </c>
      <c r="H194" s="3"/>
      <c r="I194" s="3"/>
      <c r="J194" s="3"/>
    </row>
    <row r="195" ht="24.0" customHeight="1">
      <c r="A195" s="18" t="str">
        <f t="shared" si="1"/>
        <v/>
      </c>
      <c r="B195" s="18" t="str">
        <f t="shared" si="2"/>
        <v/>
      </c>
      <c r="C195" s="23" t="str">
        <f t="array" ref="C195">IF($H195="","",IFERROR(INDEX('Game Records'!$A:$A,$H195),""))</f>
        <v/>
      </c>
      <c r="D195" s="23" t="str">
        <f t="array" ref="D195">IF($H195="","",IFERROR(INDEX('Game Records'!$U:$U,$H195),""))</f>
        <v/>
      </c>
      <c r="E195" s="23" t="str">
        <f t="array" ref="E195">IF($H195="","",LET(r,$H195,mode,LOWER(INDEX('Game Records'!$D:$D,r)&amp;""),endDate,INDEX('Game Records'!$C:$C,r),IF(mode="estimate",IF(endDate="","Estimate — End Date missing",IF(NOT(ISNUMBER(endDate)),"Estimate — Check End Date",IF(INT(endDate)&gt;=TODAY(),"In Progress — ends "&amp;TEXT(endDate,"mmm d, yyyy"),"Ready to Finalize"))),IF($F195="","No Highlighted Fields","Highlighted Fields Present"))))</f>
        <v/>
      </c>
      <c r="F195" s="23" t="str">
        <f t="array" ref="F195">IF($H195="","",IF(OR(NOT(_xlfn.ISFORMULA(INDEX('Game Records'!$N:$N,$H195))),NOT(_xlfn.ISFORMULA(INDEX('Game Records'!$O:$O,$H195))),NOT(_xlfn.ISFORMULA(INDEX('Game Records'!$P:$P,$H195))),NOT(_xlfn.ISFORMULA(INDEX('Game Records'!$Q:$Q,$H195))),NOT(_xlfn.ISFORMULA(INDEX('Game Records'!$R:$R,$H195))),NOT(_xlfn.ISFORMULA(INDEX('Game Records'!$S:$S,$H195))),NOT(_xlfn.ISFORMULA(INDEX('Game Records'!$T:$T,$H195))),NOT(_xlfn.ISFORMULA(INDEX('Game Records'!$U:$U,$H195))),NOT(_xlfn.ISFORMULA(INDEX('Game Records'!$V:$V,$H195))),NOT(_xlfn.ISFORMULA(INDEX('Game Records'!$W:$W,$H195))),NOT(_xlfn.ISFORMULA(INDEX('Game Records'!$X:$X,$H195))),NOT(_xlfn.ISFORMULA(INDEX('Game Records'!$Y:$Y,$H195))),NOT(_xlfn.ISFORMULA(INDEX('Game Records'!$Z:$Z,$H195)))),"","")&amp;IF(INDEX('Game Records'!$B:$B,$H195)="","Start Date; ","")&amp;IF(INDEX('Game Records'!$C:$C,$H195)="","End Date; ","")&amp;IF(AND(INDEX('Game Records'!$U:$U,$H195)&lt;&gt;"Subscription",INDEX('Game Records'!$U:$U,$H195)&lt;&gt;"Free Game",INDEX('Game Records'!$U:$U,$H195)&lt;&gt;"Disqualified — Free Game",OR(INDEX('Game Records'!$D:$D,$H195)="",LOWER(INDEX('Game Records'!$D:$D,$H195)&amp;"")="n/a")),"Entry Mode; ","")&amp;IF(AND(INDEX('Game Records'!$U:$U,$H195)&lt;&gt;"Subscription",INDEX('Game Records'!$U:$U,$H195)&lt;&gt;"Free Game",INDEX('Game Records'!$U:$U,$H195)&lt;&gt;"Disqualified — Free Game",OR(INDEX('Game Records'!$E:$E,$H195)="",LOWER(INDEX('Game Records'!$E:$E,$H195)&amp;"")="n/a")),"Game Type; ","")&amp;IF(INDEX('Game Records'!$F:$F,$H195)="","Payment Type; ","")&amp;IF(AND(INDEX('Game Records'!$U:$U,$H195)&lt;&gt;"Subscription",INDEX('Game Records'!$U:$U,$H195)&lt;&gt;"Free Game",INDEX('Game Records'!$U:$U,$H195)&lt;&gt;"Disqualified — Free Game",INDEX('Game Records'!$G:$G,$H195)=""),"Gross Pot; ","")&amp;IF(AND(INDEX('Game Records'!$U:$U,$H195)&lt;&gt;"Free Game",INDEX('Game Records'!$U:$U,$H195)&lt;&gt;"Disqualified — Free Game",INDEX('Game Records'!$H:$H,$H195)=""),"Entry Fee; ","")&amp;IF(AND(INDEX('Game Records'!$U:$U,$H195)&lt;&gt;"Subscription",INDEX('Game Records'!$U:$U,$H195)&lt;&gt;"Free Game",INDEX('Game Records'!$U:$U,$H195)&lt;&gt;"Disqualified — Free Game",INDEX('Game Records'!$I:$I,$H195)=""),"Eligible Players; ","")&amp;IF(AND(INDEX('Game Records'!$U:$U,$H195)&lt;&gt;"Subscription",INDEX('Game Records'!$U:$U,$H195)&lt;&gt;"Free Game",INDEX('Game Records'!$U:$U,$H195)&lt;&gt;"Disqualified — Free Game",INDEX('Game Records'!$J:$J,$H195)=""),"Total Players; ","")&amp;IF(AND(LOWER(INDEX('Game Records'!$D:$D,$H195)&amp;"")="finalized",LOWER(INDEX('Game Records'!$L:$L,$H195)&amp;"")&lt;&gt;"yes",INDEX('Game Records'!$U:$U,$H195)&lt;&gt;"Subscription",INDEX('Game Records'!$U:$U,$H195)&lt;&gt;"Free Game",INDEX('Game Records'!$U:$U,$H195)&lt;&gt;"Disqualified — Free Game",INDEX('Game Records'!$K:$K,$H195)=""),"Final Payout; ","")&amp;IF(AND(LOWER(INDEX('Game Records'!$D:$D,$H195)&amp;"")="finalized",INDEX('Game Records'!$U:$U,$H195)&lt;&gt;"Subscription",INDEX('Game Records'!$U:$U,$H195)&lt;&gt;"Free Game",INDEX('Game Records'!$U:$U,$H195)&lt;&gt;"Disqualified — Free Game",OR(INDEX('Game Records'!$L:$L,$H195)="",LOWER(INDEX('Game Records'!$L:$L,$H195)&amp;"")="n/a")),"Disqualified Status; ",""))</f>
        <v/>
      </c>
      <c r="G195" s="23" t="str">
        <f t="array" ref="G195">IF($H195="","",IFERROR(INDEX('Game Records'!$M:$M,$H195),""))</f>
        <v/>
      </c>
      <c r="H195" s="3"/>
      <c r="I195" s="3"/>
      <c r="J195" s="3"/>
    </row>
    <row r="196" ht="24.0" customHeight="1">
      <c r="A196" s="18" t="str">
        <f t="shared" si="1"/>
        <v/>
      </c>
      <c r="B196" s="18" t="str">
        <f t="shared" si="2"/>
        <v/>
      </c>
      <c r="C196" s="23" t="str">
        <f t="array" ref="C196">IF($H196="","",IFERROR(INDEX('Game Records'!$A:$A,$H196),""))</f>
        <v/>
      </c>
      <c r="D196" s="23" t="str">
        <f t="array" ref="D196">IF($H196="","",IFERROR(INDEX('Game Records'!$U:$U,$H196),""))</f>
        <v/>
      </c>
      <c r="E196" s="23" t="str">
        <f t="array" ref="E196">IF($H196="","",LET(r,$H196,mode,LOWER(INDEX('Game Records'!$D:$D,r)&amp;""),endDate,INDEX('Game Records'!$C:$C,r),IF(mode="estimate",IF(endDate="","Estimate — End Date missing",IF(NOT(ISNUMBER(endDate)),"Estimate — Check End Date",IF(INT(endDate)&gt;=TODAY(),"In Progress — ends "&amp;TEXT(endDate,"mmm d, yyyy"),"Ready to Finalize"))),IF($F196="","No Highlighted Fields","Highlighted Fields Present"))))</f>
        <v/>
      </c>
      <c r="F196" s="23" t="str">
        <f t="array" ref="F196">IF($H196="","",IF(OR(NOT(_xlfn.ISFORMULA(INDEX('Game Records'!$N:$N,$H196))),NOT(_xlfn.ISFORMULA(INDEX('Game Records'!$O:$O,$H196))),NOT(_xlfn.ISFORMULA(INDEX('Game Records'!$P:$P,$H196))),NOT(_xlfn.ISFORMULA(INDEX('Game Records'!$Q:$Q,$H196))),NOT(_xlfn.ISFORMULA(INDEX('Game Records'!$R:$R,$H196))),NOT(_xlfn.ISFORMULA(INDEX('Game Records'!$S:$S,$H196))),NOT(_xlfn.ISFORMULA(INDEX('Game Records'!$T:$T,$H196))),NOT(_xlfn.ISFORMULA(INDEX('Game Records'!$U:$U,$H196))),NOT(_xlfn.ISFORMULA(INDEX('Game Records'!$V:$V,$H196))),NOT(_xlfn.ISFORMULA(INDEX('Game Records'!$W:$W,$H196))),NOT(_xlfn.ISFORMULA(INDEX('Game Records'!$X:$X,$H196))),NOT(_xlfn.ISFORMULA(INDEX('Game Records'!$Y:$Y,$H196))),NOT(_xlfn.ISFORMULA(INDEX('Game Records'!$Z:$Z,$H196)))),"","")&amp;IF(INDEX('Game Records'!$B:$B,$H196)="","Start Date; ","")&amp;IF(INDEX('Game Records'!$C:$C,$H196)="","End Date; ","")&amp;IF(AND(INDEX('Game Records'!$U:$U,$H196)&lt;&gt;"Subscription",INDEX('Game Records'!$U:$U,$H196)&lt;&gt;"Free Game",INDEX('Game Records'!$U:$U,$H196)&lt;&gt;"Disqualified — Free Game",OR(INDEX('Game Records'!$D:$D,$H196)="",LOWER(INDEX('Game Records'!$D:$D,$H196)&amp;"")="n/a")),"Entry Mode; ","")&amp;IF(AND(INDEX('Game Records'!$U:$U,$H196)&lt;&gt;"Subscription",INDEX('Game Records'!$U:$U,$H196)&lt;&gt;"Free Game",INDEX('Game Records'!$U:$U,$H196)&lt;&gt;"Disqualified — Free Game",OR(INDEX('Game Records'!$E:$E,$H196)="",LOWER(INDEX('Game Records'!$E:$E,$H196)&amp;"")="n/a")),"Game Type; ","")&amp;IF(INDEX('Game Records'!$F:$F,$H196)="","Payment Type; ","")&amp;IF(AND(INDEX('Game Records'!$U:$U,$H196)&lt;&gt;"Subscription",INDEX('Game Records'!$U:$U,$H196)&lt;&gt;"Free Game",INDEX('Game Records'!$U:$U,$H196)&lt;&gt;"Disqualified — Free Game",INDEX('Game Records'!$G:$G,$H196)=""),"Gross Pot; ","")&amp;IF(AND(INDEX('Game Records'!$U:$U,$H196)&lt;&gt;"Free Game",INDEX('Game Records'!$U:$U,$H196)&lt;&gt;"Disqualified — Free Game",INDEX('Game Records'!$H:$H,$H196)=""),"Entry Fee; ","")&amp;IF(AND(INDEX('Game Records'!$U:$U,$H196)&lt;&gt;"Subscription",INDEX('Game Records'!$U:$U,$H196)&lt;&gt;"Free Game",INDEX('Game Records'!$U:$U,$H196)&lt;&gt;"Disqualified — Free Game",INDEX('Game Records'!$I:$I,$H196)=""),"Eligible Players; ","")&amp;IF(AND(INDEX('Game Records'!$U:$U,$H196)&lt;&gt;"Subscription",INDEX('Game Records'!$U:$U,$H196)&lt;&gt;"Free Game",INDEX('Game Records'!$U:$U,$H196)&lt;&gt;"Disqualified — Free Game",INDEX('Game Records'!$J:$J,$H196)=""),"Total Players; ","")&amp;IF(AND(LOWER(INDEX('Game Records'!$D:$D,$H196)&amp;"")="finalized",LOWER(INDEX('Game Records'!$L:$L,$H196)&amp;"")&lt;&gt;"yes",INDEX('Game Records'!$U:$U,$H196)&lt;&gt;"Subscription",INDEX('Game Records'!$U:$U,$H196)&lt;&gt;"Free Game",INDEX('Game Records'!$U:$U,$H196)&lt;&gt;"Disqualified — Free Game",INDEX('Game Records'!$K:$K,$H196)=""),"Final Payout; ","")&amp;IF(AND(LOWER(INDEX('Game Records'!$D:$D,$H196)&amp;"")="finalized",INDEX('Game Records'!$U:$U,$H196)&lt;&gt;"Subscription",INDEX('Game Records'!$U:$U,$H196)&lt;&gt;"Free Game",INDEX('Game Records'!$U:$U,$H196)&lt;&gt;"Disqualified — Free Game",OR(INDEX('Game Records'!$L:$L,$H196)="",LOWER(INDEX('Game Records'!$L:$L,$H196)&amp;"")="n/a")),"Disqualified Status; ",""))</f>
        <v/>
      </c>
      <c r="G196" s="23" t="str">
        <f t="array" ref="G196">IF($H196="","",IFERROR(INDEX('Game Records'!$M:$M,$H196),""))</f>
        <v/>
      </c>
      <c r="H196" s="3"/>
      <c r="I196" s="3"/>
      <c r="J196" s="3"/>
    </row>
    <row r="197" ht="24.0" customHeight="1">
      <c r="A197" s="18" t="str">
        <f t="shared" si="1"/>
        <v/>
      </c>
      <c r="B197" s="18" t="str">
        <f t="shared" si="2"/>
        <v/>
      </c>
      <c r="C197" s="23" t="str">
        <f t="array" ref="C197">IF($H197="","",IFERROR(INDEX('Game Records'!$A:$A,$H197),""))</f>
        <v/>
      </c>
      <c r="D197" s="23" t="str">
        <f t="array" ref="D197">IF($H197="","",IFERROR(INDEX('Game Records'!$U:$U,$H197),""))</f>
        <v/>
      </c>
      <c r="E197" s="23" t="str">
        <f t="array" ref="E197">IF($H197="","",LET(r,$H197,mode,LOWER(INDEX('Game Records'!$D:$D,r)&amp;""),endDate,INDEX('Game Records'!$C:$C,r),IF(mode="estimate",IF(endDate="","Estimate — End Date missing",IF(NOT(ISNUMBER(endDate)),"Estimate — Check End Date",IF(INT(endDate)&gt;=TODAY(),"In Progress — ends "&amp;TEXT(endDate,"mmm d, yyyy"),"Ready to Finalize"))),IF($F197="","No Highlighted Fields","Highlighted Fields Present"))))</f>
        <v/>
      </c>
      <c r="F197" s="23" t="str">
        <f t="array" ref="F197">IF($H197="","",IF(OR(NOT(_xlfn.ISFORMULA(INDEX('Game Records'!$N:$N,$H197))),NOT(_xlfn.ISFORMULA(INDEX('Game Records'!$O:$O,$H197))),NOT(_xlfn.ISFORMULA(INDEX('Game Records'!$P:$P,$H197))),NOT(_xlfn.ISFORMULA(INDEX('Game Records'!$Q:$Q,$H197))),NOT(_xlfn.ISFORMULA(INDEX('Game Records'!$R:$R,$H197))),NOT(_xlfn.ISFORMULA(INDEX('Game Records'!$S:$S,$H197))),NOT(_xlfn.ISFORMULA(INDEX('Game Records'!$T:$T,$H197))),NOT(_xlfn.ISFORMULA(INDEX('Game Records'!$U:$U,$H197))),NOT(_xlfn.ISFORMULA(INDEX('Game Records'!$V:$V,$H197))),NOT(_xlfn.ISFORMULA(INDEX('Game Records'!$W:$W,$H197))),NOT(_xlfn.ISFORMULA(INDEX('Game Records'!$X:$X,$H197))),NOT(_xlfn.ISFORMULA(INDEX('Game Records'!$Y:$Y,$H197))),NOT(_xlfn.ISFORMULA(INDEX('Game Records'!$Z:$Z,$H197)))),"","")&amp;IF(INDEX('Game Records'!$B:$B,$H197)="","Start Date; ","")&amp;IF(INDEX('Game Records'!$C:$C,$H197)="","End Date; ","")&amp;IF(AND(INDEX('Game Records'!$U:$U,$H197)&lt;&gt;"Subscription",INDEX('Game Records'!$U:$U,$H197)&lt;&gt;"Free Game",INDEX('Game Records'!$U:$U,$H197)&lt;&gt;"Disqualified — Free Game",OR(INDEX('Game Records'!$D:$D,$H197)="",LOWER(INDEX('Game Records'!$D:$D,$H197)&amp;"")="n/a")),"Entry Mode; ","")&amp;IF(AND(INDEX('Game Records'!$U:$U,$H197)&lt;&gt;"Subscription",INDEX('Game Records'!$U:$U,$H197)&lt;&gt;"Free Game",INDEX('Game Records'!$U:$U,$H197)&lt;&gt;"Disqualified — Free Game",OR(INDEX('Game Records'!$E:$E,$H197)="",LOWER(INDEX('Game Records'!$E:$E,$H197)&amp;"")="n/a")),"Game Type; ","")&amp;IF(INDEX('Game Records'!$F:$F,$H197)="","Payment Type; ","")&amp;IF(AND(INDEX('Game Records'!$U:$U,$H197)&lt;&gt;"Subscription",INDEX('Game Records'!$U:$U,$H197)&lt;&gt;"Free Game",INDEX('Game Records'!$U:$U,$H197)&lt;&gt;"Disqualified — Free Game",INDEX('Game Records'!$G:$G,$H197)=""),"Gross Pot; ","")&amp;IF(AND(INDEX('Game Records'!$U:$U,$H197)&lt;&gt;"Free Game",INDEX('Game Records'!$U:$U,$H197)&lt;&gt;"Disqualified — Free Game",INDEX('Game Records'!$H:$H,$H197)=""),"Entry Fee; ","")&amp;IF(AND(INDEX('Game Records'!$U:$U,$H197)&lt;&gt;"Subscription",INDEX('Game Records'!$U:$U,$H197)&lt;&gt;"Free Game",INDEX('Game Records'!$U:$U,$H197)&lt;&gt;"Disqualified — Free Game",INDEX('Game Records'!$I:$I,$H197)=""),"Eligible Players; ","")&amp;IF(AND(INDEX('Game Records'!$U:$U,$H197)&lt;&gt;"Subscription",INDEX('Game Records'!$U:$U,$H197)&lt;&gt;"Free Game",INDEX('Game Records'!$U:$U,$H197)&lt;&gt;"Disqualified — Free Game",INDEX('Game Records'!$J:$J,$H197)=""),"Total Players; ","")&amp;IF(AND(LOWER(INDEX('Game Records'!$D:$D,$H197)&amp;"")="finalized",LOWER(INDEX('Game Records'!$L:$L,$H197)&amp;"")&lt;&gt;"yes",INDEX('Game Records'!$U:$U,$H197)&lt;&gt;"Subscription",INDEX('Game Records'!$U:$U,$H197)&lt;&gt;"Free Game",INDEX('Game Records'!$U:$U,$H197)&lt;&gt;"Disqualified — Free Game",INDEX('Game Records'!$K:$K,$H197)=""),"Final Payout; ","")&amp;IF(AND(LOWER(INDEX('Game Records'!$D:$D,$H197)&amp;"")="finalized",INDEX('Game Records'!$U:$U,$H197)&lt;&gt;"Subscription",INDEX('Game Records'!$U:$U,$H197)&lt;&gt;"Free Game",INDEX('Game Records'!$U:$U,$H197)&lt;&gt;"Disqualified — Free Game",OR(INDEX('Game Records'!$L:$L,$H197)="",LOWER(INDEX('Game Records'!$L:$L,$H197)&amp;"")="n/a")),"Disqualified Status; ",""))</f>
        <v/>
      </c>
      <c r="G197" s="23" t="str">
        <f t="array" ref="G197">IF($H197="","",IFERROR(INDEX('Game Records'!$M:$M,$H197),""))</f>
        <v/>
      </c>
      <c r="H197" s="3"/>
      <c r="I197" s="3"/>
      <c r="J197" s="3"/>
    </row>
    <row r="198" ht="24.0" customHeight="1">
      <c r="A198" s="18" t="str">
        <f t="shared" si="1"/>
        <v/>
      </c>
      <c r="B198" s="18" t="str">
        <f t="shared" si="2"/>
        <v/>
      </c>
      <c r="C198" s="23" t="str">
        <f t="array" ref="C198">IF($H198="","",IFERROR(INDEX('Game Records'!$A:$A,$H198),""))</f>
        <v/>
      </c>
      <c r="D198" s="23" t="str">
        <f t="array" ref="D198">IF($H198="","",IFERROR(INDEX('Game Records'!$U:$U,$H198),""))</f>
        <v/>
      </c>
      <c r="E198" s="23" t="str">
        <f t="array" ref="E198">IF($H198="","",LET(r,$H198,mode,LOWER(INDEX('Game Records'!$D:$D,r)&amp;""),endDate,INDEX('Game Records'!$C:$C,r),IF(mode="estimate",IF(endDate="","Estimate — End Date missing",IF(NOT(ISNUMBER(endDate)),"Estimate — Check End Date",IF(INT(endDate)&gt;=TODAY(),"In Progress — ends "&amp;TEXT(endDate,"mmm d, yyyy"),"Ready to Finalize"))),IF($F198="","No Highlighted Fields","Highlighted Fields Present"))))</f>
        <v/>
      </c>
      <c r="F198" s="23" t="str">
        <f t="array" ref="F198">IF($H198="","",IF(OR(NOT(_xlfn.ISFORMULA(INDEX('Game Records'!$N:$N,$H198))),NOT(_xlfn.ISFORMULA(INDEX('Game Records'!$O:$O,$H198))),NOT(_xlfn.ISFORMULA(INDEX('Game Records'!$P:$P,$H198))),NOT(_xlfn.ISFORMULA(INDEX('Game Records'!$Q:$Q,$H198))),NOT(_xlfn.ISFORMULA(INDEX('Game Records'!$R:$R,$H198))),NOT(_xlfn.ISFORMULA(INDEX('Game Records'!$S:$S,$H198))),NOT(_xlfn.ISFORMULA(INDEX('Game Records'!$T:$T,$H198))),NOT(_xlfn.ISFORMULA(INDEX('Game Records'!$U:$U,$H198))),NOT(_xlfn.ISFORMULA(INDEX('Game Records'!$V:$V,$H198))),NOT(_xlfn.ISFORMULA(INDEX('Game Records'!$W:$W,$H198))),NOT(_xlfn.ISFORMULA(INDEX('Game Records'!$X:$X,$H198))),NOT(_xlfn.ISFORMULA(INDEX('Game Records'!$Y:$Y,$H198))),NOT(_xlfn.ISFORMULA(INDEX('Game Records'!$Z:$Z,$H198)))),"","")&amp;IF(INDEX('Game Records'!$B:$B,$H198)="","Start Date; ","")&amp;IF(INDEX('Game Records'!$C:$C,$H198)="","End Date; ","")&amp;IF(AND(INDEX('Game Records'!$U:$U,$H198)&lt;&gt;"Subscription",INDEX('Game Records'!$U:$U,$H198)&lt;&gt;"Free Game",INDEX('Game Records'!$U:$U,$H198)&lt;&gt;"Disqualified — Free Game",OR(INDEX('Game Records'!$D:$D,$H198)="",LOWER(INDEX('Game Records'!$D:$D,$H198)&amp;"")="n/a")),"Entry Mode; ","")&amp;IF(AND(INDEX('Game Records'!$U:$U,$H198)&lt;&gt;"Subscription",INDEX('Game Records'!$U:$U,$H198)&lt;&gt;"Free Game",INDEX('Game Records'!$U:$U,$H198)&lt;&gt;"Disqualified — Free Game",OR(INDEX('Game Records'!$E:$E,$H198)="",LOWER(INDEX('Game Records'!$E:$E,$H198)&amp;"")="n/a")),"Game Type; ","")&amp;IF(INDEX('Game Records'!$F:$F,$H198)="","Payment Type; ","")&amp;IF(AND(INDEX('Game Records'!$U:$U,$H198)&lt;&gt;"Subscription",INDEX('Game Records'!$U:$U,$H198)&lt;&gt;"Free Game",INDEX('Game Records'!$U:$U,$H198)&lt;&gt;"Disqualified — Free Game",INDEX('Game Records'!$G:$G,$H198)=""),"Gross Pot; ","")&amp;IF(AND(INDEX('Game Records'!$U:$U,$H198)&lt;&gt;"Free Game",INDEX('Game Records'!$U:$U,$H198)&lt;&gt;"Disqualified — Free Game",INDEX('Game Records'!$H:$H,$H198)=""),"Entry Fee; ","")&amp;IF(AND(INDEX('Game Records'!$U:$U,$H198)&lt;&gt;"Subscription",INDEX('Game Records'!$U:$U,$H198)&lt;&gt;"Free Game",INDEX('Game Records'!$U:$U,$H198)&lt;&gt;"Disqualified — Free Game",INDEX('Game Records'!$I:$I,$H198)=""),"Eligible Players; ","")&amp;IF(AND(INDEX('Game Records'!$U:$U,$H198)&lt;&gt;"Subscription",INDEX('Game Records'!$U:$U,$H198)&lt;&gt;"Free Game",INDEX('Game Records'!$U:$U,$H198)&lt;&gt;"Disqualified — Free Game",INDEX('Game Records'!$J:$J,$H198)=""),"Total Players; ","")&amp;IF(AND(LOWER(INDEX('Game Records'!$D:$D,$H198)&amp;"")="finalized",LOWER(INDEX('Game Records'!$L:$L,$H198)&amp;"")&lt;&gt;"yes",INDEX('Game Records'!$U:$U,$H198)&lt;&gt;"Subscription",INDEX('Game Records'!$U:$U,$H198)&lt;&gt;"Free Game",INDEX('Game Records'!$U:$U,$H198)&lt;&gt;"Disqualified — Free Game",INDEX('Game Records'!$K:$K,$H198)=""),"Final Payout; ","")&amp;IF(AND(LOWER(INDEX('Game Records'!$D:$D,$H198)&amp;"")="finalized",INDEX('Game Records'!$U:$U,$H198)&lt;&gt;"Subscription",INDEX('Game Records'!$U:$U,$H198)&lt;&gt;"Free Game",INDEX('Game Records'!$U:$U,$H198)&lt;&gt;"Disqualified — Free Game",OR(INDEX('Game Records'!$L:$L,$H198)="",LOWER(INDEX('Game Records'!$L:$L,$H198)&amp;"")="n/a")),"Disqualified Status; ",""))</f>
        <v/>
      </c>
      <c r="G198" s="23" t="str">
        <f t="array" ref="G198">IF($H198="","",IFERROR(INDEX('Game Records'!$M:$M,$H198),""))</f>
        <v/>
      </c>
      <c r="H198" s="3"/>
      <c r="I198" s="3"/>
      <c r="J198" s="3"/>
    </row>
    <row r="199" ht="24.0" customHeight="1">
      <c r="A199" s="18" t="str">
        <f t="shared" si="1"/>
        <v/>
      </c>
      <c r="B199" s="18" t="str">
        <f t="shared" si="2"/>
        <v/>
      </c>
      <c r="C199" s="23" t="str">
        <f t="array" ref="C199">IF($H199="","",IFERROR(INDEX('Game Records'!$A:$A,$H199),""))</f>
        <v/>
      </c>
      <c r="D199" s="23" t="str">
        <f t="array" ref="D199">IF($H199="","",IFERROR(INDEX('Game Records'!$U:$U,$H199),""))</f>
        <v/>
      </c>
      <c r="E199" s="23" t="str">
        <f t="array" ref="E199">IF($H199="","",LET(r,$H199,mode,LOWER(INDEX('Game Records'!$D:$D,r)&amp;""),endDate,INDEX('Game Records'!$C:$C,r),IF(mode="estimate",IF(endDate="","Estimate — End Date missing",IF(NOT(ISNUMBER(endDate)),"Estimate — Check End Date",IF(INT(endDate)&gt;=TODAY(),"In Progress — ends "&amp;TEXT(endDate,"mmm d, yyyy"),"Ready to Finalize"))),IF($F199="","No Highlighted Fields","Highlighted Fields Present"))))</f>
        <v/>
      </c>
      <c r="F199" s="23" t="str">
        <f t="array" ref="F199">IF($H199="","",IF(OR(NOT(_xlfn.ISFORMULA(INDEX('Game Records'!$N:$N,$H199))),NOT(_xlfn.ISFORMULA(INDEX('Game Records'!$O:$O,$H199))),NOT(_xlfn.ISFORMULA(INDEX('Game Records'!$P:$P,$H199))),NOT(_xlfn.ISFORMULA(INDEX('Game Records'!$Q:$Q,$H199))),NOT(_xlfn.ISFORMULA(INDEX('Game Records'!$R:$R,$H199))),NOT(_xlfn.ISFORMULA(INDEX('Game Records'!$S:$S,$H199))),NOT(_xlfn.ISFORMULA(INDEX('Game Records'!$T:$T,$H199))),NOT(_xlfn.ISFORMULA(INDEX('Game Records'!$U:$U,$H199))),NOT(_xlfn.ISFORMULA(INDEX('Game Records'!$V:$V,$H199))),NOT(_xlfn.ISFORMULA(INDEX('Game Records'!$W:$W,$H199))),NOT(_xlfn.ISFORMULA(INDEX('Game Records'!$X:$X,$H199))),NOT(_xlfn.ISFORMULA(INDEX('Game Records'!$Y:$Y,$H199))),NOT(_xlfn.ISFORMULA(INDEX('Game Records'!$Z:$Z,$H199)))),"","")&amp;IF(INDEX('Game Records'!$B:$B,$H199)="","Start Date; ","")&amp;IF(INDEX('Game Records'!$C:$C,$H199)="","End Date; ","")&amp;IF(AND(INDEX('Game Records'!$U:$U,$H199)&lt;&gt;"Subscription",INDEX('Game Records'!$U:$U,$H199)&lt;&gt;"Free Game",INDEX('Game Records'!$U:$U,$H199)&lt;&gt;"Disqualified — Free Game",OR(INDEX('Game Records'!$D:$D,$H199)="",LOWER(INDEX('Game Records'!$D:$D,$H199)&amp;"")="n/a")),"Entry Mode; ","")&amp;IF(AND(INDEX('Game Records'!$U:$U,$H199)&lt;&gt;"Subscription",INDEX('Game Records'!$U:$U,$H199)&lt;&gt;"Free Game",INDEX('Game Records'!$U:$U,$H199)&lt;&gt;"Disqualified — Free Game",OR(INDEX('Game Records'!$E:$E,$H199)="",LOWER(INDEX('Game Records'!$E:$E,$H199)&amp;"")="n/a")),"Game Type; ","")&amp;IF(INDEX('Game Records'!$F:$F,$H199)="","Payment Type; ","")&amp;IF(AND(INDEX('Game Records'!$U:$U,$H199)&lt;&gt;"Subscription",INDEX('Game Records'!$U:$U,$H199)&lt;&gt;"Free Game",INDEX('Game Records'!$U:$U,$H199)&lt;&gt;"Disqualified — Free Game",INDEX('Game Records'!$G:$G,$H199)=""),"Gross Pot; ","")&amp;IF(AND(INDEX('Game Records'!$U:$U,$H199)&lt;&gt;"Free Game",INDEX('Game Records'!$U:$U,$H199)&lt;&gt;"Disqualified — Free Game",INDEX('Game Records'!$H:$H,$H199)=""),"Entry Fee; ","")&amp;IF(AND(INDEX('Game Records'!$U:$U,$H199)&lt;&gt;"Subscription",INDEX('Game Records'!$U:$U,$H199)&lt;&gt;"Free Game",INDEX('Game Records'!$U:$U,$H199)&lt;&gt;"Disqualified — Free Game",INDEX('Game Records'!$I:$I,$H199)=""),"Eligible Players; ","")&amp;IF(AND(INDEX('Game Records'!$U:$U,$H199)&lt;&gt;"Subscription",INDEX('Game Records'!$U:$U,$H199)&lt;&gt;"Free Game",INDEX('Game Records'!$U:$U,$H199)&lt;&gt;"Disqualified — Free Game",INDEX('Game Records'!$J:$J,$H199)=""),"Total Players; ","")&amp;IF(AND(LOWER(INDEX('Game Records'!$D:$D,$H199)&amp;"")="finalized",LOWER(INDEX('Game Records'!$L:$L,$H199)&amp;"")&lt;&gt;"yes",INDEX('Game Records'!$U:$U,$H199)&lt;&gt;"Subscription",INDEX('Game Records'!$U:$U,$H199)&lt;&gt;"Free Game",INDEX('Game Records'!$U:$U,$H199)&lt;&gt;"Disqualified — Free Game",INDEX('Game Records'!$K:$K,$H199)=""),"Final Payout; ","")&amp;IF(AND(LOWER(INDEX('Game Records'!$D:$D,$H199)&amp;"")="finalized",INDEX('Game Records'!$U:$U,$H199)&lt;&gt;"Subscription",INDEX('Game Records'!$U:$U,$H199)&lt;&gt;"Free Game",INDEX('Game Records'!$U:$U,$H199)&lt;&gt;"Disqualified — Free Game",OR(INDEX('Game Records'!$L:$L,$H199)="",LOWER(INDEX('Game Records'!$L:$L,$H199)&amp;"")="n/a")),"Disqualified Status; ",""))</f>
        <v/>
      </c>
      <c r="G199" s="23" t="str">
        <f t="array" ref="G199">IF($H199="","",IFERROR(INDEX('Game Records'!$M:$M,$H199),""))</f>
        <v/>
      </c>
      <c r="H199" s="3"/>
      <c r="I199" s="3"/>
      <c r="J199" s="3"/>
    </row>
    <row r="200" ht="24.0" customHeight="1">
      <c r="A200" s="18" t="str">
        <f t="shared" si="1"/>
        <v/>
      </c>
      <c r="B200" s="18" t="str">
        <f t="shared" si="2"/>
        <v/>
      </c>
      <c r="C200" s="23" t="str">
        <f t="array" ref="C200">IF($H200="","",IFERROR(INDEX('Game Records'!$A:$A,$H200),""))</f>
        <v/>
      </c>
      <c r="D200" s="23" t="str">
        <f t="array" ref="D200">IF($H200="","",IFERROR(INDEX('Game Records'!$U:$U,$H200),""))</f>
        <v/>
      </c>
      <c r="E200" s="23" t="str">
        <f t="array" ref="E200">IF($H200="","",LET(r,$H200,mode,LOWER(INDEX('Game Records'!$D:$D,r)&amp;""),endDate,INDEX('Game Records'!$C:$C,r),IF(mode="estimate",IF(endDate="","Estimate — End Date missing",IF(NOT(ISNUMBER(endDate)),"Estimate — Check End Date",IF(INT(endDate)&gt;=TODAY(),"In Progress — ends "&amp;TEXT(endDate,"mmm d, yyyy"),"Ready to Finalize"))),IF($F200="","No Highlighted Fields","Highlighted Fields Present"))))</f>
        <v/>
      </c>
      <c r="F200" s="23" t="str">
        <f t="array" ref="F200">IF($H200="","",IF(OR(NOT(_xlfn.ISFORMULA(INDEX('Game Records'!$N:$N,$H200))),NOT(_xlfn.ISFORMULA(INDEX('Game Records'!$O:$O,$H200))),NOT(_xlfn.ISFORMULA(INDEX('Game Records'!$P:$P,$H200))),NOT(_xlfn.ISFORMULA(INDEX('Game Records'!$Q:$Q,$H200))),NOT(_xlfn.ISFORMULA(INDEX('Game Records'!$R:$R,$H200))),NOT(_xlfn.ISFORMULA(INDEX('Game Records'!$S:$S,$H200))),NOT(_xlfn.ISFORMULA(INDEX('Game Records'!$T:$T,$H200))),NOT(_xlfn.ISFORMULA(INDEX('Game Records'!$U:$U,$H200))),NOT(_xlfn.ISFORMULA(INDEX('Game Records'!$V:$V,$H200))),NOT(_xlfn.ISFORMULA(INDEX('Game Records'!$W:$W,$H200))),NOT(_xlfn.ISFORMULA(INDEX('Game Records'!$X:$X,$H200))),NOT(_xlfn.ISFORMULA(INDEX('Game Records'!$Y:$Y,$H200))),NOT(_xlfn.ISFORMULA(INDEX('Game Records'!$Z:$Z,$H200)))),"","")&amp;IF(INDEX('Game Records'!$B:$B,$H200)="","Start Date; ","")&amp;IF(INDEX('Game Records'!$C:$C,$H200)="","End Date; ","")&amp;IF(AND(INDEX('Game Records'!$U:$U,$H200)&lt;&gt;"Subscription",INDEX('Game Records'!$U:$U,$H200)&lt;&gt;"Free Game",INDEX('Game Records'!$U:$U,$H200)&lt;&gt;"Disqualified — Free Game",OR(INDEX('Game Records'!$D:$D,$H200)="",LOWER(INDEX('Game Records'!$D:$D,$H200)&amp;"")="n/a")),"Entry Mode; ","")&amp;IF(AND(INDEX('Game Records'!$U:$U,$H200)&lt;&gt;"Subscription",INDEX('Game Records'!$U:$U,$H200)&lt;&gt;"Free Game",INDEX('Game Records'!$U:$U,$H200)&lt;&gt;"Disqualified — Free Game",OR(INDEX('Game Records'!$E:$E,$H200)="",LOWER(INDEX('Game Records'!$E:$E,$H200)&amp;"")="n/a")),"Game Type; ","")&amp;IF(INDEX('Game Records'!$F:$F,$H200)="","Payment Type; ","")&amp;IF(AND(INDEX('Game Records'!$U:$U,$H200)&lt;&gt;"Subscription",INDEX('Game Records'!$U:$U,$H200)&lt;&gt;"Free Game",INDEX('Game Records'!$U:$U,$H200)&lt;&gt;"Disqualified — Free Game",INDEX('Game Records'!$G:$G,$H200)=""),"Gross Pot; ","")&amp;IF(AND(INDEX('Game Records'!$U:$U,$H200)&lt;&gt;"Free Game",INDEX('Game Records'!$U:$U,$H200)&lt;&gt;"Disqualified — Free Game",INDEX('Game Records'!$H:$H,$H200)=""),"Entry Fee; ","")&amp;IF(AND(INDEX('Game Records'!$U:$U,$H200)&lt;&gt;"Subscription",INDEX('Game Records'!$U:$U,$H200)&lt;&gt;"Free Game",INDEX('Game Records'!$U:$U,$H200)&lt;&gt;"Disqualified — Free Game",INDEX('Game Records'!$I:$I,$H200)=""),"Eligible Players; ","")&amp;IF(AND(INDEX('Game Records'!$U:$U,$H200)&lt;&gt;"Subscription",INDEX('Game Records'!$U:$U,$H200)&lt;&gt;"Free Game",INDEX('Game Records'!$U:$U,$H200)&lt;&gt;"Disqualified — Free Game",INDEX('Game Records'!$J:$J,$H200)=""),"Total Players; ","")&amp;IF(AND(LOWER(INDEX('Game Records'!$D:$D,$H200)&amp;"")="finalized",LOWER(INDEX('Game Records'!$L:$L,$H200)&amp;"")&lt;&gt;"yes",INDEX('Game Records'!$U:$U,$H200)&lt;&gt;"Subscription",INDEX('Game Records'!$U:$U,$H200)&lt;&gt;"Free Game",INDEX('Game Records'!$U:$U,$H200)&lt;&gt;"Disqualified — Free Game",INDEX('Game Records'!$K:$K,$H200)=""),"Final Payout; ","")&amp;IF(AND(LOWER(INDEX('Game Records'!$D:$D,$H200)&amp;"")="finalized",INDEX('Game Records'!$U:$U,$H200)&lt;&gt;"Subscription",INDEX('Game Records'!$U:$U,$H200)&lt;&gt;"Free Game",INDEX('Game Records'!$U:$U,$H200)&lt;&gt;"Disqualified — Free Game",OR(INDEX('Game Records'!$L:$L,$H200)="",LOWER(INDEX('Game Records'!$L:$L,$H200)&amp;"")="n/a")),"Disqualified Status; ",""))</f>
        <v/>
      </c>
      <c r="G200" s="23" t="str">
        <f t="array" ref="G200">IF($H200="","",IFERROR(INDEX('Game Records'!$M:$M,$H200),""))</f>
        <v/>
      </c>
      <c r="H200" s="3"/>
      <c r="I200" s="3"/>
      <c r="J200" s="3"/>
    </row>
    <row r="201" ht="24.0" customHeight="1">
      <c r="A201" s="18" t="str">
        <f t="shared" si="1"/>
        <v/>
      </c>
      <c r="B201" s="18" t="str">
        <f t="shared" si="2"/>
        <v/>
      </c>
      <c r="C201" s="23" t="str">
        <f t="array" ref="C201">IF($H201="","",IFERROR(INDEX('Game Records'!$A:$A,$H201),""))</f>
        <v/>
      </c>
      <c r="D201" s="23" t="str">
        <f t="array" ref="D201">IF($H201="","",IFERROR(INDEX('Game Records'!$U:$U,$H201),""))</f>
        <v/>
      </c>
      <c r="E201" s="23" t="str">
        <f t="array" ref="E201">IF($H201="","",LET(r,$H201,mode,LOWER(INDEX('Game Records'!$D:$D,r)&amp;""),endDate,INDEX('Game Records'!$C:$C,r),IF(mode="estimate",IF(endDate="","Estimate — End Date missing",IF(NOT(ISNUMBER(endDate)),"Estimate — Check End Date",IF(INT(endDate)&gt;=TODAY(),"In Progress — ends "&amp;TEXT(endDate,"mmm d, yyyy"),"Ready to Finalize"))),IF($F201="","No Highlighted Fields","Highlighted Fields Present"))))</f>
        <v/>
      </c>
      <c r="F201" s="23" t="str">
        <f t="array" ref="F201">IF($H201="","",IF(OR(NOT(_xlfn.ISFORMULA(INDEX('Game Records'!$N:$N,$H201))),NOT(_xlfn.ISFORMULA(INDEX('Game Records'!$O:$O,$H201))),NOT(_xlfn.ISFORMULA(INDEX('Game Records'!$P:$P,$H201))),NOT(_xlfn.ISFORMULA(INDEX('Game Records'!$Q:$Q,$H201))),NOT(_xlfn.ISFORMULA(INDEX('Game Records'!$R:$R,$H201))),NOT(_xlfn.ISFORMULA(INDEX('Game Records'!$S:$S,$H201))),NOT(_xlfn.ISFORMULA(INDEX('Game Records'!$T:$T,$H201))),NOT(_xlfn.ISFORMULA(INDEX('Game Records'!$U:$U,$H201))),NOT(_xlfn.ISFORMULA(INDEX('Game Records'!$V:$V,$H201))),NOT(_xlfn.ISFORMULA(INDEX('Game Records'!$W:$W,$H201))),NOT(_xlfn.ISFORMULA(INDEX('Game Records'!$X:$X,$H201))),NOT(_xlfn.ISFORMULA(INDEX('Game Records'!$Y:$Y,$H201))),NOT(_xlfn.ISFORMULA(INDEX('Game Records'!$Z:$Z,$H201)))),"","")&amp;IF(INDEX('Game Records'!$B:$B,$H201)="","Start Date; ","")&amp;IF(INDEX('Game Records'!$C:$C,$H201)="","End Date; ","")&amp;IF(AND(INDEX('Game Records'!$U:$U,$H201)&lt;&gt;"Subscription",INDEX('Game Records'!$U:$U,$H201)&lt;&gt;"Free Game",INDEX('Game Records'!$U:$U,$H201)&lt;&gt;"Disqualified — Free Game",OR(INDEX('Game Records'!$D:$D,$H201)="",LOWER(INDEX('Game Records'!$D:$D,$H201)&amp;"")="n/a")),"Entry Mode; ","")&amp;IF(AND(INDEX('Game Records'!$U:$U,$H201)&lt;&gt;"Subscription",INDEX('Game Records'!$U:$U,$H201)&lt;&gt;"Free Game",INDEX('Game Records'!$U:$U,$H201)&lt;&gt;"Disqualified — Free Game",OR(INDEX('Game Records'!$E:$E,$H201)="",LOWER(INDEX('Game Records'!$E:$E,$H201)&amp;"")="n/a")),"Game Type; ","")&amp;IF(INDEX('Game Records'!$F:$F,$H201)="","Payment Type; ","")&amp;IF(AND(INDEX('Game Records'!$U:$U,$H201)&lt;&gt;"Subscription",INDEX('Game Records'!$U:$U,$H201)&lt;&gt;"Free Game",INDEX('Game Records'!$U:$U,$H201)&lt;&gt;"Disqualified — Free Game",INDEX('Game Records'!$G:$G,$H201)=""),"Gross Pot; ","")&amp;IF(AND(INDEX('Game Records'!$U:$U,$H201)&lt;&gt;"Free Game",INDEX('Game Records'!$U:$U,$H201)&lt;&gt;"Disqualified — Free Game",INDEX('Game Records'!$H:$H,$H201)=""),"Entry Fee; ","")&amp;IF(AND(INDEX('Game Records'!$U:$U,$H201)&lt;&gt;"Subscription",INDEX('Game Records'!$U:$U,$H201)&lt;&gt;"Free Game",INDEX('Game Records'!$U:$U,$H201)&lt;&gt;"Disqualified — Free Game",INDEX('Game Records'!$I:$I,$H201)=""),"Eligible Players; ","")&amp;IF(AND(INDEX('Game Records'!$U:$U,$H201)&lt;&gt;"Subscription",INDEX('Game Records'!$U:$U,$H201)&lt;&gt;"Free Game",INDEX('Game Records'!$U:$U,$H201)&lt;&gt;"Disqualified — Free Game",INDEX('Game Records'!$J:$J,$H201)=""),"Total Players; ","")&amp;IF(AND(LOWER(INDEX('Game Records'!$D:$D,$H201)&amp;"")="finalized",LOWER(INDEX('Game Records'!$L:$L,$H201)&amp;"")&lt;&gt;"yes",INDEX('Game Records'!$U:$U,$H201)&lt;&gt;"Subscription",INDEX('Game Records'!$U:$U,$H201)&lt;&gt;"Free Game",INDEX('Game Records'!$U:$U,$H201)&lt;&gt;"Disqualified — Free Game",INDEX('Game Records'!$K:$K,$H201)=""),"Final Payout; ","")&amp;IF(AND(LOWER(INDEX('Game Records'!$D:$D,$H201)&amp;"")="finalized",INDEX('Game Records'!$U:$U,$H201)&lt;&gt;"Subscription",INDEX('Game Records'!$U:$U,$H201)&lt;&gt;"Free Game",INDEX('Game Records'!$U:$U,$H201)&lt;&gt;"Disqualified — Free Game",OR(INDEX('Game Records'!$L:$L,$H201)="",LOWER(INDEX('Game Records'!$L:$L,$H201)&amp;"")="n/a")),"Disqualified Status; ",""))</f>
        <v/>
      </c>
      <c r="G201" s="23" t="str">
        <f t="array" ref="G201">IF($H201="","",IFERROR(INDEX('Game Records'!$M:$M,$H201),""))</f>
        <v/>
      </c>
      <c r="H201" s="3"/>
    </row>
    <row r="202" ht="24.0" customHeight="1">
      <c r="A202" s="18" t="str">
        <f t="shared" si="1"/>
        <v/>
      </c>
      <c r="B202" s="18" t="str">
        <f t="shared" si="2"/>
        <v/>
      </c>
      <c r="C202" s="23" t="str">
        <f t="array" ref="C202">IF($H202="","",IFERROR(INDEX('Game Records'!$A:$A,$H202),""))</f>
        <v/>
      </c>
      <c r="D202" s="23" t="str">
        <f t="array" ref="D202">IF($H202="","",IFERROR(INDEX('Game Records'!$U:$U,$H202),""))</f>
        <v/>
      </c>
      <c r="E202" s="23" t="str">
        <f t="array" ref="E202">IF($H202="","",LET(r,$H202,mode,LOWER(INDEX('Game Records'!$D:$D,r)&amp;""),endDate,INDEX('Game Records'!$C:$C,r),IF(mode="estimate",IF(endDate="","Estimate — End Date missing",IF(NOT(ISNUMBER(endDate)),"Estimate — Check End Date",IF(INT(endDate)&gt;=TODAY(),"In Progress — ends "&amp;TEXT(endDate,"mmm d, yyyy"),"Ready to Finalize"))),IF($F202="","No Highlighted Fields","Highlighted Fields Present"))))</f>
        <v/>
      </c>
      <c r="F202" s="23" t="str">
        <f t="array" ref="F202">IF($H202="","",IF(OR(NOT(_xlfn.ISFORMULA(INDEX('Game Records'!$N:$N,$H202))),NOT(_xlfn.ISFORMULA(INDEX('Game Records'!$O:$O,$H202))),NOT(_xlfn.ISFORMULA(INDEX('Game Records'!$P:$P,$H202))),NOT(_xlfn.ISFORMULA(INDEX('Game Records'!$Q:$Q,$H202))),NOT(_xlfn.ISFORMULA(INDEX('Game Records'!$R:$R,$H202))),NOT(_xlfn.ISFORMULA(INDEX('Game Records'!$S:$S,$H202))),NOT(_xlfn.ISFORMULA(INDEX('Game Records'!$T:$T,$H202))),NOT(_xlfn.ISFORMULA(INDEX('Game Records'!$U:$U,$H202))),NOT(_xlfn.ISFORMULA(INDEX('Game Records'!$V:$V,$H202))),NOT(_xlfn.ISFORMULA(INDEX('Game Records'!$W:$W,$H202))),NOT(_xlfn.ISFORMULA(INDEX('Game Records'!$X:$X,$H202))),NOT(_xlfn.ISFORMULA(INDEX('Game Records'!$Y:$Y,$H202))),NOT(_xlfn.ISFORMULA(INDEX('Game Records'!$Z:$Z,$H202)))),"","")&amp;IF(INDEX('Game Records'!$B:$B,$H202)="","Start Date; ","")&amp;IF(INDEX('Game Records'!$C:$C,$H202)="","End Date; ","")&amp;IF(AND(INDEX('Game Records'!$U:$U,$H202)&lt;&gt;"Subscription",INDEX('Game Records'!$U:$U,$H202)&lt;&gt;"Free Game",INDEX('Game Records'!$U:$U,$H202)&lt;&gt;"Disqualified — Free Game",OR(INDEX('Game Records'!$D:$D,$H202)="",LOWER(INDEX('Game Records'!$D:$D,$H202)&amp;"")="n/a")),"Entry Mode; ","")&amp;IF(AND(INDEX('Game Records'!$U:$U,$H202)&lt;&gt;"Subscription",INDEX('Game Records'!$U:$U,$H202)&lt;&gt;"Free Game",INDEX('Game Records'!$U:$U,$H202)&lt;&gt;"Disqualified — Free Game",OR(INDEX('Game Records'!$E:$E,$H202)="",LOWER(INDEX('Game Records'!$E:$E,$H202)&amp;"")="n/a")),"Game Type; ","")&amp;IF(INDEX('Game Records'!$F:$F,$H202)="","Payment Type; ","")&amp;IF(AND(INDEX('Game Records'!$U:$U,$H202)&lt;&gt;"Subscription",INDEX('Game Records'!$U:$U,$H202)&lt;&gt;"Free Game",INDEX('Game Records'!$U:$U,$H202)&lt;&gt;"Disqualified — Free Game",INDEX('Game Records'!$G:$G,$H202)=""),"Gross Pot; ","")&amp;IF(AND(INDEX('Game Records'!$U:$U,$H202)&lt;&gt;"Free Game",INDEX('Game Records'!$U:$U,$H202)&lt;&gt;"Disqualified — Free Game",INDEX('Game Records'!$H:$H,$H202)=""),"Entry Fee; ","")&amp;IF(AND(INDEX('Game Records'!$U:$U,$H202)&lt;&gt;"Subscription",INDEX('Game Records'!$U:$U,$H202)&lt;&gt;"Free Game",INDEX('Game Records'!$U:$U,$H202)&lt;&gt;"Disqualified — Free Game",INDEX('Game Records'!$I:$I,$H202)=""),"Eligible Players; ","")&amp;IF(AND(INDEX('Game Records'!$U:$U,$H202)&lt;&gt;"Subscription",INDEX('Game Records'!$U:$U,$H202)&lt;&gt;"Free Game",INDEX('Game Records'!$U:$U,$H202)&lt;&gt;"Disqualified — Free Game",INDEX('Game Records'!$J:$J,$H202)=""),"Total Players; ","")&amp;IF(AND(LOWER(INDEX('Game Records'!$D:$D,$H202)&amp;"")="finalized",LOWER(INDEX('Game Records'!$L:$L,$H202)&amp;"")&lt;&gt;"yes",INDEX('Game Records'!$U:$U,$H202)&lt;&gt;"Subscription",INDEX('Game Records'!$U:$U,$H202)&lt;&gt;"Free Game",INDEX('Game Records'!$U:$U,$H202)&lt;&gt;"Disqualified — Free Game",INDEX('Game Records'!$K:$K,$H202)=""),"Final Payout; ","")&amp;IF(AND(LOWER(INDEX('Game Records'!$D:$D,$H202)&amp;"")="finalized",INDEX('Game Records'!$U:$U,$H202)&lt;&gt;"Subscription",INDEX('Game Records'!$U:$U,$H202)&lt;&gt;"Free Game",INDEX('Game Records'!$U:$U,$H202)&lt;&gt;"Disqualified — Free Game",OR(INDEX('Game Records'!$L:$L,$H202)="",LOWER(INDEX('Game Records'!$L:$L,$H202)&amp;"")="n/a")),"Disqualified Status; ",""))</f>
        <v/>
      </c>
      <c r="G202" s="23" t="str">
        <f t="array" ref="G202">IF($H202="","",IFERROR(INDEX('Game Records'!$M:$M,$H202),""))</f>
        <v/>
      </c>
      <c r="H202" s="3"/>
    </row>
    <row r="203" ht="24.0" customHeight="1">
      <c r="A203" s="18" t="str">
        <f t="shared" si="1"/>
        <v/>
      </c>
      <c r="B203" s="18" t="str">
        <f t="shared" si="2"/>
        <v/>
      </c>
      <c r="C203" s="23" t="str">
        <f t="array" ref="C203">IF($H203="","",IFERROR(INDEX('Game Records'!$A:$A,$H203),""))</f>
        <v/>
      </c>
      <c r="D203" s="23" t="str">
        <f t="array" ref="D203">IF($H203="","",IFERROR(INDEX('Game Records'!$U:$U,$H203),""))</f>
        <v/>
      </c>
      <c r="E203" s="23" t="str">
        <f t="array" ref="E203">IF($H203="","",LET(r,$H203,mode,LOWER(INDEX('Game Records'!$D:$D,r)&amp;""),endDate,INDEX('Game Records'!$C:$C,r),IF(mode="estimate",IF(endDate="","Estimate — End Date missing",IF(NOT(ISNUMBER(endDate)),"Estimate — Check End Date",IF(INT(endDate)&gt;=TODAY(),"In Progress — ends "&amp;TEXT(endDate,"mmm d, yyyy"),"Ready to Finalize"))),IF($F203="","No Highlighted Fields","Highlighted Fields Present"))))</f>
        <v/>
      </c>
      <c r="F203" s="23" t="str">
        <f t="array" ref="F203">IF($H203="","",IF(OR(NOT(_xlfn.ISFORMULA(INDEX('Game Records'!$N:$N,$H203))),NOT(_xlfn.ISFORMULA(INDEX('Game Records'!$O:$O,$H203))),NOT(_xlfn.ISFORMULA(INDEX('Game Records'!$P:$P,$H203))),NOT(_xlfn.ISFORMULA(INDEX('Game Records'!$Q:$Q,$H203))),NOT(_xlfn.ISFORMULA(INDEX('Game Records'!$R:$R,$H203))),NOT(_xlfn.ISFORMULA(INDEX('Game Records'!$S:$S,$H203))),NOT(_xlfn.ISFORMULA(INDEX('Game Records'!$T:$T,$H203))),NOT(_xlfn.ISFORMULA(INDEX('Game Records'!$U:$U,$H203))),NOT(_xlfn.ISFORMULA(INDEX('Game Records'!$V:$V,$H203))),NOT(_xlfn.ISFORMULA(INDEX('Game Records'!$W:$W,$H203))),NOT(_xlfn.ISFORMULA(INDEX('Game Records'!$X:$X,$H203))),NOT(_xlfn.ISFORMULA(INDEX('Game Records'!$Y:$Y,$H203))),NOT(_xlfn.ISFORMULA(INDEX('Game Records'!$Z:$Z,$H203)))),"","")&amp;IF(INDEX('Game Records'!$B:$B,$H203)="","Start Date; ","")&amp;IF(INDEX('Game Records'!$C:$C,$H203)="","End Date; ","")&amp;IF(AND(INDEX('Game Records'!$U:$U,$H203)&lt;&gt;"Subscription",INDEX('Game Records'!$U:$U,$H203)&lt;&gt;"Free Game",INDEX('Game Records'!$U:$U,$H203)&lt;&gt;"Disqualified — Free Game",OR(INDEX('Game Records'!$D:$D,$H203)="",LOWER(INDEX('Game Records'!$D:$D,$H203)&amp;"")="n/a")),"Entry Mode; ","")&amp;IF(AND(INDEX('Game Records'!$U:$U,$H203)&lt;&gt;"Subscription",INDEX('Game Records'!$U:$U,$H203)&lt;&gt;"Free Game",INDEX('Game Records'!$U:$U,$H203)&lt;&gt;"Disqualified — Free Game",OR(INDEX('Game Records'!$E:$E,$H203)="",LOWER(INDEX('Game Records'!$E:$E,$H203)&amp;"")="n/a")),"Game Type; ","")&amp;IF(INDEX('Game Records'!$F:$F,$H203)="","Payment Type; ","")&amp;IF(AND(INDEX('Game Records'!$U:$U,$H203)&lt;&gt;"Subscription",INDEX('Game Records'!$U:$U,$H203)&lt;&gt;"Free Game",INDEX('Game Records'!$U:$U,$H203)&lt;&gt;"Disqualified — Free Game",INDEX('Game Records'!$G:$G,$H203)=""),"Gross Pot; ","")&amp;IF(AND(INDEX('Game Records'!$U:$U,$H203)&lt;&gt;"Free Game",INDEX('Game Records'!$U:$U,$H203)&lt;&gt;"Disqualified — Free Game",INDEX('Game Records'!$H:$H,$H203)=""),"Entry Fee; ","")&amp;IF(AND(INDEX('Game Records'!$U:$U,$H203)&lt;&gt;"Subscription",INDEX('Game Records'!$U:$U,$H203)&lt;&gt;"Free Game",INDEX('Game Records'!$U:$U,$H203)&lt;&gt;"Disqualified — Free Game",INDEX('Game Records'!$I:$I,$H203)=""),"Eligible Players; ","")&amp;IF(AND(INDEX('Game Records'!$U:$U,$H203)&lt;&gt;"Subscription",INDEX('Game Records'!$U:$U,$H203)&lt;&gt;"Free Game",INDEX('Game Records'!$U:$U,$H203)&lt;&gt;"Disqualified — Free Game",INDEX('Game Records'!$J:$J,$H203)=""),"Total Players; ","")&amp;IF(AND(LOWER(INDEX('Game Records'!$D:$D,$H203)&amp;"")="finalized",LOWER(INDEX('Game Records'!$L:$L,$H203)&amp;"")&lt;&gt;"yes",INDEX('Game Records'!$U:$U,$H203)&lt;&gt;"Subscription",INDEX('Game Records'!$U:$U,$H203)&lt;&gt;"Free Game",INDEX('Game Records'!$U:$U,$H203)&lt;&gt;"Disqualified — Free Game",INDEX('Game Records'!$K:$K,$H203)=""),"Final Payout; ","")&amp;IF(AND(LOWER(INDEX('Game Records'!$D:$D,$H203)&amp;"")="finalized",INDEX('Game Records'!$U:$U,$H203)&lt;&gt;"Subscription",INDEX('Game Records'!$U:$U,$H203)&lt;&gt;"Free Game",INDEX('Game Records'!$U:$U,$H203)&lt;&gt;"Disqualified — Free Game",OR(INDEX('Game Records'!$L:$L,$H203)="",LOWER(INDEX('Game Records'!$L:$L,$H203)&amp;"")="n/a")),"Disqualified Status; ",""))</f>
        <v/>
      </c>
      <c r="G203" s="23" t="str">
        <f t="array" ref="G203">IF($H203="","",IFERROR(INDEX('Game Records'!$M:$M,$H203),""))</f>
        <v/>
      </c>
      <c r="H203" s="3"/>
    </row>
    <row r="204" ht="24.0" customHeight="1">
      <c r="A204" s="18" t="str">
        <f t="shared" si="1"/>
        <v/>
      </c>
      <c r="B204" s="18" t="str">
        <f t="shared" si="2"/>
        <v/>
      </c>
      <c r="C204" s="23" t="str">
        <f t="array" ref="C204">IF($H204="","",IFERROR(INDEX('Game Records'!$A:$A,$H204),""))</f>
        <v/>
      </c>
      <c r="D204" s="23" t="str">
        <f t="array" ref="D204">IF($H204="","",IFERROR(INDEX('Game Records'!$U:$U,$H204),""))</f>
        <v/>
      </c>
      <c r="E204" s="23" t="str">
        <f t="array" ref="E204">IF($H204="","",LET(r,$H204,mode,LOWER(INDEX('Game Records'!$D:$D,r)&amp;""),endDate,INDEX('Game Records'!$C:$C,r),IF(mode="estimate",IF(endDate="","Estimate — End Date missing",IF(NOT(ISNUMBER(endDate)),"Estimate — Check End Date",IF(INT(endDate)&gt;=TODAY(),"In Progress — ends "&amp;TEXT(endDate,"mmm d, yyyy"),"Ready to Finalize"))),IF($F204="","No Highlighted Fields","Highlighted Fields Present"))))</f>
        <v/>
      </c>
      <c r="F204" s="23" t="str">
        <f t="array" ref="F204">IF($H204="","",IF(OR(NOT(_xlfn.ISFORMULA(INDEX('Game Records'!$N:$N,$H204))),NOT(_xlfn.ISFORMULA(INDEX('Game Records'!$O:$O,$H204))),NOT(_xlfn.ISFORMULA(INDEX('Game Records'!$P:$P,$H204))),NOT(_xlfn.ISFORMULA(INDEX('Game Records'!$Q:$Q,$H204))),NOT(_xlfn.ISFORMULA(INDEX('Game Records'!$R:$R,$H204))),NOT(_xlfn.ISFORMULA(INDEX('Game Records'!$S:$S,$H204))),NOT(_xlfn.ISFORMULA(INDEX('Game Records'!$T:$T,$H204))),NOT(_xlfn.ISFORMULA(INDEX('Game Records'!$U:$U,$H204))),NOT(_xlfn.ISFORMULA(INDEX('Game Records'!$V:$V,$H204))),NOT(_xlfn.ISFORMULA(INDEX('Game Records'!$W:$W,$H204))),NOT(_xlfn.ISFORMULA(INDEX('Game Records'!$X:$X,$H204))),NOT(_xlfn.ISFORMULA(INDEX('Game Records'!$Y:$Y,$H204))),NOT(_xlfn.ISFORMULA(INDEX('Game Records'!$Z:$Z,$H204)))),"","")&amp;IF(INDEX('Game Records'!$B:$B,$H204)="","Start Date; ","")&amp;IF(INDEX('Game Records'!$C:$C,$H204)="","End Date; ","")&amp;IF(AND(INDEX('Game Records'!$U:$U,$H204)&lt;&gt;"Subscription",INDEX('Game Records'!$U:$U,$H204)&lt;&gt;"Free Game",INDEX('Game Records'!$U:$U,$H204)&lt;&gt;"Disqualified — Free Game",OR(INDEX('Game Records'!$D:$D,$H204)="",LOWER(INDEX('Game Records'!$D:$D,$H204)&amp;"")="n/a")),"Entry Mode; ","")&amp;IF(AND(INDEX('Game Records'!$U:$U,$H204)&lt;&gt;"Subscription",INDEX('Game Records'!$U:$U,$H204)&lt;&gt;"Free Game",INDEX('Game Records'!$U:$U,$H204)&lt;&gt;"Disqualified — Free Game",OR(INDEX('Game Records'!$E:$E,$H204)="",LOWER(INDEX('Game Records'!$E:$E,$H204)&amp;"")="n/a")),"Game Type; ","")&amp;IF(INDEX('Game Records'!$F:$F,$H204)="","Payment Type; ","")&amp;IF(AND(INDEX('Game Records'!$U:$U,$H204)&lt;&gt;"Subscription",INDEX('Game Records'!$U:$U,$H204)&lt;&gt;"Free Game",INDEX('Game Records'!$U:$U,$H204)&lt;&gt;"Disqualified — Free Game",INDEX('Game Records'!$G:$G,$H204)=""),"Gross Pot; ","")&amp;IF(AND(INDEX('Game Records'!$U:$U,$H204)&lt;&gt;"Free Game",INDEX('Game Records'!$U:$U,$H204)&lt;&gt;"Disqualified — Free Game",INDEX('Game Records'!$H:$H,$H204)=""),"Entry Fee; ","")&amp;IF(AND(INDEX('Game Records'!$U:$U,$H204)&lt;&gt;"Subscription",INDEX('Game Records'!$U:$U,$H204)&lt;&gt;"Free Game",INDEX('Game Records'!$U:$U,$H204)&lt;&gt;"Disqualified — Free Game",INDEX('Game Records'!$I:$I,$H204)=""),"Eligible Players; ","")&amp;IF(AND(INDEX('Game Records'!$U:$U,$H204)&lt;&gt;"Subscription",INDEX('Game Records'!$U:$U,$H204)&lt;&gt;"Free Game",INDEX('Game Records'!$U:$U,$H204)&lt;&gt;"Disqualified — Free Game",INDEX('Game Records'!$J:$J,$H204)=""),"Total Players; ","")&amp;IF(AND(LOWER(INDEX('Game Records'!$D:$D,$H204)&amp;"")="finalized",LOWER(INDEX('Game Records'!$L:$L,$H204)&amp;"")&lt;&gt;"yes",INDEX('Game Records'!$U:$U,$H204)&lt;&gt;"Subscription",INDEX('Game Records'!$U:$U,$H204)&lt;&gt;"Free Game",INDEX('Game Records'!$U:$U,$H204)&lt;&gt;"Disqualified — Free Game",INDEX('Game Records'!$K:$K,$H204)=""),"Final Payout; ","")&amp;IF(AND(LOWER(INDEX('Game Records'!$D:$D,$H204)&amp;"")="finalized",INDEX('Game Records'!$U:$U,$H204)&lt;&gt;"Subscription",INDEX('Game Records'!$U:$U,$H204)&lt;&gt;"Free Game",INDEX('Game Records'!$U:$U,$H204)&lt;&gt;"Disqualified — Free Game",OR(INDEX('Game Records'!$L:$L,$H204)="",LOWER(INDEX('Game Records'!$L:$L,$H204)&amp;"")="n/a")),"Disqualified Status; ",""))</f>
        <v/>
      </c>
      <c r="G204" s="23" t="str">
        <f t="array" ref="G204">IF($H204="","",IFERROR(INDEX('Game Records'!$M:$M,$H204),""))</f>
        <v/>
      </c>
      <c r="H204" s="3"/>
    </row>
    <row r="205" ht="24.0" customHeight="1">
      <c r="A205" s="18" t="str">
        <f t="shared" si="1"/>
        <v/>
      </c>
      <c r="B205" s="18" t="str">
        <f t="shared" si="2"/>
        <v/>
      </c>
      <c r="C205" s="23" t="str">
        <f t="array" ref="C205">IF($H205="","",IFERROR(INDEX('Game Records'!$A:$A,$H205),""))</f>
        <v/>
      </c>
      <c r="D205" s="23" t="str">
        <f t="array" ref="D205">IF($H205="","",IFERROR(INDEX('Game Records'!$U:$U,$H205),""))</f>
        <v/>
      </c>
      <c r="E205" s="23" t="str">
        <f t="array" ref="E205">IF($H205="","",LET(r,$H205,mode,LOWER(INDEX('Game Records'!$D:$D,r)&amp;""),endDate,INDEX('Game Records'!$C:$C,r),IF(mode="estimate",IF(endDate="","Estimate — End Date missing",IF(NOT(ISNUMBER(endDate)),"Estimate — Check End Date",IF(INT(endDate)&gt;=TODAY(),"In Progress — ends "&amp;TEXT(endDate,"mmm d, yyyy"),"Ready to Finalize"))),IF($F205="","No Highlighted Fields","Highlighted Fields Present"))))</f>
        <v/>
      </c>
      <c r="F205" s="23" t="str">
        <f t="array" ref="F205">IF($H205="","",IF(OR(NOT(_xlfn.ISFORMULA(INDEX('Game Records'!$N:$N,$H205))),NOT(_xlfn.ISFORMULA(INDEX('Game Records'!$O:$O,$H205))),NOT(_xlfn.ISFORMULA(INDEX('Game Records'!$P:$P,$H205))),NOT(_xlfn.ISFORMULA(INDEX('Game Records'!$Q:$Q,$H205))),NOT(_xlfn.ISFORMULA(INDEX('Game Records'!$R:$R,$H205))),NOT(_xlfn.ISFORMULA(INDEX('Game Records'!$S:$S,$H205))),NOT(_xlfn.ISFORMULA(INDEX('Game Records'!$T:$T,$H205))),NOT(_xlfn.ISFORMULA(INDEX('Game Records'!$U:$U,$H205))),NOT(_xlfn.ISFORMULA(INDEX('Game Records'!$V:$V,$H205))),NOT(_xlfn.ISFORMULA(INDEX('Game Records'!$W:$W,$H205))),NOT(_xlfn.ISFORMULA(INDEX('Game Records'!$X:$X,$H205))),NOT(_xlfn.ISFORMULA(INDEX('Game Records'!$Y:$Y,$H205))),NOT(_xlfn.ISFORMULA(INDEX('Game Records'!$Z:$Z,$H205)))),"","")&amp;IF(INDEX('Game Records'!$B:$B,$H205)="","Start Date; ","")&amp;IF(INDEX('Game Records'!$C:$C,$H205)="","End Date; ","")&amp;IF(AND(INDEX('Game Records'!$U:$U,$H205)&lt;&gt;"Subscription",INDEX('Game Records'!$U:$U,$H205)&lt;&gt;"Free Game",INDEX('Game Records'!$U:$U,$H205)&lt;&gt;"Disqualified — Free Game",OR(INDEX('Game Records'!$D:$D,$H205)="",LOWER(INDEX('Game Records'!$D:$D,$H205)&amp;"")="n/a")),"Entry Mode; ","")&amp;IF(AND(INDEX('Game Records'!$U:$U,$H205)&lt;&gt;"Subscription",INDEX('Game Records'!$U:$U,$H205)&lt;&gt;"Free Game",INDEX('Game Records'!$U:$U,$H205)&lt;&gt;"Disqualified — Free Game",OR(INDEX('Game Records'!$E:$E,$H205)="",LOWER(INDEX('Game Records'!$E:$E,$H205)&amp;"")="n/a")),"Game Type; ","")&amp;IF(INDEX('Game Records'!$F:$F,$H205)="","Payment Type; ","")&amp;IF(AND(INDEX('Game Records'!$U:$U,$H205)&lt;&gt;"Subscription",INDEX('Game Records'!$U:$U,$H205)&lt;&gt;"Free Game",INDEX('Game Records'!$U:$U,$H205)&lt;&gt;"Disqualified — Free Game",INDEX('Game Records'!$G:$G,$H205)=""),"Gross Pot; ","")&amp;IF(AND(INDEX('Game Records'!$U:$U,$H205)&lt;&gt;"Free Game",INDEX('Game Records'!$U:$U,$H205)&lt;&gt;"Disqualified — Free Game",INDEX('Game Records'!$H:$H,$H205)=""),"Entry Fee; ","")&amp;IF(AND(INDEX('Game Records'!$U:$U,$H205)&lt;&gt;"Subscription",INDEX('Game Records'!$U:$U,$H205)&lt;&gt;"Free Game",INDEX('Game Records'!$U:$U,$H205)&lt;&gt;"Disqualified — Free Game",INDEX('Game Records'!$I:$I,$H205)=""),"Eligible Players; ","")&amp;IF(AND(INDEX('Game Records'!$U:$U,$H205)&lt;&gt;"Subscription",INDEX('Game Records'!$U:$U,$H205)&lt;&gt;"Free Game",INDEX('Game Records'!$U:$U,$H205)&lt;&gt;"Disqualified — Free Game",INDEX('Game Records'!$J:$J,$H205)=""),"Total Players; ","")&amp;IF(AND(LOWER(INDEX('Game Records'!$D:$D,$H205)&amp;"")="finalized",LOWER(INDEX('Game Records'!$L:$L,$H205)&amp;"")&lt;&gt;"yes",INDEX('Game Records'!$U:$U,$H205)&lt;&gt;"Subscription",INDEX('Game Records'!$U:$U,$H205)&lt;&gt;"Free Game",INDEX('Game Records'!$U:$U,$H205)&lt;&gt;"Disqualified — Free Game",INDEX('Game Records'!$K:$K,$H205)=""),"Final Payout; ","")&amp;IF(AND(LOWER(INDEX('Game Records'!$D:$D,$H205)&amp;"")="finalized",INDEX('Game Records'!$U:$U,$H205)&lt;&gt;"Subscription",INDEX('Game Records'!$U:$U,$H205)&lt;&gt;"Free Game",INDEX('Game Records'!$U:$U,$H205)&lt;&gt;"Disqualified — Free Game",OR(INDEX('Game Records'!$L:$L,$H205)="",LOWER(INDEX('Game Records'!$L:$L,$H205)&amp;"")="n/a")),"Disqualified Status; ",""))</f>
        <v/>
      </c>
      <c r="G205" s="23" t="str">
        <f t="array" ref="G205">IF($H205="","",IFERROR(INDEX('Game Records'!$M:$M,$H205),""))</f>
        <v/>
      </c>
      <c r="H205" s="3"/>
    </row>
    <row r="206" ht="24.0" customHeight="1">
      <c r="A206" s="18" t="str">
        <f t="shared" si="1"/>
        <v/>
      </c>
      <c r="B206" s="18" t="str">
        <f t="shared" si="2"/>
        <v/>
      </c>
      <c r="C206" s="23" t="str">
        <f t="array" ref="C206">IF($H206="","",IFERROR(INDEX('Game Records'!$A:$A,$H206),""))</f>
        <v/>
      </c>
      <c r="D206" s="23" t="str">
        <f t="array" ref="D206">IF($H206="","",IFERROR(INDEX('Game Records'!$U:$U,$H206),""))</f>
        <v/>
      </c>
      <c r="E206" s="23" t="str">
        <f t="array" ref="E206">IF($H206="","",LET(r,$H206,mode,LOWER(INDEX('Game Records'!$D:$D,r)&amp;""),endDate,INDEX('Game Records'!$C:$C,r),IF(mode="estimate",IF(endDate="","Estimate — End Date missing",IF(NOT(ISNUMBER(endDate)),"Estimate — Check End Date",IF(INT(endDate)&gt;=TODAY(),"In Progress — ends "&amp;TEXT(endDate,"mmm d, yyyy"),"Ready to Finalize"))),IF($F206="","No Highlighted Fields","Highlighted Fields Present"))))</f>
        <v/>
      </c>
      <c r="F206" s="23" t="str">
        <f t="array" ref="F206">IF($H206="","",IF(OR(NOT(_xlfn.ISFORMULA(INDEX('Game Records'!$N:$N,$H206))),NOT(_xlfn.ISFORMULA(INDEX('Game Records'!$O:$O,$H206))),NOT(_xlfn.ISFORMULA(INDEX('Game Records'!$P:$P,$H206))),NOT(_xlfn.ISFORMULA(INDEX('Game Records'!$Q:$Q,$H206))),NOT(_xlfn.ISFORMULA(INDEX('Game Records'!$R:$R,$H206))),NOT(_xlfn.ISFORMULA(INDEX('Game Records'!$S:$S,$H206))),NOT(_xlfn.ISFORMULA(INDEX('Game Records'!$T:$T,$H206))),NOT(_xlfn.ISFORMULA(INDEX('Game Records'!$U:$U,$H206))),NOT(_xlfn.ISFORMULA(INDEX('Game Records'!$V:$V,$H206))),NOT(_xlfn.ISFORMULA(INDEX('Game Records'!$W:$W,$H206))),NOT(_xlfn.ISFORMULA(INDEX('Game Records'!$X:$X,$H206))),NOT(_xlfn.ISFORMULA(INDEX('Game Records'!$Y:$Y,$H206))),NOT(_xlfn.ISFORMULA(INDEX('Game Records'!$Z:$Z,$H206)))),"","")&amp;IF(INDEX('Game Records'!$B:$B,$H206)="","Start Date; ","")&amp;IF(INDEX('Game Records'!$C:$C,$H206)="","End Date; ","")&amp;IF(AND(INDEX('Game Records'!$U:$U,$H206)&lt;&gt;"Subscription",INDEX('Game Records'!$U:$U,$H206)&lt;&gt;"Free Game",INDEX('Game Records'!$U:$U,$H206)&lt;&gt;"Disqualified — Free Game",OR(INDEX('Game Records'!$D:$D,$H206)="",LOWER(INDEX('Game Records'!$D:$D,$H206)&amp;"")="n/a")),"Entry Mode; ","")&amp;IF(AND(INDEX('Game Records'!$U:$U,$H206)&lt;&gt;"Subscription",INDEX('Game Records'!$U:$U,$H206)&lt;&gt;"Free Game",INDEX('Game Records'!$U:$U,$H206)&lt;&gt;"Disqualified — Free Game",OR(INDEX('Game Records'!$E:$E,$H206)="",LOWER(INDEX('Game Records'!$E:$E,$H206)&amp;"")="n/a")),"Game Type; ","")&amp;IF(INDEX('Game Records'!$F:$F,$H206)="","Payment Type; ","")&amp;IF(AND(INDEX('Game Records'!$U:$U,$H206)&lt;&gt;"Subscription",INDEX('Game Records'!$U:$U,$H206)&lt;&gt;"Free Game",INDEX('Game Records'!$U:$U,$H206)&lt;&gt;"Disqualified — Free Game",INDEX('Game Records'!$G:$G,$H206)=""),"Gross Pot; ","")&amp;IF(AND(INDEX('Game Records'!$U:$U,$H206)&lt;&gt;"Free Game",INDEX('Game Records'!$U:$U,$H206)&lt;&gt;"Disqualified — Free Game",INDEX('Game Records'!$H:$H,$H206)=""),"Entry Fee; ","")&amp;IF(AND(INDEX('Game Records'!$U:$U,$H206)&lt;&gt;"Subscription",INDEX('Game Records'!$U:$U,$H206)&lt;&gt;"Free Game",INDEX('Game Records'!$U:$U,$H206)&lt;&gt;"Disqualified — Free Game",INDEX('Game Records'!$I:$I,$H206)=""),"Eligible Players; ","")&amp;IF(AND(INDEX('Game Records'!$U:$U,$H206)&lt;&gt;"Subscription",INDEX('Game Records'!$U:$U,$H206)&lt;&gt;"Free Game",INDEX('Game Records'!$U:$U,$H206)&lt;&gt;"Disqualified — Free Game",INDEX('Game Records'!$J:$J,$H206)=""),"Total Players; ","")&amp;IF(AND(LOWER(INDEX('Game Records'!$D:$D,$H206)&amp;"")="finalized",LOWER(INDEX('Game Records'!$L:$L,$H206)&amp;"")&lt;&gt;"yes",INDEX('Game Records'!$U:$U,$H206)&lt;&gt;"Subscription",INDEX('Game Records'!$U:$U,$H206)&lt;&gt;"Free Game",INDEX('Game Records'!$U:$U,$H206)&lt;&gt;"Disqualified — Free Game",INDEX('Game Records'!$K:$K,$H206)=""),"Final Payout; ","")&amp;IF(AND(LOWER(INDEX('Game Records'!$D:$D,$H206)&amp;"")="finalized",INDEX('Game Records'!$U:$U,$H206)&lt;&gt;"Subscription",INDEX('Game Records'!$U:$U,$H206)&lt;&gt;"Free Game",INDEX('Game Records'!$U:$U,$H206)&lt;&gt;"Disqualified — Free Game",OR(INDEX('Game Records'!$L:$L,$H206)="",LOWER(INDEX('Game Records'!$L:$L,$H206)&amp;"")="n/a")),"Disqualified Status; ",""))</f>
        <v/>
      </c>
      <c r="G206" s="23" t="str">
        <f t="array" ref="G206">IF($H206="","",IFERROR(INDEX('Game Records'!$M:$M,$H206),""))</f>
        <v/>
      </c>
      <c r="H206" s="3"/>
    </row>
    <row r="207" ht="24.0" customHeight="1">
      <c r="A207" s="18" t="str">
        <f t="shared" si="1"/>
        <v/>
      </c>
      <c r="B207" s="18" t="str">
        <f t="shared" si="2"/>
        <v/>
      </c>
      <c r="C207" s="23" t="str">
        <f t="array" ref="C207">IF($H207="","",IFERROR(INDEX('Game Records'!$A:$A,$H207),""))</f>
        <v/>
      </c>
      <c r="D207" s="23" t="str">
        <f t="array" ref="D207">IF($H207="","",IFERROR(INDEX('Game Records'!$U:$U,$H207),""))</f>
        <v/>
      </c>
      <c r="E207" s="23" t="str">
        <f t="array" ref="E207">IF($H207="","",LET(r,$H207,mode,LOWER(INDEX('Game Records'!$D:$D,r)&amp;""),endDate,INDEX('Game Records'!$C:$C,r),IF(mode="estimate",IF(endDate="","Estimate — End Date missing",IF(NOT(ISNUMBER(endDate)),"Estimate — Check End Date",IF(INT(endDate)&gt;=TODAY(),"In Progress — ends "&amp;TEXT(endDate,"mmm d, yyyy"),"Ready to Finalize"))),IF($F207="","No Highlighted Fields","Highlighted Fields Present"))))</f>
        <v/>
      </c>
      <c r="F207" s="23" t="str">
        <f t="array" ref="F207">IF($H207="","",IF(OR(NOT(_xlfn.ISFORMULA(INDEX('Game Records'!$N:$N,$H207))),NOT(_xlfn.ISFORMULA(INDEX('Game Records'!$O:$O,$H207))),NOT(_xlfn.ISFORMULA(INDEX('Game Records'!$P:$P,$H207))),NOT(_xlfn.ISFORMULA(INDEX('Game Records'!$Q:$Q,$H207))),NOT(_xlfn.ISFORMULA(INDEX('Game Records'!$R:$R,$H207))),NOT(_xlfn.ISFORMULA(INDEX('Game Records'!$S:$S,$H207))),NOT(_xlfn.ISFORMULA(INDEX('Game Records'!$T:$T,$H207))),NOT(_xlfn.ISFORMULA(INDEX('Game Records'!$U:$U,$H207))),NOT(_xlfn.ISFORMULA(INDEX('Game Records'!$V:$V,$H207))),NOT(_xlfn.ISFORMULA(INDEX('Game Records'!$W:$W,$H207))),NOT(_xlfn.ISFORMULA(INDEX('Game Records'!$X:$X,$H207))),NOT(_xlfn.ISFORMULA(INDEX('Game Records'!$Y:$Y,$H207))),NOT(_xlfn.ISFORMULA(INDEX('Game Records'!$Z:$Z,$H207)))),"","")&amp;IF(INDEX('Game Records'!$B:$B,$H207)="","Start Date; ","")&amp;IF(INDEX('Game Records'!$C:$C,$H207)="","End Date; ","")&amp;IF(AND(INDEX('Game Records'!$U:$U,$H207)&lt;&gt;"Subscription",INDEX('Game Records'!$U:$U,$H207)&lt;&gt;"Free Game",INDEX('Game Records'!$U:$U,$H207)&lt;&gt;"Disqualified — Free Game",OR(INDEX('Game Records'!$D:$D,$H207)="",LOWER(INDEX('Game Records'!$D:$D,$H207)&amp;"")="n/a")),"Entry Mode; ","")&amp;IF(AND(INDEX('Game Records'!$U:$U,$H207)&lt;&gt;"Subscription",INDEX('Game Records'!$U:$U,$H207)&lt;&gt;"Free Game",INDEX('Game Records'!$U:$U,$H207)&lt;&gt;"Disqualified — Free Game",OR(INDEX('Game Records'!$E:$E,$H207)="",LOWER(INDEX('Game Records'!$E:$E,$H207)&amp;"")="n/a")),"Game Type; ","")&amp;IF(INDEX('Game Records'!$F:$F,$H207)="","Payment Type; ","")&amp;IF(AND(INDEX('Game Records'!$U:$U,$H207)&lt;&gt;"Subscription",INDEX('Game Records'!$U:$U,$H207)&lt;&gt;"Free Game",INDEX('Game Records'!$U:$U,$H207)&lt;&gt;"Disqualified — Free Game",INDEX('Game Records'!$G:$G,$H207)=""),"Gross Pot; ","")&amp;IF(AND(INDEX('Game Records'!$U:$U,$H207)&lt;&gt;"Free Game",INDEX('Game Records'!$U:$U,$H207)&lt;&gt;"Disqualified — Free Game",INDEX('Game Records'!$H:$H,$H207)=""),"Entry Fee; ","")&amp;IF(AND(INDEX('Game Records'!$U:$U,$H207)&lt;&gt;"Subscription",INDEX('Game Records'!$U:$U,$H207)&lt;&gt;"Free Game",INDEX('Game Records'!$U:$U,$H207)&lt;&gt;"Disqualified — Free Game",INDEX('Game Records'!$I:$I,$H207)=""),"Eligible Players; ","")&amp;IF(AND(INDEX('Game Records'!$U:$U,$H207)&lt;&gt;"Subscription",INDEX('Game Records'!$U:$U,$H207)&lt;&gt;"Free Game",INDEX('Game Records'!$U:$U,$H207)&lt;&gt;"Disqualified — Free Game",INDEX('Game Records'!$J:$J,$H207)=""),"Total Players; ","")&amp;IF(AND(LOWER(INDEX('Game Records'!$D:$D,$H207)&amp;"")="finalized",LOWER(INDEX('Game Records'!$L:$L,$H207)&amp;"")&lt;&gt;"yes",INDEX('Game Records'!$U:$U,$H207)&lt;&gt;"Subscription",INDEX('Game Records'!$U:$U,$H207)&lt;&gt;"Free Game",INDEX('Game Records'!$U:$U,$H207)&lt;&gt;"Disqualified — Free Game",INDEX('Game Records'!$K:$K,$H207)=""),"Final Payout; ","")&amp;IF(AND(LOWER(INDEX('Game Records'!$D:$D,$H207)&amp;"")="finalized",INDEX('Game Records'!$U:$U,$H207)&lt;&gt;"Subscription",INDEX('Game Records'!$U:$U,$H207)&lt;&gt;"Free Game",INDEX('Game Records'!$U:$U,$H207)&lt;&gt;"Disqualified — Free Game",OR(INDEX('Game Records'!$L:$L,$H207)="",LOWER(INDEX('Game Records'!$L:$L,$H207)&amp;"")="n/a")),"Disqualified Status; ",""))</f>
        <v/>
      </c>
      <c r="G207" s="23" t="str">
        <f t="array" ref="G207">IF($H207="","",IFERROR(INDEX('Game Records'!$M:$M,$H207),""))</f>
        <v/>
      </c>
      <c r="H207" s="3"/>
    </row>
    <row r="208" ht="24.0" customHeight="1">
      <c r="A208" s="18" t="str">
        <f t="shared" si="1"/>
        <v/>
      </c>
      <c r="B208" s="18" t="str">
        <f t="shared" si="2"/>
        <v/>
      </c>
      <c r="C208" s="23" t="str">
        <f t="array" ref="C208">IF($H208="","",IFERROR(INDEX('Game Records'!$A:$A,$H208),""))</f>
        <v/>
      </c>
      <c r="D208" s="23" t="str">
        <f t="array" ref="D208">IF($H208="","",IFERROR(INDEX('Game Records'!$U:$U,$H208),""))</f>
        <v/>
      </c>
      <c r="E208" s="23" t="str">
        <f t="array" ref="E208">IF($H208="","",LET(r,$H208,mode,LOWER(INDEX('Game Records'!$D:$D,r)&amp;""),endDate,INDEX('Game Records'!$C:$C,r),IF(mode="estimate",IF(endDate="","Estimate — End Date missing",IF(NOT(ISNUMBER(endDate)),"Estimate — Check End Date",IF(INT(endDate)&gt;=TODAY(),"In Progress — ends "&amp;TEXT(endDate,"mmm d, yyyy"),"Ready to Finalize"))),IF($F208="","No Highlighted Fields","Highlighted Fields Present"))))</f>
        <v/>
      </c>
      <c r="F208" s="23" t="str">
        <f t="array" ref="F208">IF($H208="","",IF(OR(NOT(_xlfn.ISFORMULA(INDEX('Game Records'!$N:$N,$H208))),NOT(_xlfn.ISFORMULA(INDEX('Game Records'!$O:$O,$H208))),NOT(_xlfn.ISFORMULA(INDEX('Game Records'!$P:$P,$H208))),NOT(_xlfn.ISFORMULA(INDEX('Game Records'!$Q:$Q,$H208))),NOT(_xlfn.ISFORMULA(INDEX('Game Records'!$R:$R,$H208))),NOT(_xlfn.ISFORMULA(INDEX('Game Records'!$S:$S,$H208))),NOT(_xlfn.ISFORMULA(INDEX('Game Records'!$T:$T,$H208))),NOT(_xlfn.ISFORMULA(INDEX('Game Records'!$U:$U,$H208))),NOT(_xlfn.ISFORMULA(INDEX('Game Records'!$V:$V,$H208))),NOT(_xlfn.ISFORMULA(INDEX('Game Records'!$W:$W,$H208))),NOT(_xlfn.ISFORMULA(INDEX('Game Records'!$X:$X,$H208))),NOT(_xlfn.ISFORMULA(INDEX('Game Records'!$Y:$Y,$H208))),NOT(_xlfn.ISFORMULA(INDEX('Game Records'!$Z:$Z,$H208)))),"","")&amp;IF(INDEX('Game Records'!$B:$B,$H208)="","Start Date; ","")&amp;IF(INDEX('Game Records'!$C:$C,$H208)="","End Date; ","")&amp;IF(AND(INDEX('Game Records'!$U:$U,$H208)&lt;&gt;"Subscription",INDEX('Game Records'!$U:$U,$H208)&lt;&gt;"Free Game",INDEX('Game Records'!$U:$U,$H208)&lt;&gt;"Disqualified — Free Game",OR(INDEX('Game Records'!$D:$D,$H208)="",LOWER(INDEX('Game Records'!$D:$D,$H208)&amp;"")="n/a")),"Entry Mode; ","")&amp;IF(AND(INDEX('Game Records'!$U:$U,$H208)&lt;&gt;"Subscription",INDEX('Game Records'!$U:$U,$H208)&lt;&gt;"Free Game",INDEX('Game Records'!$U:$U,$H208)&lt;&gt;"Disqualified — Free Game",OR(INDEX('Game Records'!$E:$E,$H208)="",LOWER(INDEX('Game Records'!$E:$E,$H208)&amp;"")="n/a")),"Game Type; ","")&amp;IF(INDEX('Game Records'!$F:$F,$H208)="","Payment Type; ","")&amp;IF(AND(INDEX('Game Records'!$U:$U,$H208)&lt;&gt;"Subscription",INDEX('Game Records'!$U:$U,$H208)&lt;&gt;"Free Game",INDEX('Game Records'!$U:$U,$H208)&lt;&gt;"Disqualified — Free Game",INDEX('Game Records'!$G:$G,$H208)=""),"Gross Pot; ","")&amp;IF(AND(INDEX('Game Records'!$U:$U,$H208)&lt;&gt;"Free Game",INDEX('Game Records'!$U:$U,$H208)&lt;&gt;"Disqualified — Free Game",INDEX('Game Records'!$H:$H,$H208)=""),"Entry Fee; ","")&amp;IF(AND(INDEX('Game Records'!$U:$U,$H208)&lt;&gt;"Subscription",INDEX('Game Records'!$U:$U,$H208)&lt;&gt;"Free Game",INDEX('Game Records'!$U:$U,$H208)&lt;&gt;"Disqualified — Free Game",INDEX('Game Records'!$I:$I,$H208)=""),"Eligible Players; ","")&amp;IF(AND(INDEX('Game Records'!$U:$U,$H208)&lt;&gt;"Subscription",INDEX('Game Records'!$U:$U,$H208)&lt;&gt;"Free Game",INDEX('Game Records'!$U:$U,$H208)&lt;&gt;"Disqualified — Free Game",INDEX('Game Records'!$J:$J,$H208)=""),"Total Players; ","")&amp;IF(AND(LOWER(INDEX('Game Records'!$D:$D,$H208)&amp;"")="finalized",LOWER(INDEX('Game Records'!$L:$L,$H208)&amp;"")&lt;&gt;"yes",INDEX('Game Records'!$U:$U,$H208)&lt;&gt;"Subscription",INDEX('Game Records'!$U:$U,$H208)&lt;&gt;"Free Game",INDEX('Game Records'!$U:$U,$H208)&lt;&gt;"Disqualified — Free Game",INDEX('Game Records'!$K:$K,$H208)=""),"Final Payout; ","")&amp;IF(AND(LOWER(INDEX('Game Records'!$D:$D,$H208)&amp;"")="finalized",INDEX('Game Records'!$U:$U,$H208)&lt;&gt;"Subscription",INDEX('Game Records'!$U:$U,$H208)&lt;&gt;"Free Game",INDEX('Game Records'!$U:$U,$H208)&lt;&gt;"Disqualified — Free Game",OR(INDEX('Game Records'!$L:$L,$H208)="",LOWER(INDEX('Game Records'!$L:$L,$H208)&amp;"")="n/a")),"Disqualified Status; ",""))</f>
        <v/>
      </c>
      <c r="G208" s="23" t="str">
        <f t="array" ref="G208">IF($H208="","",IFERROR(INDEX('Game Records'!$M:$M,$H208),""))</f>
        <v/>
      </c>
      <c r="H208" s="3"/>
    </row>
    <row r="209" ht="24.0" customHeight="1">
      <c r="A209" s="18" t="str">
        <f t="shared" si="1"/>
        <v/>
      </c>
      <c r="B209" s="18" t="str">
        <f t="shared" si="2"/>
        <v/>
      </c>
      <c r="C209" s="23" t="str">
        <f t="array" ref="C209">IF($H209="","",IFERROR(INDEX('Game Records'!$A:$A,$H209),""))</f>
        <v/>
      </c>
      <c r="D209" s="23" t="str">
        <f t="array" ref="D209">IF($H209="","",IFERROR(INDEX('Game Records'!$U:$U,$H209),""))</f>
        <v/>
      </c>
      <c r="E209" s="23" t="str">
        <f t="array" ref="E209">IF($H209="","",LET(r,$H209,mode,LOWER(INDEX('Game Records'!$D:$D,r)&amp;""),endDate,INDEX('Game Records'!$C:$C,r),IF(mode="estimate",IF(endDate="","Estimate — End Date missing",IF(NOT(ISNUMBER(endDate)),"Estimate — Check End Date",IF(INT(endDate)&gt;=TODAY(),"In Progress — ends "&amp;TEXT(endDate,"mmm d, yyyy"),"Ready to Finalize"))),IF($F209="","No Highlighted Fields","Highlighted Fields Present"))))</f>
        <v/>
      </c>
      <c r="F209" s="23" t="str">
        <f t="array" ref="F209">IF($H209="","",IF(OR(NOT(_xlfn.ISFORMULA(INDEX('Game Records'!$N:$N,$H209))),NOT(_xlfn.ISFORMULA(INDEX('Game Records'!$O:$O,$H209))),NOT(_xlfn.ISFORMULA(INDEX('Game Records'!$P:$P,$H209))),NOT(_xlfn.ISFORMULA(INDEX('Game Records'!$Q:$Q,$H209))),NOT(_xlfn.ISFORMULA(INDEX('Game Records'!$R:$R,$H209))),NOT(_xlfn.ISFORMULA(INDEX('Game Records'!$S:$S,$H209))),NOT(_xlfn.ISFORMULA(INDEX('Game Records'!$T:$T,$H209))),NOT(_xlfn.ISFORMULA(INDEX('Game Records'!$U:$U,$H209))),NOT(_xlfn.ISFORMULA(INDEX('Game Records'!$V:$V,$H209))),NOT(_xlfn.ISFORMULA(INDEX('Game Records'!$W:$W,$H209))),NOT(_xlfn.ISFORMULA(INDEX('Game Records'!$X:$X,$H209))),NOT(_xlfn.ISFORMULA(INDEX('Game Records'!$Y:$Y,$H209))),NOT(_xlfn.ISFORMULA(INDEX('Game Records'!$Z:$Z,$H209)))),"","")&amp;IF(INDEX('Game Records'!$B:$B,$H209)="","Start Date; ","")&amp;IF(INDEX('Game Records'!$C:$C,$H209)="","End Date; ","")&amp;IF(AND(INDEX('Game Records'!$U:$U,$H209)&lt;&gt;"Subscription",INDEX('Game Records'!$U:$U,$H209)&lt;&gt;"Free Game",INDEX('Game Records'!$U:$U,$H209)&lt;&gt;"Disqualified — Free Game",OR(INDEX('Game Records'!$D:$D,$H209)="",LOWER(INDEX('Game Records'!$D:$D,$H209)&amp;"")="n/a")),"Entry Mode; ","")&amp;IF(AND(INDEX('Game Records'!$U:$U,$H209)&lt;&gt;"Subscription",INDEX('Game Records'!$U:$U,$H209)&lt;&gt;"Free Game",INDEX('Game Records'!$U:$U,$H209)&lt;&gt;"Disqualified — Free Game",OR(INDEX('Game Records'!$E:$E,$H209)="",LOWER(INDEX('Game Records'!$E:$E,$H209)&amp;"")="n/a")),"Game Type; ","")&amp;IF(INDEX('Game Records'!$F:$F,$H209)="","Payment Type; ","")&amp;IF(AND(INDEX('Game Records'!$U:$U,$H209)&lt;&gt;"Subscription",INDEX('Game Records'!$U:$U,$H209)&lt;&gt;"Free Game",INDEX('Game Records'!$U:$U,$H209)&lt;&gt;"Disqualified — Free Game",INDEX('Game Records'!$G:$G,$H209)=""),"Gross Pot; ","")&amp;IF(AND(INDEX('Game Records'!$U:$U,$H209)&lt;&gt;"Free Game",INDEX('Game Records'!$U:$U,$H209)&lt;&gt;"Disqualified — Free Game",INDEX('Game Records'!$H:$H,$H209)=""),"Entry Fee; ","")&amp;IF(AND(INDEX('Game Records'!$U:$U,$H209)&lt;&gt;"Subscription",INDEX('Game Records'!$U:$U,$H209)&lt;&gt;"Free Game",INDEX('Game Records'!$U:$U,$H209)&lt;&gt;"Disqualified — Free Game",INDEX('Game Records'!$I:$I,$H209)=""),"Eligible Players; ","")&amp;IF(AND(INDEX('Game Records'!$U:$U,$H209)&lt;&gt;"Subscription",INDEX('Game Records'!$U:$U,$H209)&lt;&gt;"Free Game",INDEX('Game Records'!$U:$U,$H209)&lt;&gt;"Disqualified — Free Game",INDEX('Game Records'!$J:$J,$H209)=""),"Total Players; ","")&amp;IF(AND(LOWER(INDEX('Game Records'!$D:$D,$H209)&amp;"")="finalized",LOWER(INDEX('Game Records'!$L:$L,$H209)&amp;"")&lt;&gt;"yes",INDEX('Game Records'!$U:$U,$H209)&lt;&gt;"Subscription",INDEX('Game Records'!$U:$U,$H209)&lt;&gt;"Free Game",INDEX('Game Records'!$U:$U,$H209)&lt;&gt;"Disqualified — Free Game",INDEX('Game Records'!$K:$K,$H209)=""),"Final Payout; ","")&amp;IF(AND(LOWER(INDEX('Game Records'!$D:$D,$H209)&amp;"")="finalized",INDEX('Game Records'!$U:$U,$H209)&lt;&gt;"Subscription",INDEX('Game Records'!$U:$U,$H209)&lt;&gt;"Free Game",INDEX('Game Records'!$U:$U,$H209)&lt;&gt;"Disqualified — Free Game",OR(INDEX('Game Records'!$L:$L,$H209)="",LOWER(INDEX('Game Records'!$L:$L,$H209)&amp;"")="n/a")),"Disqualified Status; ",""))</f>
        <v/>
      </c>
      <c r="G209" s="23" t="str">
        <f t="array" ref="G209">IF($H209="","",IFERROR(INDEX('Game Records'!$M:$M,$H209),""))</f>
        <v/>
      </c>
      <c r="H209" s="3"/>
    </row>
    <row r="210" ht="24.0" customHeight="1">
      <c r="A210" s="18" t="str">
        <f t="shared" si="1"/>
        <v/>
      </c>
      <c r="B210" s="18" t="str">
        <f t="shared" si="2"/>
        <v/>
      </c>
      <c r="C210" s="23" t="str">
        <f t="array" ref="C210">IF($H210="","",IFERROR(INDEX('Game Records'!$A:$A,$H210),""))</f>
        <v/>
      </c>
      <c r="D210" s="23" t="str">
        <f t="array" ref="D210">IF($H210="","",IFERROR(INDEX('Game Records'!$U:$U,$H210),""))</f>
        <v/>
      </c>
      <c r="E210" s="23" t="str">
        <f t="array" ref="E210">IF($H210="","",LET(r,$H210,mode,LOWER(INDEX('Game Records'!$D:$D,r)&amp;""),endDate,INDEX('Game Records'!$C:$C,r),IF(mode="estimate",IF(endDate="","Estimate — End Date missing",IF(NOT(ISNUMBER(endDate)),"Estimate — Check End Date",IF(INT(endDate)&gt;=TODAY(),"In Progress — ends "&amp;TEXT(endDate,"mmm d, yyyy"),"Ready to Finalize"))),IF($F210="","No Highlighted Fields","Highlighted Fields Present"))))</f>
        <v/>
      </c>
      <c r="F210" s="23" t="str">
        <f t="array" ref="F210">IF($H210="","",IF(OR(NOT(_xlfn.ISFORMULA(INDEX('Game Records'!$N:$N,$H210))),NOT(_xlfn.ISFORMULA(INDEX('Game Records'!$O:$O,$H210))),NOT(_xlfn.ISFORMULA(INDEX('Game Records'!$P:$P,$H210))),NOT(_xlfn.ISFORMULA(INDEX('Game Records'!$Q:$Q,$H210))),NOT(_xlfn.ISFORMULA(INDEX('Game Records'!$R:$R,$H210))),NOT(_xlfn.ISFORMULA(INDEX('Game Records'!$S:$S,$H210))),NOT(_xlfn.ISFORMULA(INDEX('Game Records'!$T:$T,$H210))),NOT(_xlfn.ISFORMULA(INDEX('Game Records'!$U:$U,$H210))),NOT(_xlfn.ISFORMULA(INDEX('Game Records'!$V:$V,$H210))),NOT(_xlfn.ISFORMULA(INDEX('Game Records'!$W:$W,$H210))),NOT(_xlfn.ISFORMULA(INDEX('Game Records'!$X:$X,$H210))),NOT(_xlfn.ISFORMULA(INDEX('Game Records'!$Y:$Y,$H210))),NOT(_xlfn.ISFORMULA(INDEX('Game Records'!$Z:$Z,$H210)))),"","")&amp;IF(INDEX('Game Records'!$B:$B,$H210)="","Start Date; ","")&amp;IF(INDEX('Game Records'!$C:$C,$H210)="","End Date; ","")&amp;IF(AND(INDEX('Game Records'!$U:$U,$H210)&lt;&gt;"Subscription",INDEX('Game Records'!$U:$U,$H210)&lt;&gt;"Free Game",INDEX('Game Records'!$U:$U,$H210)&lt;&gt;"Disqualified — Free Game",OR(INDEX('Game Records'!$D:$D,$H210)="",LOWER(INDEX('Game Records'!$D:$D,$H210)&amp;"")="n/a")),"Entry Mode; ","")&amp;IF(AND(INDEX('Game Records'!$U:$U,$H210)&lt;&gt;"Subscription",INDEX('Game Records'!$U:$U,$H210)&lt;&gt;"Free Game",INDEX('Game Records'!$U:$U,$H210)&lt;&gt;"Disqualified — Free Game",OR(INDEX('Game Records'!$E:$E,$H210)="",LOWER(INDEX('Game Records'!$E:$E,$H210)&amp;"")="n/a")),"Game Type; ","")&amp;IF(INDEX('Game Records'!$F:$F,$H210)="","Payment Type; ","")&amp;IF(AND(INDEX('Game Records'!$U:$U,$H210)&lt;&gt;"Subscription",INDEX('Game Records'!$U:$U,$H210)&lt;&gt;"Free Game",INDEX('Game Records'!$U:$U,$H210)&lt;&gt;"Disqualified — Free Game",INDEX('Game Records'!$G:$G,$H210)=""),"Gross Pot; ","")&amp;IF(AND(INDEX('Game Records'!$U:$U,$H210)&lt;&gt;"Free Game",INDEX('Game Records'!$U:$U,$H210)&lt;&gt;"Disqualified — Free Game",INDEX('Game Records'!$H:$H,$H210)=""),"Entry Fee; ","")&amp;IF(AND(INDEX('Game Records'!$U:$U,$H210)&lt;&gt;"Subscription",INDEX('Game Records'!$U:$U,$H210)&lt;&gt;"Free Game",INDEX('Game Records'!$U:$U,$H210)&lt;&gt;"Disqualified — Free Game",INDEX('Game Records'!$I:$I,$H210)=""),"Eligible Players; ","")&amp;IF(AND(INDEX('Game Records'!$U:$U,$H210)&lt;&gt;"Subscription",INDEX('Game Records'!$U:$U,$H210)&lt;&gt;"Free Game",INDEX('Game Records'!$U:$U,$H210)&lt;&gt;"Disqualified — Free Game",INDEX('Game Records'!$J:$J,$H210)=""),"Total Players; ","")&amp;IF(AND(LOWER(INDEX('Game Records'!$D:$D,$H210)&amp;"")="finalized",LOWER(INDEX('Game Records'!$L:$L,$H210)&amp;"")&lt;&gt;"yes",INDEX('Game Records'!$U:$U,$H210)&lt;&gt;"Subscription",INDEX('Game Records'!$U:$U,$H210)&lt;&gt;"Free Game",INDEX('Game Records'!$U:$U,$H210)&lt;&gt;"Disqualified — Free Game",INDEX('Game Records'!$K:$K,$H210)=""),"Final Payout; ","")&amp;IF(AND(LOWER(INDEX('Game Records'!$D:$D,$H210)&amp;"")="finalized",INDEX('Game Records'!$U:$U,$H210)&lt;&gt;"Subscription",INDEX('Game Records'!$U:$U,$H210)&lt;&gt;"Free Game",INDEX('Game Records'!$U:$U,$H210)&lt;&gt;"Disqualified — Free Game",OR(INDEX('Game Records'!$L:$L,$H210)="",LOWER(INDEX('Game Records'!$L:$L,$H210)&amp;"")="n/a")),"Disqualified Status; ",""))</f>
        <v/>
      </c>
      <c r="G210" s="23" t="str">
        <f t="array" ref="G210">IF($H210="","",IFERROR(INDEX('Game Records'!$M:$M,$H210),""))</f>
        <v/>
      </c>
      <c r="H210" s="3"/>
    </row>
    <row r="211" ht="24.0" customHeight="1">
      <c r="A211" s="18" t="str">
        <f t="shared" si="1"/>
        <v/>
      </c>
      <c r="B211" s="18" t="str">
        <f t="shared" si="2"/>
        <v/>
      </c>
      <c r="C211" s="23" t="str">
        <f t="array" ref="C211">IF($H211="","",IFERROR(INDEX('Game Records'!$A:$A,$H211),""))</f>
        <v/>
      </c>
      <c r="D211" s="23" t="str">
        <f t="array" ref="D211">IF($H211="","",IFERROR(INDEX('Game Records'!$U:$U,$H211),""))</f>
        <v/>
      </c>
      <c r="E211" s="23" t="str">
        <f t="array" ref="E211">IF($H211="","",LET(r,$H211,mode,LOWER(INDEX('Game Records'!$D:$D,r)&amp;""),endDate,INDEX('Game Records'!$C:$C,r),IF(mode="estimate",IF(endDate="","Estimate — End Date missing",IF(NOT(ISNUMBER(endDate)),"Estimate — Check End Date",IF(INT(endDate)&gt;=TODAY(),"In Progress — ends "&amp;TEXT(endDate,"mmm d, yyyy"),"Ready to Finalize"))),IF($F211="","No Highlighted Fields","Highlighted Fields Present"))))</f>
        <v/>
      </c>
      <c r="F211" s="23" t="str">
        <f t="array" ref="F211">IF($H211="","",IF(OR(NOT(_xlfn.ISFORMULA(INDEX('Game Records'!$N:$N,$H211))),NOT(_xlfn.ISFORMULA(INDEX('Game Records'!$O:$O,$H211))),NOT(_xlfn.ISFORMULA(INDEX('Game Records'!$P:$P,$H211))),NOT(_xlfn.ISFORMULA(INDEX('Game Records'!$Q:$Q,$H211))),NOT(_xlfn.ISFORMULA(INDEX('Game Records'!$R:$R,$H211))),NOT(_xlfn.ISFORMULA(INDEX('Game Records'!$S:$S,$H211))),NOT(_xlfn.ISFORMULA(INDEX('Game Records'!$T:$T,$H211))),NOT(_xlfn.ISFORMULA(INDEX('Game Records'!$U:$U,$H211))),NOT(_xlfn.ISFORMULA(INDEX('Game Records'!$V:$V,$H211))),NOT(_xlfn.ISFORMULA(INDEX('Game Records'!$W:$W,$H211))),NOT(_xlfn.ISFORMULA(INDEX('Game Records'!$X:$X,$H211))),NOT(_xlfn.ISFORMULA(INDEX('Game Records'!$Y:$Y,$H211))),NOT(_xlfn.ISFORMULA(INDEX('Game Records'!$Z:$Z,$H211)))),"","")&amp;IF(INDEX('Game Records'!$B:$B,$H211)="","Start Date; ","")&amp;IF(INDEX('Game Records'!$C:$C,$H211)="","End Date; ","")&amp;IF(AND(INDEX('Game Records'!$U:$U,$H211)&lt;&gt;"Subscription",INDEX('Game Records'!$U:$U,$H211)&lt;&gt;"Free Game",INDEX('Game Records'!$U:$U,$H211)&lt;&gt;"Disqualified — Free Game",OR(INDEX('Game Records'!$D:$D,$H211)="",LOWER(INDEX('Game Records'!$D:$D,$H211)&amp;"")="n/a")),"Entry Mode; ","")&amp;IF(AND(INDEX('Game Records'!$U:$U,$H211)&lt;&gt;"Subscription",INDEX('Game Records'!$U:$U,$H211)&lt;&gt;"Free Game",INDEX('Game Records'!$U:$U,$H211)&lt;&gt;"Disqualified — Free Game",OR(INDEX('Game Records'!$E:$E,$H211)="",LOWER(INDEX('Game Records'!$E:$E,$H211)&amp;"")="n/a")),"Game Type; ","")&amp;IF(INDEX('Game Records'!$F:$F,$H211)="","Payment Type; ","")&amp;IF(AND(INDEX('Game Records'!$U:$U,$H211)&lt;&gt;"Subscription",INDEX('Game Records'!$U:$U,$H211)&lt;&gt;"Free Game",INDEX('Game Records'!$U:$U,$H211)&lt;&gt;"Disqualified — Free Game",INDEX('Game Records'!$G:$G,$H211)=""),"Gross Pot; ","")&amp;IF(AND(INDEX('Game Records'!$U:$U,$H211)&lt;&gt;"Free Game",INDEX('Game Records'!$U:$U,$H211)&lt;&gt;"Disqualified — Free Game",INDEX('Game Records'!$H:$H,$H211)=""),"Entry Fee; ","")&amp;IF(AND(INDEX('Game Records'!$U:$U,$H211)&lt;&gt;"Subscription",INDEX('Game Records'!$U:$U,$H211)&lt;&gt;"Free Game",INDEX('Game Records'!$U:$U,$H211)&lt;&gt;"Disqualified — Free Game",INDEX('Game Records'!$I:$I,$H211)=""),"Eligible Players; ","")&amp;IF(AND(INDEX('Game Records'!$U:$U,$H211)&lt;&gt;"Subscription",INDEX('Game Records'!$U:$U,$H211)&lt;&gt;"Free Game",INDEX('Game Records'!$U:$U,$H211)&lt;&gt;"Disqualified — Free Game",INDEX('Game Records'!$J:$J,$H211)=""),"Total Players; ","")&amp;IF(AND(LOWER(INDEX('Game Records'!$D:$D,$H211)&amp;"")="finalized",LOWER(INDEX('Game Records'!$L:$L,$H211)&amp;"")&lt;&gt;"yes",INDEX('Game Records'!$U:$U,$H211)&lt;&gt;"Subscription",INDEX('Game Records'!$U:$U,$H211)&lt;&gt;"Free Game",INDEX('Game Records'!$U:$U,$H211)&lt;&gt;"Disqualified — Free Game",INDEX('Game Records'!$K:$K,$H211)=""),"Final Payout; ","")&amp;IF(AND(LOWER(INDEX('Game Records'!$D:$D,$H211)&amp;"")="finalized",INDEX('Game Records'!$U:$U,$H211)&lt;&gt;"Subscription",INDEX('Game Records'!$U:$U,$H211)&lt;&gt;"Free Game",INDEX('Game Records'!$U:$U,$H211)&lt;&gt;"Disqualified — Free Game",OR(INDEX('Game Records'!$L:$L,$H211)="",LOWER(INDEX('Game Records'!$L:$L,$H211)&amp;"")="n/a")),"Disqualified Status; ",""))</f>
        <v/>
      </c>
      <c r="G211" s="23" t="str">
        <f t="array" ref="G211">IF($H211="","",IFERROR(INDEX('Game Records'!$M:$M,$H211),""))</f>
        <v/>
      </c>
      <c r="H211" s="3"/>
    </row>
    <row r="212" ht="24.0" customHeight="1">
      <c r="A212" s="18" t="str">
        <f t="shared" si="1"/>
        <v/>
      </c>
      <c r="B212" s="18" t="str">
        <f t="shared" si="2"/>
        <v/>
      </c>
      <c r="C212" s="23" t="str">
        <f t="array" ref="C212">IF($H212="","",IFERROR(INDEX('Game Records'!$A:$A,$H212),""))</f>
        <v/>
      </c>
      <c r="D212" s="23" t="str">
        <f t="array" ref="D212">IF($H212="","",IFERROR(INDEX('Game Records'!$U:$U,$H212),""))</f>
        <v/>
      </c>
      <c r="E212" s="23" t="str">
        <f t="array" ref="E212">IF($H212="","",LET(r,$H212,mode,LOWER(INDEX('Game Records'!$D:$D,r)&amp;""),endDate,INDEX('Game Records'!$C:$C,r),IF(mode="estimate",IF(endDate="","Estimate — End Date missing",IF(NOT(ISNUMBER(endDate)),"Estimate — Check End Date",IF(INT(endDate)&gt;=TODAY(),"In Progress — ends "&amp;TEXT(endDate,"mmm d, yyyy"),"Ready to Finalize"))),IF($F212="","No Highlighted Fields","Highlighted Fields Present"))))</f>
        <v/>
      </c>
      <c r="F212" s="23" t="str">
        <f t="array" ref="F212">IF($H212="","",IF(OR(NOT(_xlfn.ISFORMULA(INDEX('Game Records'!$N:$N,$H212))),NOT(_xlfn.ISFORMULA(INDEX('Game Records'!$O:$O,$H212))),NOT(_xlfn.ISFORMULA(INDEX('Game Records'!$P:$P,$H212))),NOT(_xlfn.ISFORMULA(INDEX('Game Records'!$Q:$Q,$H212))),NOT(_xlfn.ISFORMULA(INDEX('Game Records'!$R:$R,$H212))),NOT(_xlfn.ISFORMULA(INDEX('Game Records'!$S:$S,$H212))),NOT(_xlfn.ISFORMULA(INDEX('Game Records'!$T:$T,$H212))),NOT(_xlfn.ISFORMULA(INDEX('Game Records'!$U:$U,$H212))),NOT(_xlfn.ISFORMULA(INDEX('Game Records'!$V:$V,$H212))),NOT(_xlfn.ISFORMULA(INDEX('Game Records'!$W:$W,$H212))),NOT(_xlfn.ISFORMULA(INDEX('Game Records'!$X:$X,$H212))),NOT(_xlfn.ISFORMULA(INDEX('Game Records'!$Y:$Y,$H212))),NOT(_xlfn.ISFORMULA(INDEX('Game Records'!$Z:$Z,$H212)))),"","")&amp;IF(INDEX('Game Records'!$B:$B,$H212)="","Start Date; ","")&amp;IF(INDEX('Game Records'!$C:$C,$H212)="","End Date; ","")&amp;IF(AND(INDEX('Game Records'!$U:$U,$H212)&lt;&gt;"Subscription",INDEX('Game Records'!$U:$U,$H212)&lt;&gt;"Free Game",INDEX('Game Records'!$U:$U,$H212)&lt;&gt;"Disqualified — Free Game",OR(INDEX('Game Records'!$D:$D,$H212)="",LOWER(INDEX('Game Records'!$D:$D,$H212)&amp;"")="n/a")),"Entry Mode; ","")&amp;IF(AND(INDEX('Game Records'!$U:$U,$H212)&lt;&gt;"Subscription",INDEX('Game Records'!$U:$U,$H212)&lt;&gt;"Free Game",INDEX('Game Records'!$U:$U,$H212)&lt;&gt;"Disqualified — Free Game",OR(INDEX('Game Records'!$E:$E,$H212)="",LOWER(INDEX('Game Records'!$E:$E,$H212)&amp;"")="n/a")),"Game Type; ","")&amp;IF(INDEX('Game Records'!$F:$F,$H212)="","Payment Type; ","")&amp;IF(AND(INDEX('Game Records'!$U:$U,$H212)&lt;&gt;"Subscription",INDEX('Game Records'!$U:$U,$H212)&lt;&gt;"Free Game",INDEX('Game Records'!$U:$U,$H212)&lt;&gt;"Disqualified — Free Game",INDEX('Game Records'!$G:$G,$H212)=""),"Gross Pot; ","")&amp;IF(AND(INDEX('Game Records'!$U:$U,$H212)&lt;&gt;"Free Game",INDEX('Game Records'!$U:$U,$H212)&lt;&gt;"Disqualified — Free Game",INDEX('Game Records'!$H:$H,$H212)=""),"Entry Fee; ","")&amp;IF(AND(INDEX('Game Records'!$U:$U,$H212)&lt;&gt;"Subscription",INDEX('Game Records'!$U:$U,$H212)&lt;&gt;"Free Game",INDEX('Game Records'!$U:$U,$H212)&lt;&gt;"Disqualified — Free Game",INDEX('Game Records'!$I:$I,$H212)=""),"Eligible Players; ","")&amp;IF(AND(INDEX('Game Records'!$U:$U,$H212)&lt;&gt;"Subscription",INDEX('Game Records'!$U:$U,$H212)&lt;&gt;"Free Game",INDEX('Game Records'!$U:$U,$H212)&lt;&gt;"Disqualified — Free Game",INDEX('Game Records'!$J:$J,$H212)=""),"Total Players; ","")&amp;IF(AND(LOWER(INDEX('Game Records'!$D:$D,$H212)&amp;"")="finalized",LOWER(INDEX('Game Records'!$L:$L,$H212)&amp;"")&lt;&gt;"yes",INDEX('Game Records'!$U:$U,$H212)&lt;&gt;"Subscription",INDEX('Game Records'!$U:$U,$H212)&lt;&gt;"Free Game",INDEX('Game Records'!$U:$U,$H212)&lt;&gt;"Disqualified — Free Game",INDEX('Game Records'!$K:$K,$H212)=""),"Final Payout; ","")&amp;IF(AND(LOWER(INDEX('Game Records'!$D:$D,$H212)&amp;"")="finalized",INDEX('Game Records'!$U:$U,$H212)&lt;&gt;"Subscription",INDEX('Game Records'!$U:$U,$H212)&lt;&gt;"Free Game",INDEX('Game Records'!$U:$U,$H212)&lt;&gt;"Disqualified — Free Game",OR(INDEX('Game Records'!$L:$L,$H212)="",LOWER(INDEX('Game Records'!$L:$L,$H212)&amp;"")="n/a")),"Disqualified Status; ",""))</f>
        <v/>
      </c>
      <c r="G212" s="23" t="str">
        <f t="array" ref="G212">IF($H212="","",IFERROR(INDEX('Game Records'!$M:$M,$H212),""))</f>
        <v/>
      </c>
      <c r="H212" s="3"/>
    </row>
    <row r="213" ht="24.0" customHeight="1">
      <c r="A213" s="18" t="str">
        <f t="shared" si="1"/>
        <v/>
      </c>
      <c r="B213" s="18" t="str">
        <f t="shared" si="2"/>
        <v/>
      </c>
      <c r="C213" s="23" t="str">
        <f t="array" ref="C213">IF($H213="","",IFERROR(INDEX('Game Records'!$A:$A,$H213),""))</f>
        <v/>
      </c>
      <c r="D213" s="23" t="str">
        <f t="array" ref="D213">IF($H213="","",IFERROR(INDEX('Game Records'!$U:$U,$H213),""))</f>
        <v/>
      </c>
      <c r="E213" s="23" t="str">
        <f t="array" ref="E213">IF($H213="","",LET(r,$H213,mode,LOWER(INDEX('Game Records'!$D:$D,r)&amp;""),endDate,INDEX('Game Records'!$C:$C,r),IF(mode="estimate",IF(endDate="","Estimate — End Date missing",IF(NOT(ISNUMBER(endDate)),"Estimate — Check End Date",IF(INT(endDate)&gt;=TODAY(),"In Progress — ends "&amp;TEXT(endDate,"mmm d, yyyy"),"Ready to Finalize"))),IF($F213="","No Highlighted Fields","Highlighted Fields Present"))))</f>
        <v/>
      </c>
      <c r="F213" s="23" t="str">
        <f t="array" ref="F213">IF($H213="","",IF(OR(NOT(_xlfn.ISFORMULA(INDEX('Game Records'!$N:$N,$H213))),NOT(_xlfn.ISFORMULA(INDEX('Game Records'!$O:$O,$H213))),NOT(_xlfn.ISFORMULA(INDEX('Game Records'!$P:$P,$H213))),NOT(_xlfn.ISFORMULA(INDEX('Game Records'!$Q:$Q,$H213))),NOT(_xlfn.ISFORMULA(INDEX('Game Records'!$R:$R,$H213))),NOT(_xlfn.ISFORMULA(INDEX('Game Records'!$S:$S,$H213))),NOT(_xlfn.ISFORMULA(INDEX('Game Records'!$T:$T,$H213))),NOT(_xlfn.ISFORMULA(INDEX('Game Records'!$U:$U,$H213))),NOT(_xlfn.ISFORMULA(INDEX('Game Records'!$V:$V,$H213))),NOT(_xlfn.ISFORMULA(INDEX('Game Records'!$W:$W,$H213))),NOT(_xlfn.ISFORMULA(INDEX('Game Records'!$X:$X,$H213))),NOT(_xlfn.ISFORMULA(INDEX('Game Records'!$Y:$Y,$H213))),NOT(_xlfn.ISFORMULA(INDEX('Game Records'!$Z:$Z,$H213)))),"","")&amp;IF(INDEX('Game Records'!$B:$B,$H213)="","Start Date; ","")&amp;IF(INDEX('Game Records'!$C:$C,$H213)="","End Date; ","")&amp;IF(AND(INDEX('Game Records'!$U:$U,$H213)&lt;&gt;"Subscription",INDEX('Game Records'!$U:$U,$H213)&lt;&gt;"Free Game",INDEX('Game Records'!$U:$U,$H213)&lt;&gt;"Disqualified — Free Game",OR(INDEX('Game Records'!$D:$D,$H213)="",LOWER(INDEX('Game Records'!$D:$D,$H213)&amp;"")="n/a")),"Entry Mode; ","")&amp;IF(AND(INDEX('Game Records'!$U:$U,$H213)&lt;&gt;"Subscription",INDEX('Game Records'!$U:$U,$H213)&lt;&gt;"Free Game",INDEX('Game Records'!$U:$U,$H213)&lt;&gt;"Disqualified — Free Game",OR(INDEX('Game Records'!$E:$E,$H213)="",LOWER(INDEX('Game Records'!$E:$E,$H213)&amp;"")="n/a")),"Game Type; ","")&amp;IF(INDEX('Game Records'!$F:$F,$H213)="","Payment Type; ","")&amp;IF(AND(INDEX('Game Records'!$U:$U,$H213)&lt;&gt;"Subscription",INDEX('Game Records'!$U:$U,$H213)&lt;&gt;"Free Game",INDEX('Game Records'!$U:$U,$H213)&lt;&gt;"Disqualified — Free Game",INDEX('Game Records'!$G:$G,$H213)=""),"Gross Pot; ","")&amp;IF(AND(INDEX('Game Records'!$U:$U,$H213)&lt;&gt;"Free Game",INDEX('Game Records'!$U:$U,$H213)&lt;&gt;"Disqualified — Free Game",INDEX('Game Records'!$H:$H,$H213)=""),"Entry Fee; ","")&amp;IF(AND(INDEX('Game Records'!$U:$U,$H213)&lt;&gt;"Subscription",INDEX('Game Records'!$U:$U,$H213)&lt;&gt;"Free Game",INDEX('Game Records'!$U:$U,$H213)&lt;&gt;"Disqualified — Free Game",INDEX('Game Records'!$I:$I,$H213)=""),"Eligible Players; ","")&amp;IF(AND(INDEX('Game Records'!$U:$U,$H213)&lt;&gt;"Subscription",INDEX('Game Records'!$U:$U,$H213)&lt;&gt;"Free Game",INDEX('Game Records'!$U:$U,$H213)&lt;&gt;"Disqualified — Free Game",INDEX('Game Records'!$J:$J,$H213)=""),"Total Players; ","")&amp;IF(AND(LOWER(INDEX('Game Records'!$D:$D,$H213)&amp;"")="finalized",LOWER(INDEX('Game Records'!$L:$L,$H213)&amp;"")&lt;&gt;"yes",INDEX('Game Records'!$U:$U,$H213)&lt;&gt;"Subscription",INDEX('Game Records'!$U:$U,$H213)&lt;&gt;"Free Game",INDEX('Game Records'!$U:$U,$H213)&lt;&gt;"Disqualified — Free Game",INDEX('Game Records'!$K:$K,$H213)=""),"Final Payout; ","")&amp;IF(AND(LOWER(INDEX('Game Records'!$D:$D,$H213)&amp;"")="finalized",INDEX('Game Records'!$U:$U,$H213)&lt;&gt;"Subscription",INDEX('Game Records'!$U:$U,$H213)&lt;&gt;"Free Game",INDEX('Game Records'!$U:$U,$H213)&lt;&gt;"Disqualified — Free Game",OR(INDEX('Game Records'!$L:$L,$H213)="",LOWER(INDEX('Game Records'!$L:$L,$H213)&amp;"")="n/a")),"Disqualified Status; ",""))</f>
        <v/>
      </c>
      <c r="G213" s="23" t="str">
        <f t="array" ref="G213">IF($H213="","",IFERROR(INDEX('Game Records'!$M:$M,$H213),""))</f>
        <v/>
      </c>
      <c r="H213" s="3"/>
    </row>
    <row r="214" ht="24.0" customHeight="1">
      <c r="A214" s="18" t="str">
        <f t="shared" si="1"/>
        <v/>
      </c>
      <c r="B214" s="18" t="str">
        <f t="shared" si="2"/>
        <v/>
      </c>
      <c r="C214" s="23" t="str">
        <f t="array" ref="C214">IF($H214="","",IFERROR(INDEX('Game Records'!$A:$A,$H214),""))</f>
        <v/>
      </c>
      <c r="D214" s="23" t="str">
        <f t="array" ref="D214">IF($H214="","",IFERROR(INDEX('Game Records'!$U:$U,$H214),""))</f>
        <v/>
      </c>
      <c r="E214" s="23" t="str">
        <f t="array" ref="E214">IF($H214="","",LET(r,$H214,mode,LOWER(INDEX('Game Records'!$D:$D,r)&amp;""),endDate,INDEX('Game Records'!$C:$C,r),IF(mode="estimate",IF(endDate="","Estimate — End Date missing",IF(NOT(ISNUMBER(endDate)),"Estimate — Check End Date",IF(INT(endDate)&gt;=TODAY(),"In Progress — ends "&amp;TEXT(endDate,"mmm d, yyyy"),"Ready to Finalize"))),IF($F214="","No Highlighted Fields","Highlighted Fields Present"))))</f>
        <v/>
      </c>
      <c r="F214" s="23" t="str">
        <f t="array" ref="F214">IF($H214="","",IF(OR(NOT(_xlfn.ISFORMULA(INDEX('Game Records'!$N:$N,$H214))),NOT(_xlfn.ISFORMULA(INDEX('Game Records'!$O:$O,$H214))),NOT(_xlfn.ISFORMULA(INDEX('Game Records'!$P:$P,$H214))),NOT(_xlfn.ISFORMULA(INDEX('Game Records'!$Q:$Q,$H214))),NOT(_xlfn.ISFORMULA(INDEX('Game Records'!$R:$R,$H214))),NOT(_xlfn.ISFORMULA(INDEX('Game Records'!$S:$S,$H214))),NOT(_xlfn.ISFORMULA(INDEX('Game Records'!$T:$T,$H214))),NOT(_xlfn.ISFORMULA(INDEX('Game Records'!$U:$U,$H214))),NOT(_xlfn.ISFORMULA(INDEX('Game Records'!$V:$V,$H214))),NOT(_xlfn.ISFORMULA(INDEX('Game Records'!$W:$W,$H214))),NOT(_xlfn.ISFORMULA(INDEX('Game Records'!$X:$X,$H214))),NOT(_xlfn.ISFORMULA(INDEX('Game Records'!$Y:$Y,$H214))),NOT(_xlfn.ISFORMULA(INDEX('Game Records'!$Z:$Z,$H214)))),"","")&amp;IF(INDEX('Game Records'!$B:$B,$H214)="","Start Date; ","")&amp;IF(INDEX('Game Records'!$C:$C,$H214)="","End Date; ","")&amp;IF(AND(INDEX('Game Records'!$U:$U,$H214)&lt;&gt;"Subscription",INDEX('Game Records'!$U:$U,$H214)&lt;&gt;"Free Game",INDEX('Game Records'!$U:$U,$H214)&lt;&gt;"Disqualified — Free Game",OR(INDEX('Game Records'!$D:$D,$H214)="",LOWER(INDEX('Game Records'!$D:$D,$H214)&amp;"")="n/a")),"Entry Mode; ","")&amp;IF(AND(INDEX('Game Records'!$U:$U,$H214)&lt;&gt;"Subscription",INDEX('Game Records'!$U:$U,$H214)&lt;&gt;"Free Game",INDEX('Game Records'!$U:$U,$H214)&lt;&gt;"Disqualified — Free Game",OR(INDEX('Game Records'!$E:$E,$H214)="",LOWER(INDEX('Game Records'!$E:$E,$H214)&amp;"")="n/a")),"Game Type; ","")&amp;IF(INDEX('Game Records'!$F:$F,$H214)="","Payment Type; ","")&amp;IF(AND(INDEX('Game Records'!$U:$U,$H214)&lt;&gt;"Subscription",INDEX('Game Records'!$U:$U,$H214)&lt;&gt;"Free Game",INDEX('Game Records'!$U:$U,$H214)&lt;&gt;"Disqualified — Free Game",INDEX('Game Records'!$G:$G,$H214)=""),"Gross Pot; ","")&amp;IF(AND(INDEX('Game Records'!$U:$U,$H214)&lt;&gt;"Free Game",INDEX('Game Records'!$U:$U,$H214)&lt;&gt;"Disqualified — Free Game",INDEX('Game Records'!$H:$H,$H214)=""),"Entry Fee; ","")&amp;IF(AND(INDEX('Game Records'!$U:$U,$H214)&lt;&gt;"Subscription",INDEX('Game Records'!$U:$U,$H214)&lt;&gt;"Free Game",INDEX('Game Records'!$U:$U,$H214)&lt;&gt;"Disqualified — Free Game",INDEX('Game Records'!$I:$I,$H214)=""),"Eligible Players; ","")&amp;IF(AND(INDEX('Game Records'!$U:$U,$H214)&lt;&gt;"Subscription",INDEX('Game Records'!$U:$U,$H214)&lt;&gt;"Free Game",INDEX('Game Records'!$U:$U,$H214)&lt;&gt;"Disqualified — Free Game",INDEX('Game Records'!$J:$J,$H214)=""),"Total Players; ","")&amp;IF(AND(LOWER(INDEX('Game Records'!$D:$D,$H214)&amp;"")="finalized",LOWER(INDEX('Game Records'!$L:$L,$H214)&amp;"")&lt;&gt;"yes",INDEX('Game Records'!$U:$U,$H214)&lt;&gt;"Subscription",INDEX('Game Records'!$U:$U,$H214)&lt;&gt;"Free Game",INDEX('Game Records'!$U:$U,$H214)&lt;&gt;"Disqualified — Free Game",INDEX('Game Records'!$K:$K,$H214)=""),"Final Payout; ","")&amp;IF(AND(LOWER(INDEX('Game Records'!$D:$D,$H214)&amp;"")="finalized",INDEX('Game Records'!$U:$U,$H214)&lt;&gt;"Subscription",INDEX('Game Records'!$U:$U,$H214)&lt;&gt;"Free Game",INDEX('Game Records'!$U:$U,$H214)&lt;&gt;"Disqualified — Free Game",OR(INDEX('Game Records'!$L:$L,$H214)="",LOWER(INDEX('Game Records'!$L:$L,$H214)&amp;"")="n/a")),"Disqualified Status; ",""))</f>
        <v/>
      </c>
      <c r="G214" s="23" t="str">
        <f t="array" ref="G214">IF($H214="","",IFERROR(INDEX('Game Records'!$M:$M,$H214),""))</f>
        <v/>
      </c>
      <c r="H214" s="3"/>
    </row>
    <row r="215" ht="24.0" customHeight="1">
      <c r="A215" s="18" t="str">
        <f t="shared" si="1"/>
        <v/>
      </c>
      <c r="B215" s="18" t="str">
        <f t="shared" si="2"/>
        <v/>
      </c>
      <c r="C215" s="23" t="str">
        <f t="array" ref="C215">IF($H215="","",IFERROR(INDEX('Game Records'!$A:$A,$H215),""))</f>
        <v/>
      </c>
      <c r="D215" s="23" t="str">
        <f t="array" ref="D215">IF($H215="","",IFERROR(INDEX('Game Records'!$U:$U,$H215),""))</f>
        <v/>
      </c>
      <c r="E215" s="23" t="str">
        <f t="array" ref="E215">IF($H215="","",LET(r,$H215,mode,LOWER(INDEX('Game Records'!$D:$D,r)&amp;""),endDate,INDEX('Game Records'!$C:$C,r),IF(mode="estimate",IF(endDate="","Estimate — End Date missing",IF(NOT(ISNUMBER(endDate)),"Estimate — Check End Date",IF(INT(endDate)&gt;=TODAY(),"In Progress — ends "&amp;TEXT(endDate,"mmm d, yyyy"),"Ready to Finalize"))),IF($F215="","No Highlighted Fields","Highlighted Fields Present"))))</f>
        <v/>
      </c>
      <c r="F215" s="23" t="str">
        <f t="array" ref="F215">IF($H215="","",IF(OR(NOT(_xlfn.ISFORMULA(INDEX('Game Records'!$N:$N,$H215))),NOT(_xlfn.ISFORMULA(INDEX('Game Records'!$O:$O,$H215))),NOT(_xlfn.ISFORMULA(INDEX('Game Records'!$P:$P,$H215))),NOT(_xlfn.ISFORMULA(INDEX('Game Records'!$Q:$Q,$H215))),NOT(_xlfn.ISFORMULA(INDEX('Game Records'!$R:$R,$H215))),NOT(_xlfn.ISFORMULA(INDEX('Game Records'!$S:$S,$H215))),NOT(_xlfn.ISFORMULA(INDEX('Game Records'!$T:$T,$H215))),NOT(_xlfn.ISFORMULA(INDEX('Game Records'!$U:$U,$H215))),NOT(_xlfn.ISFORMULA(INDEX('Game Records'!$V:$V,$H215))),NOT(_xlfn.ISFORMULA(INDEX('Game Records'!$W:$W,$H215))),NOT(_xlfn.ISFORMULA(INDEX('Game Records'!$X:$X,$H215))),NOT(_xlfn.ISFORMULA(INDEX('Game Records'!$Y:$Y,$H215))),NOT(_xlfn.ISFORMULA(INDEX('Game Records'!$Z:$Z,$H215)))),"","")&amp;IF(INDEX('Game Records'!$B:$B,$H215)="","Start Date; ","")&amp;IF(INDEX('Game Records'!$C:$C,$H215)="","End Date; ","")&amp;IF(AND(INDEX('Game Records'!$U:$U,$H215)&lt;&gt;"Subscription",INDEX('Game Records'!$U:$U,$H215)&lt;&gt;"Free Game",INDEX('Game Records'!$U:$U,$H215)&lt;&gt;"Disqualified — Free Game",OR(INDEX('Game Records'!$D:$D,$H215)="",LOWER(INDEX('Game Records'!$D:$D,$H215)&amp;"")="n/a")),"Entry Mode; ","")&amp;IF(AND(INDEX('Game Records'!$U:$U,$H215)&lt;&gt;"Subscription",INDEX('Game Records'!$U:$U,$H215)&lt;&gt;"Free Game",INDEX('Game Records'!$U:$U,$H215)&lt;&gt;"Disqualified — Free Game",OR(INDEX('Game Records'!$E:$E,$H215)="",LOWER(INDEX('Game Records'!$E:$E,$H215)&amp;"")="n/a")),"Game Type; ","")&amp;IF(INDEX('Game Records'!$F:$F,$H215)="","Payment Type; ","")&amp;IF(AND(INDEX('Game Records'!$U:$U,$H215)&lt;&gt;"Subscription",INDEX('Game Records'!$U:$U,$H215)&lt;&gt;"Free Game",INDEX('Game Records'!$U:$U,$H215)&lt;&gt;"Disqualified — Free Game",INDEX('Game Records'!$G:$G,$H215)=""),"Gross Pot; ","")&amp;IF(AND(INDEX('Game Records'!$U:$U,$H215)&lt;&gt;"Free Game",INDEX('Game Records'!$U:$U,$H215)&lt;&gt;"Disqualified — Free Game",INDEX('Game Records'!$H:$H,$H215)=""),"Entry Fee; ","")&amp;IF(AND(INDEX('Game Records'!$U:$U,$H215)&lt;&gt;"Subscription",INDEX('Game Records'!$U:$U,$H215)&lt;&gt;"Free Game",INDEX('Game Records'!$U:$U,$H215)&lt;&gt;"Disqualified — Free Game",INDEX('Game Records'!$I:$I,$H215)=""),"Eligible Players; ","")&amp;IF(AND(INDEX('Game Records'!$U:$U,$H215)&lt;&gt;"Subscription",INDEX('Game Records'!$U:$U,$H215)&lt;&gt;"Free Game",INDEX('Game Records'!$U:$U,$H215)&lt;&gt;"Disqualified — Free Game",INDEX('Game Records'!$J:$J,$H215)=""),"Total Players; ","")&amp;IF(AND(LOWER(INDEX('Game Records'!$D:$D,$H215)&amp;"")="finalized",LOWER(INDEX('Game Records'!$L:$L,$H215)&amp;"")&lt;&gt;"yes",INDEX('Game Records'!$U:$U,$H215)&lt;&gt;"Subscription",INDEX('Game Records'!$U:$U,$H215)&lt;&gt;"Free Game",INDEX('Game Records'!$U:$U,$H215)&lt;&gt;"Disqualified — Free Game",INDEX('Game Records'!$K:$K,$H215)=""),"Final Payout; ","")&amp;IF(AND(LOWER(INDEX('Game Records'!$D:$D,$H215)&amp;"")="finalized",INDEX('Game Records'!$U:$U,$H215)&lt;&gt;"Subscription",INDEX('Game Records'!$U:$U,$H215)&lt;&gt;"Free Game",INDEX('Game Records'!$U:$U,$H215)&lt;&gt;"Disqualified — Free Game",OR(INDEX('Game Records'!$L:$L,$H215)="",LOWER(INDEX('Game Records'!$L:$L,$H215)&amp;"")="n/a")),"Disqualified Status; ",""))</f>
        <v/>
      </c>
      <c r="G215" s="23" t="str">
        <f t="array" ref="G215">IF($H215="","",IFERROR(INDEX('Game Records'!$M:$M,$H215),""))</f>
        <v/>
      </c>
      <c r="H215" s="3"/>
    </row>
    <row r="216" ht="24.0" customHeight="1">
      <c r="A216" s="18" t="str">
        <f t="shared" si="1"/>
        <v/>
      </c>
      <c r="B216" s="18" t="str">
        <f t="shared" si="2"/>
        <v/>
      </c>
      <c r="C216" s="23" t="str">
        <f t="array" ref="C216">IF($H216="","",IFERROR(INDEX('Game Records'!$A:$A,$H216),""))</f>
        <v/>
      </c>
      <c r="D216" s="23" t="str">
        <f t="array" ref="D216">IF($H216="","",IFERROR(INDEX('Game Records'!$U:$U,$H216),""))</f>
        <v/>
      </c>
      <c r="E216" s="23" t="str">
        <f t="array" ref="E216">IF($H216="","",LET(r,$H216,mode,LOWER(INDEX('Game Records'!$D:$D,r)&amp;""),endDate,INDEX('Game Records'!$C:$C,r),IF(mode="estimate",IF(endDate="","Estimate — End Date missing",IF(NOT(ISNUMBER(endDate)),"Estimate — Check End Date",IF(INT(endDate)&gt;=TODAY(),"In Progress — ends "&amp;TEXT(endDate,"mmm d, yyyy"),"Ready to Finalize"))),IF($F216="","No Highlighted Fields","Highlighted Fields Present"))))</f>
        <v/>
      </c>
      <c r="F216" s="23" t="str">
        <f t="array" ref="F216">IF($H216="","",IF(OR(NOT(_xlfn.ISFORMULA(INDEX('Game Records'!$N:$N,$H216))),NOT(_xlfn.ISFORMULA(INDEX('Game Records'!$O:$O,$H216))),NOT(_xlfn.ISFORMULA(INDEX('Game Records'!$P:$P,$H216))),NOT(_xlfn.ISFORMULA(INDEX('Game Records'!$Q:$Q,$H216))),NOT(_xlfn.ISFORMULA(INDEX('Game Records'!$R:$R,$H216))),NOT(_xlfn.ISFORMULA(INDEX('Game Records'!$S:$S,$H216))),NOT(_xlfn.ISFORMULA(INDEX('Game Records'!$T:$T,$H216))),NOT(_xlfn.ISFORMULA(INDEX('Game Records'!$U:$U,$H216))),NOT(_xlfn.ISFORMULA(INDEX('Game Records'!$V:$V,$H216))),NOT(_xlfn.ISFORMULA(INDEX('Game Records'!$W:$W,$H216))),NOT(_xlfn.ISFORMULA(INDEX('Game Records'!$X:$X,$H216))),NOT(_xlfn.ISFORMULA(INDEX('Game Records'!$Y:$Y,$H216))),NOT(_xlfn.ISFORMULA(INDEX('Game Records'!$Z:$Z,$H216)))),"","")&amp;IF(INDEX('Game Records'!$B:$B,$H216)="","Start Date; ","")&amp;IF(INDEX('Game Records'!$C:$C,$H216)="","End Date; ","")&amp;IF(AND(INDEX('Game Records'!$U:$U,$H216)&lt;&gt;"Subscription",INDEX('Game Records'!$U:$U,$H216)&lt;&gt;"Free Game",INDEX('Game Records'!$U:$U,$H216)&lt;&gt;"Disqualified — Free Game",OR(INDEX('Game Records'!$D:$D,$H216)="",LOWER(INDEX('Game Records'!$D:$D,$H216)&amp;"")="n/a")),"Entry Mode; ","")&amp;IF(AND(INDEX('Game Records'!$U:$U,$H216)&lt;&gt;"Subscription",INDEX('Game Records'!$U:$U,$H216)&lt;&gt;"Free Game",INDEX('Game Records'!$U:$U,$H216)&lt;&gt;"Disqualified — Free Game",OR(INDEX('Game Records'!$E:$E,$H216)="",LOWER(INDEX('Game Records'!$E:$E,$H216)&amp;"")="n/a")),"Game Type; ","")&amp;IF(INDEX('Game Records'!$F:$F,$H216)="","Payment Type; ","")&amp;IF(AND(INDEX('Game Records'!$U:$U,$H216)&lt;&gt;"Subscription",INDEX('Game Records'!$U:$U,$H216)&lt;&gt;"Free Game",INDEX('Game Records'!$U:$U,$H216)&lt;&gt;"Disqualified — Free Game",INDEX('Game Records'!$G:$G,$H216)=""),"Gross Pot; ","")&amp;IF(AND(INDEX('Game Records'!$U:$U,$H216)&lt;&gt;"Free Game",INDEX('Game Records'!$U:$U,$H216)&lt;&gt;"Disqualified — Free Game",INDEX('Game Records'!$H:$H,$H216)=""),"Entry Fee; ","")&amp;IF(AND(INDEX('Game Records'!$U:$U,$H216)&lt;&gt;"Subscription",INDEX('Game Records'!$U:$U,$H216)&lt;&gt;"Free Game",INDEX('Game Records'!$U:$U,$H216)&lt;&gt;"Disqualified — Free Game",INDEX('Game Records'!$I:$I,$H216)=""),"Eligible Players; ","")&amp;IF(AND(INDEX('Game Records'!$U:$U,$H216)&lt;&gt;"Subscription",INDEX('Game Records'!$U:$U,$H216)&lt;&gt;"Free Game",INDEX('Game Records'!$U:$U,$H216)&lt;&gt;"Disqualified — Free Game",INDEX('Game Records'!$J:$J,$H216)=""),"Total Players; ","")&amp;IF(AND(LOWER(INDEX('Game Records'!$D:$D,$H216)&amp;"")="finalized",LOWER(INDEX('Game Records'!$L:$L,$H216)&amp;"")&lt;&gt;"yes",INDEX('Game Records'!$U:$U,$H216)&lt;&gt;"Subscription",INDEX('Game Records'!$U:$U,$H216)&lt;&gt;"Free Game",INDEX('Game Records'!$U:$U,$H216)&lt;&gt;"Disqualified — Free Game",INDEX('Game Records'!$K:$K,$H216)=""),"Final Payout; ","")&amp;IF(AND(LOWER(INDEX('Game Records'!$D:$D,$H216)&amp;"")="finalized",INDEX('Game Records'!$U:$U,$H216)&lt;&gt;"Subscription",INDEX('Game Records'!$U:$U,$H216)&lt;&gt;"Free Game",INDEX('Game Records'!$U:$U,$H216)&lt;&gt;"Disqualified — Free Game",OR(INDEX('Game Records'!$L:$L,$H216)="",LOWER(INDEX('Game Records'!$L:$L,$H216)&amp;"")="n/a")),"Disqualified Status; ",""))</f>
        <v/>
      </c>
      <c r="G216" s="23" t="str">
        <f t="array" ref="G216">IF($H216="","",IFERROR(INDEX('Game Records'!$M:$M,$H216),""))</f>
        <v/>
      </c>
      <c r="H216" s="3"/>
    </row>
    <row r="217" ht="24.0" customHeight="1">
      <c r="A217" s="18" t="str">
        <f t="shared" si="1"/>
        <v/>
      </c>
      <c r="B217" s="18" t="str">
        <f t="shared" si="2"/>
        <v/>
      </c>
      <c r="C217" s="23" t="str">
        <f t="array" ref="C217">IF($H217="","",IFERROR(INDEX('Game Records'!$A:$A,$H217),""))</f>
        <v/>
      </c>
      <c r="D217" s="23" t="str">
        <f t="array" ref="D217">IF($H217="","",IFERROR(INDEX('Game Records'!$U:$U,$H217),""))</f>
        <v/>
      </c>
      <c r="E217" s="23" t="str">
        <f t="array" ref="E217">IF($H217="","",LET(r,$H217,mode,LOWER(INDEX('Game Records'!$D:$D,r)&amp;""),endDate,INDEX('Game Records'!$C:$C,r),IF(mode="estimate",IF(endDate="","Estimate — End Date missing",IF(NOT(ISNUMBER(endDate)),"Estimate — Check End Date",IF(INT(endDate)&gt;=TODAY(),"In Progress — ends "&amp;TEXT(endDate,"mmm d, yyyy"),"Ready to Finalize"))),IF($F217="","No Highlighted Fields","Highlighted Fields Present"))))</f>
        <v/>
      </c>
      <c r="F217" s="23" t="str">
        <f t="array" ref="F217">IF($H217="","",IF(OR(NOT(_xlfn.ISFORMULA(INDEX('Game Records'!$N:$N,$H217))),NOT(_xlfn.ISFORMULA(INDEX('Game Records'!$O:$O,$H217))),NOT(_xlfn.ISFORMULA(INDEX('Game Records'!$P:$P,$H217))),NOT(_xlfn.ISFORMULA(INDEX('Game Records'!$Q:$Q,$H217))),NOT(_xlfn.ISFORMULA(INDEX('Game Records'!$R:$R,$H217))),NOT(_xlfn.ISFORMULA(INDEX('Game Records'!$S:$S,$H217))),NOT(_xlfn.ISFORMULA(INDEX('Game Records'!$T:$T,$H217))),NOT(_xlfn.ISFORMULA(INDEX('Game Records'!$U:$U,$H217))),NOT(_xlfn.ISFORMULA(INDEX('Game Records'!$V:$V,$H217))),NOT(_xlfn.ISFORMULA(INDEX('Game Records'!$W:$W,$H217))),NOT(_xlfn.ISFORMULA(INDEX('Game Records'!$X:$X,$H217))),NOT(_xlfn.ISFORMULA(INDEX('Game Records'!$Y:$Y,$H217))),NOT(_xlfn.ISFORMULA(INDEX('Game Records'!$Z:$Z,$H217)))),"","")&amp;IF(INDEX('Game Records'!$B:$B,$H217)="","Start Date; ","")&amp;IF(INDEX('Game Records'!$C:$C,$H217)="","End Date; ","")&amp;IF(AND(INDEX('Game Records'!$U:$U,$H217)&lt;&gt;"Subscription",INDEX('Game Records'!$U:$U,$H217)&lt;&gt;"Free Game",INDEX('Game Records'!$U:$U,$H217)&lt;&gt;"Disqualified — Free Game",OR(INDEX('Game Records'!$D:$D,$H217)="",LOWER(INDEX('Game Records'!$D:$D,$H217)&amp;"")="n/a")),"Entry Mode; ","")&amp;IF(AND(INDEX('Game Records'!$U:$U,$H217)&lt;&gt;"Subscription",INDEX('Game Records'!$U:$U,$H217)&lt;&gt;"Free Game",INDEX('Game Records'!$U:$U,$H217)&lt;&gt;"Disqualified — Free Game",OR(INDEX('Game Records'!$E:$E,$H217)="",LOWER(INDEX('Game Records'!$E:$E,$H217)&amp;"")="n/a")),"Game Type; ","")&amp;IF(INDEX('Game Records'!$F:$F,$H217)="","Payment Type; ","")&amp;IF(AND(INDEX('Game Records'!$U:$U,$H217)&lt;&gt;"Subscription",INDEX('Game Records'!$U:$U,$H217)&lt;&gt;"Free Game",INDEX('Game Records'!$U:$U,$H217)&lt;&gt;"Disqualified — Free Game",INDEX('Game Records'!$G:$G,$H217)=""),"Gross Pot; ","")&amp;IF(AND(INDEX('Game Records'!$U:$U,$H217)&lt;&gt;"Free Game",INDEX('Game Records'!$U:$U,$H217)&lt;&gt;"Disqualified — Free Game",INDEX('Game Records'!$H:$H,$H217)=""),"Entry Fee; ","")&amp;IF(AND(INDEX('Game Records'!$U:$U,$H217)&lt;&gt;"Subscription",INDEX('Game Records'!$U:$U,$H217)&lt;&gt;"Free Game",INDEX('Game Records'!$U:$U,$H217)&lt;&gt;"Disqualified — Free Game",INDEX('Game Records'!$I:$I,$H217)=""),"Eligible Players; ","")&amp;IF(AND(INDEX('Game Records'!$U:$U,$H217)&lt;&gt;"Subscription",INDEX('Game Records'!$U:$U,$H217)&lt;&gt;"Free Game",INDEX('Game Records'!$U:$U,$H217)&lt;&gt;"Disqualified — Free Game",INDEX('Game Records'!$J:$J,$H217)=""),"Total Players; ","")&amp;IF(AND(LOWER(INDEX('Game Records'!$D:$D,$H217)&amp;"")="finalized",LOWER(INDEX('Game Records'!$L:$L,$H217)&amp;"")&lt;&gt;"yes",INDEX('Game Records'!$U:$U,$H217)&lt;&gt;"Subscription",INDEX('Game Records'!$U:$U,$H217)&lt;&gt;"Free Game",INDEX('Game Records'!$U:$U,$H217)&lt;&gt;"Disqualified — Free Game",INDEX('Game Records'!$K:$K,$H217)=""),"Final Payout; ","")&amp;IF(AND(LOWER(INDEX('Game Records'!$D:$D,$H217)&amp;"")="finalized",INDEX('Game Records'!$U:$U,$H217)&lt;&gt;"Subscription",INDEX('Game Records'!$U:$U,$H217)&lt;&gt;"Free Game",INDEX('Game Records'!$U:$U,$H217)&lt;&gt;"Disqualified — Free Game",OR(INDEX('Game Records'!$L:$L,$H217)="",LOWER(INDEX('Game Records'!$L:$L,$H217)&amp;"")="n/a")),"Disqualified Status; ",""))</f>
        <v/>
      </c>
      <c r="G217" s="23" t="str">
        <f t="array" ref="G217">IF($H217="","",IFERROR(INDEX('Game Records'!$M:$M,$H217),""))</f>
        <v/>
      </c>
      <c r="H217" s="3"/>
    </row>
    <row r="218" ht="24.0" customHeight="1">
      <c r="A218" s="18" t="str">
        <f t="shared" si="1"/>
        <v/>
      </c>
      <c r="B218" s="18" t="str">
        <f t="shared" si="2"/>
        <v/>
      </c>
      <c r="C218" s="23" t="str">
        <f t="array" ref="C218">IF($H218="","",IFERROR(INDEX('Game Records'!$A:$A,$H218),""))</f>
        <v/>
      </c>
      <c r="D218" s="23" t="str">
        <f t="array" ref="D218">IF($H218="","",IFERROR(INDEX('Game Records'!$U:$U,$H218),""))</f>
        <v/>
      </c>
      <c r="E218" s="23" t="str">
        <f t="array" ref="E218">IF($H218="","",LET(r,$H218,mode,LOWER(INDEX('Game Records'!$D:$D,r)&amp;""),endDate,INDEX('Game Records'!$C:$C,r),IF(mode="estimate",IF(endDate="","Estimate — End Date missing",IF(NOT(ISNUMBER(endDate)),"Estimate — Check End Date",IF(INT(endDate)&gt;=TODAY(),"In Progress — ends "&amp;TEXT(endDate,"mmm d, yyyy"),"Ready to Finalize"))),IF($F218="","No Highlighted Fields","Highlighted Fields Present"))))</f>
        <v/>
      </c>
      <c r="F218" s="23" t="str">
        <f t="array" ref="F218">IF($H218="","",IF(OR(NOT(_xlfn.ISFORMULA(INDEX('Game Records'!$N:$N,$H218))),NOT(_xlfn.ISFORMULA(INDEX('Game Records'!$O:$O,$H218))),NOT(_xlfn.ISFORMULA(INDEX('Game Records'!$P:$P,$H218))),NOT(_xlfn.ISFORMULA(INDEX('Game Records'!$Q:$Q,$H218))),NOT(_xlfn.ISFORMULA(INDEX('Game Records'!$R:$R,$H218))),NOT(_xlfn.ISFORMULA(INDEX('Game Records'!$S:$S,$H218))),NOT(_xlfn.ISFORMULA(INDEX('Game Records'!$T:$T,$H218))),NOT(_xlfn.ISFORMULA(INDEX('Game Records'!$U:$U,$H218))),NOT(_xlfn.ISFORMULA(INDEX('Game Records'!$V:$V,$H218))),NOT(_xlfn.ISFORMULA(INDEX('Game Records'!$W:$W,$H218))),NOT(_xlfn.ISFORMULA(INDEX('Game Records'!$X:$X,$H218))),NOT(_xlfn.ISFORMULA(INDEX('Game Records'!$Y:$Y,$H218))),NOT(_xlfn.ISFORMULA(INDEX('Game Records'!$Z:$Z,$H218)))),"","")&amp;IF(INDEX('Game Records'!$B:$B,$H218)="","Start Date; ","")&amp;IF(INDEX('Game Records'!$C:$C,$H218)="","End Date; ","")&amp;IF(AND(INDEX('Game Records'!$U:$U,$H218)&lt;&gt;"Subscription",INDEX('Game Records'!$U:$U,$H218)&lt;&gt;"Free Game",INDEX('Game Records'!$U:$U,$H218)&lt;&gt;"Disqualified — Free Game",OR(INDEX('Game Records'!$D:$D,$H218)="",LOWER(INDEX('Game Records'!$D:$D,$H218)&amp;"")="n/a")),"Entry Mode; ","")&amp;IF(AND(INDEX('Game Records'!$U:$U,$H218)&lt;&gt;"Subscription",INDEX('Game Records'!$U:$U,$H218)&lt;&gt;"Free Game",INDEX('Game Records'!$U:$U,$H218)&lt;&gt;"Disqualified — Free Game",OR(INDEX('Game Records'!$E:$E,$H218)="",LOWER(INDEX('Game Records'!$E:$E,$H218)&amp;"")="n/a")),"Game Type; ","")&amp;IF(INDEX('Game Records'!$F:$F,$H218)="","Payment Type; ","")&amp;IF(AND(INDEX('Game Records'!$U:$U,$H218)&lt;&gt;"Subscription",INDEX('Game Records'!$U:$U,$H218)&lt;&gt;"Free Game",INDEX('Game Records'!$U:$U,$H218)&lt;&gt;"Disqualified — Free Game",INDEX('Game Records'!$G:$G,$H218)=""),"Gross Pot; ","")&amp;IF(AND(INDEX('Game Records'!$U:$U,$H218)&lt;&gt;"Free Game",INDEX('Game Records'!$U:$U,$H218)&lt;&gt;"Disqualified — Free Game",INDEX('Game Records'!$H:$H,$H218)=""),"Entry Fee; ","")&amp;IF(AND(INDEX('Game Records'!$U:$U,$H218)&lt;&gt;"Subscription",INDEX('Game Records'!$U:$U,$H218)&lt;&gt;"Free Game",INDEX('Game Records'!$U:$U,$H218)&lt;&gt;"Disqualified — Free Game",INDEX('Game Records'!$I:$I,$H218)=""),"Eligible Players; ","")&amp;IF(AND(INDEX('Game Records'!$U:$U,$H218)&lt;&gt;"Subscription",INDEX('Game Records'!$U:$U,$H218)&lt;&gt;"Free Game",INDEX('Game Records'!$U:$U,$H218)&lt;&gt;"Disqualified — Free Game",INDEX('Game Records'!$J:$J,$H218)=""),"Total Players; ","")&amp;IF(AND(LOWER(INDEX('Game Records'!$D:$D,$H218)&amp;"")="finalized",LOWER(INDEX('Game Records'!$L:$L,$H218)&amp;"")&lt;&gt;"yes",INDEX('Game Records'!$U:$U,$H218)&lt;&gt;"Subscription",INDEX('Game Records'!$U:$U,$H218)&lt;&gt;"Free Game",INDEX('Game Records'!$U:$U,$H218)&lt;&gt;"Disqualified — Free Game",INDEX('Game Records'!$K:$K,$H218)=""),"Final Payout; ","")&amp;IF(AND(LOWER(INDEX('Game Records'!$D:$D,$H218)&amp;"")="finalized",INDEX('Game Records'!$U:$U,$H218)&lt;&gt;"Subscription",INDEX('Game Records'!$U:$U,$H218)&lt;&gt;"Free Game",INDEX('Game Records'!$U:$U,$H218)&lt;&gt;"Disqualified — Free Game",OR(INDEX('Game Records'!$L:$L,$H218)="",LOWER(INDEX('Game Records'!$L:$L,$H218)&amp;"")="n/a")),"Disqualified Status; ",""))</f>
        <v/>
      </c>
      <c r="G218" s="23" t="str">
        <f t="array" ref="G218">IF($H218="","",IFERROR(INDEX('Game Records'!$M:$M,$H218),""))</f>
        <v/>
      </c>
      <c r="H218" s="3"/>
    </row>
    <row r="219" ht="24.0" customHeight="1">
      <c r="A219" s="18" t="str">
        <f t="shared" si="1"/>
        <v/>
      </c>
      <c r="B219" s="18" t="str">
        <f t="shared" si="2"/>
        <v/>
      </c>
      <c r="C219" s="23" t="str">
        <f t="array" ref="C219">IF($H219="","",IFERROR(INDEX('Game Records'!$A:$A,$H219),""))</f>
        <v/>
      </c>
      <c r="D219" s="23" t="str">
        <f t="array" ref="D219">IF($H219="","",IFERROR(INDEX('Game Records'!$U:$U,$H219),""))</f>
        <v/>
      </c>
      <c r="E219" s="23" t="str">
        <f t="array" ref="E219">IF($H219="","",LET(r,$H219,mode,LOWER(INDEX('Game Records'!$D:$D,r)&amp;""),endDate,INDEX('Game Records'!$C:$C,r),IF(mode="estimate",IF(endDate="","Estimate — End Date missing",IF(NOT(ISNUMBER(endDate)),"Estimate — Check End Date",IF(INT(endDate)&gt;=TODAY(),"In Progress — ends "&amp;TEXT(endDate,"mmm d, yyyy"),"Ready to Finalize"))),IF($F219="","No Highlighted Fields","Highlighted Fields Present"))))</f>
        <v/>
      </c>
      <c r="F219" s="23" t="str">
        <f t="array" ref="F219">IF($H219="","",IF(OR(NOT(_xlfn.ISFORMULA(INDEX('Game Records'!$N:$N,$H219))),NOT(_xlfn.ISFORMULA(INDEX('Game Records'!$O:$O,$H219))),NOT(_xlfn.ISFORMULA(INDEX('Game Records'!$P:$P,$H219))),NOT(_xlfn.ISFORMULA(INDEX('Game Records'!$Q:$Q,$H219))),NOT(_xlfn.ISFORMULA(INDEX('Game Records'!$R:$R,$H219))),NOT(_xlfn.ISFORMULA(INDEX('Game Records'!$S:$S,$H219))),NOT(_xlfn.ISFORMULA(INDEX('Game Records'!$T:$T,$H219))),NOT(_xlfn.ISFORMULA(INDEX('Game Records'!$U:$U,$H219))),NOT(_xlfn.ISFORMULA(INDEX('Game Records'!$V:$V,$H219))),NOT(_xlfn.ISFORMULA(INDEX('Game Records'!$W:$W,$H219))),NOT(_xlfn.ISFORMULA(INDEX('Game Records'!$X:$X,$H219))),NOT(_xlfn.ISFORMULA(INDEX('Game Records'!$Y:$Y,$H219))),NOT(_xlfn.ISFORMULA(INDEX('Game Records'!$Z:$Z,$H219)))),"","")&amp;IF(INDEX('Game Records'!$B:$B,$H219)="","Start Date; ","")&amp;IF(INDEX('Game Records'!$C:$C,$H219)="","End Date; ","")&amp;IF(AND(INDEX('Game Records'!$U:$U,$H219)&lt;&gt;"Subscription",INDEX('Game Records'!$U:$U,$H219)&lt;&gt;"Free Game",INDEX('Game Records'!$U:$U,$H219)&lt;&gt;"Disqualified — Free Game",OR(INDEX('Game Records'!$D:$D,$H219)="",LOWER(INDEX('Game Records'!$D:$D,$H219)&amp;"")="n/a")),"Entry Mode; ","")&amp;IF(AND(INDEX('Game Records'!$U:$U,$H219)&lt;&gt;"Subscription",INDEX('Game Records'!$U:$U,$H219)&lt;&gt;"Free Game",INDEX('Game Records'!$U:$U,$H219)&lt;&gt;"Disqualified — Free Game",OR(INDEX('Game Records'!$E:$E,$H219)="",LOWER(INDEX('Game Records'!$E:$E,$H219)&amp;"")="n/a")),"Game Type; ","")&amp;IF(INDEX('Game Records'!$F:$F,$H219)="","Payment Type; ","")&amp;IF(AND(INDEX('Game Records'!$U:$U,$H219)&lt;&gt;"Subscription",INDEX('Game Records'!$U:$U,$H219)&lt;&gt;"Free Game",INDEX('Game Records'!$U:$U,$H219)&lt;&gt;"Disqualified — Free Game",INDEX('Game Records'!$G:$G,$H219)=""),"Gross Pot; ","")&amp;IF(AND(INDEX('Game Records'!$U:$U,$H219)&lt;&gt;"Free Game",INDEX('Game Records'!$U:$U,$H219)&lt;&gt;"Disqualified — Free Game",INDEX('Game Records'!$H:$H,$H219)=""),"Entry Fee; ","")&amp;IF(AND(INDEX('Game Records'!$U:$U,$H219)&lt;&gt;"Subscription",INDEX('Game Records'!$U:$U,$H219)&lt;&gt;"Free Game",INDEX('Game Records'!$U:$U,$H219)&lt;&gt;"Disqualified — Free Game",INDEX('Game Records'!$I:$I,$H219)=""),"Eligible Players; ","")&amp;IF(AND(INDEX('Game Records'!$U:$U,$H219)&lt;&gt;"Subscription",INDEX('Game Records'!$U:$U,$H219)&lt;&gt;"Free Game",INDEX('Game Records'!$U:$U,$H219)&lt;&gt;"Disqualified — Free Game",INDEX('Game Records'!$J:$J,$H219)=""),"Total Players; ","")&amp;IF(AND(LOWER(INDEX('Game Records'!$D:$D,$H219)&amp;"")="finalized",LOWER(INDEX('Game Records'!$L:$L,$H219)&amp;"")&lt;&gt;"yes",INDEX('Game Records'!$U:$U,$H219)&lt;&gt;"Subscription",INDEX('Game Records'!$U:$U,$H219)&lt;&gt;"Free Game",INDEX('Game Records'!$U:$U,$H219)&lt;&gt;"Disqualified — Free Game",INDEX('Game Records'!$K:$K,$H219)=""),"Final Payout; ","")&amp;IF(AND(LOWER(INDEX('Game Records'!$D:$D,$H219)&amp;"")="finalized",INDEX('Game Records'!$U:$U,$H219)&lt;&gt;"Subscription",INDEX('Game Records'!$U:$U,$H219)&lt;&gt;"Free Game",INDEX('Game Records'!$U:$U,$H219)&lt;&gt;"Disqualified — Free Game",OR(INDEX('Game Records'!$L:$L,$H219)="",LOWER(INDEX('Game Records'!$L:$L,$H219)&amp;"")="n/a")),"Disqualified Status; ",""))</f>
        <v/>
      </c>
      <c r="G219" s="23" t="str">
        <f t="array" ref="G219">IF($H219="","",IFERROR(INDEX('Game Records'!$M:$M,$H219),""))</f>
        <v/>
      </c>
      <c r="H219" s="3"/>
    </row>
    <row r="220" ht="24.0" customHeight="1">
      <c r="A220" s="18" t="str">
        <f t="shared" si="1"/>
        <v/>
      </c>
      <c r="B220" s="18" t="str">
        <f t="shared" si="2"/>
        <v/>
      </c>
      <c r="C220" s="23" t="str">
        <f t="array" ref="C220">IF($H220="","",IFERROR(INDEX('Game Records'!$A:$A,$H220),""))</f>
        <v/>
      </c>
      <c r="D220" s="23" t="str">
        <f t="array" ref="D220">IF($H220="","",IFERROR(INDEX('Game Records'!$U:$U,$H220),""))</f>
        <v/>
      </c>
      <c r="E220" s="23" t="str">
        <f t="array" ref="E220">IF($H220="","",LET(r,$H220,mode,LOWER(INDEX('Game Records'!$D:$D,r)&amp;""),endDate,INDEX('Game Records'!$C:$C,r),IF(mode="estimate",IF(endDate="","Estimate — End Date missing",IF(NOT(ISNUMBER(endDate)),"Estimate — Check End Date",IF(INT(endDate)&gt;=TODAY(),"In Progress — ends "&amp;TEXT(endDate,"mmm d, yyyy"),"Ready to Finalize"))),IF($F220="","No Highlighted Fields","Highlighted Fields Present"))))</f>
        <v/>
      </c>
      <c r="F220" s="23" t="str">
        <f t="array" ref="F220">IF($H220="","",IF(OR(NOT(_xlfn.ISFORMULA(INDEX('Game Records'!$N:$N,$H220))),NOT(_xlfn.ISFORMULA(INDEX('Game Records'!$O:$O,$H220))),NOT(_xlfn.ISFORMULA(INDEX('Game Records'!$P:$P,$H220))),NOT(_xlfn.ISFORMULA(INDEX('Game Records'!$Q:$Q,$H220))),NOT(_xlfn.ISFORMULA(INDEX('Game Records'!$R:$R,$H220))),NOT(_xlfn.ISFORMULA(INDEX('Game Records'!$S:$S,$H220))),NOT(_xlfn.ISFORMULA(INDEX('Game Records'!$T:$T,$H220))),NOT(_xlfn.ISFORMULA(INDEX('Game Records'!$U:$U,$H220))),NOT(_xlfn.ISFORMULA(INDEX('Game Records'!$V:$V,$H220))),NOT(_xlfn.ISFORMULA(INDEX('Game Records'!$W:$W,$H220))),NOT(_xlfn.ISFORMULA(INDEX('Game Records'!$X:$X,$H220))),NOT(_xlfn.ISFORMULA(INDEX('Game Records'!$Y:$Y,$H220))),NOT(_xlfn.ISFORMULA(INDEX('Game Records'!$Z:$Z,$H220)))),"","")&amp;IF(INDEX('Game Records'!$B:$B,$H220)="","Start Date; ","")&amp;IF(INDEX('Game Records'!$C:$C,$H220)="","End Date; ","")&amp;IF(AND(INDEX('Game Records'!$U:$U,$H220)&lt;&gt;"Subscription",INDEX('Game Records'!$U:$U,$H220)&lt;&gt;"Free Game",INDEX('Game Records'!$U:$U,$H220)&lt;&gt;"Disqualified — Free Game",OR(INDEX('Game Records'!$D:$D,$H220)="",LOWER(INDEX('Game Records'!$D:$D,$H220)&amp;"")="n/a")),"Entry Mode; ","")&amp;IF(AND(INDEX('Game Records'!$U:$U,$H220)&lt;&gt;"Subscription",INDEX('Game Records'!$U:$U,$H220)&lt;&gt;"Free Game",INDEX('Game Records'!$U:$U,$H220)&lt;&gt;"Disqualified — Free Game",OR(INDEX('Game Records'!$E:$E,$H220)="",LOWER(INDEX('Game Records'!$E:$E,$H220)&amp;"")="n/a")),"Game Type; ","")&amp;IF(INDEX('Game Records'!$F:$F,$H220)="","Payment Type; ","")&amp;IF(AND(INDEX('Game Records'!$U:$U,$H220)&lt;&gt;"Subscription",INDEX('Game Records'!$U:$U,$H220)&lt;&gt;"Free Game",INDEX('Game Records'!$U:$U,$H220)&lt;&gt;"Disqualified — Free Game",INDEX('Game Records'!$G:$G,$H220)=""),"Gross Pot; ","")&amp;IF(AND(INDEX('Game Records'!$U:$U,$H220)&lt;&gt;"Free Game",INDEX('Game Records'!$U:$U,$H220)&lt;&gt;"Disqualified — Free Game",INDEX('Game Records'!$H:$H,$H220)=""),"Entry Fee; ","")&amp;IF(AND(INDEX('Game Records'!$U:$U,$H220)&lt;&gt;"Subscription",INDEX('Game Records'!$U:$U,$H220)&lt;&gt;"Free Game",INDEX('Game Records'!$U:$U,$H220)&lt;&gt;"Disqualified — Free Game",INDEX('Game Records'!$I:$I,$H220)=""),"Eligible Players; ","")&amp;IF(AND(INDEX('Game Records'!$U:$U,$H220)&lt;&gt;"Subscription",INDEX('Game Records'!$U:$U,$H220)&lt;&gt;"Free Game",INDEX('Game Records'!$U:$U,$H220)&lt;&gt;"Disqualified — Free Game",INDEX('Game Records'!$J:$J,$H220)=""),"Total Players; ","")&amp;IF(AND(LOWER(INDEX('Game Records'!$D:$D,$H220)&amp;"")="finalized",LOWER(INDEX('Game Records'!$L:$L,$H220)&amp;"")&lt;&gt;"yes",INDEX('Game Records'!$U:$U,$H220)&lt;&gt;"Subscription",INDEX('Game Records'!$U:$U,$H220)&lt;&gt;"Free Game",INDEX('Game Records'!$U:$U,$H220)&lt;&gt;"Disqualified — Free Game",INDEX('Game Records'!$K:$K,$H220)=""),"Final Payout; ","")&amp;IF(AND(LOWER(INDEX('Game Records'!$D:$D,$H220)&amp;"")="finalized",INDEX('Game Records'!$U:$U,$H220)&lt;&gt;"Subscription",INDEX('Game Records'!$U:$U,$H220)&lt;&gt;"Free Game",INDEX('Game Records'!$U:$U,$H220)&lt;&gt;"Disqualified — Free Game",OR(INDEX('Game Records'!$L:$L,$H220)="",LOWER(INDEX('Game Records'!$L:$L,$H220)&amp;"")="n/a")),"Disqualified Status; ",""))</f>
        <v/>
      </c>
      <c r="G220" s="23" t="str">
        <f t="array" ref="G220">IF($H220="","",IFERROR(INDEX('Game Records'!$M:$M,$H220),""))</f>
        <v/>
      </c>
      <c r="H220" s="3"/>
    </row>
    <row r="221" ht="24.0" customHeight="1">
      <c r="A221" s="18" t="str">
        <f t="shared" si="1"/>
        <v/>
      </c>
      <c r="B221" s="18" t="str">
        <f t="shared" si="2"/>
        <v/>
      </c>
      <c r="C221" s="23" t="str">
        <f t="array" ref="C221">IF($H221="","",IFERROR(INDEX('Game Records'!$A:$A,$H221),""))</f>
        <v/>
      </c>
      <c r="D221" s="23" t="str">
        <f t="array" ref="D221">IF($H221="","",IFERROR(INDEX('Game Records'!$U:$U,$H221),""))</f>
        <v/>
      </c>
      <c r="E221" s="23" t="str">
        <f t="array" ref="E221">IF($H221="","",LET(r,$H221,mode,LOWER(INDEX('Game Records'!$D:$D,r)&amp;""),endDate,INDEX('Game Records'!$C:$C,r),IF(mode="estimate",IF(endDate="","Estimate — End Date missing",IF(NOT(ISNUMBER(endDate)),"Estimate — Check End Date",IF(INT(endDate)&gt;=TODAY(),"In Progress — ends "&amp;TEXT(endDate,"mmm d, yyyy"),"Ready to Finalize"))),IF($F221="","No Highlighted Fields","Highlighted Fields Present"))))</f>
        <v/>
      </c>
      <c r="F221" s="23" t="str">
        <f t="array" ref="F221">IF($H221="","",IF(OR(NOT(_xlfn.ISFORMULA(INDEX('Game Records'!$N:$N,$H221))),NOT(_xlfn.ISFORMULA(INDEX('Game Records'!$O:$O,$H221))),NOT(_xlfn.ISFORMULA(INDEX('Game Records'!$P:$P,$H221))),NOT(_xlfn.ISFORMULA(INDEX('Game Records'!$Q:$Q,$H221))),NOT(_xlfn.ISFORMULA(INDEX('Game Records'!$R:$R,$H221))),NOT(_xlfn.ISFORMULA(INDEX('Game Records'!$S:$S,$H221))),NOT(_xlfn.ISFORMULA(INDEX('Game Records'!$T:$T,$H221))),NOT(_xlfn.ISFORMULA(INDEX('Game Records'!$U:$U,$H221))),NOT(_xlfn.ISFORMULA(INDEX('Game Records'!$V:$V,$H221))),NOT(_xlfn.ISFORMULA(INDEX('Game Records'!$W:$W,$H221))),NOT(_xlfn.ISFORMULA(INDEX('Game Records'!$X:$X,$H221))),NOT(_xlfn.ISFORMULA(INDEX('Game Records'!$Y:$Y,$H221))),NOT(_xlfn.ISFORMULA(INDEX('Game Records'!$Z:$Z,$H221)))),"","")&amp;IF(INDEX('Game Records'!$B:$B,$H221)="","Start Date; ","")&amp;IF(INDEX('Game Records'!$C:$C,$H221)="","End Date; ","")&amp;IF(AND(INDEX('Game Records'!$U:$U,$H221)&lt;&gt;"Subscription",INDEX('Game Records'!$U:$U,$H221)&lt;&gt;"Free Game",INDEX('Game Records'!$U:$U,$H221)&lt;&gt;"Disqualified — Free Game",OR(INDEX('Game Records'!$D:$D,$H221)="",LOWER(INDEX('Game Records'!$D:$D,$H221)&amp;"")="n/a")),"Entry Mode; ","")&amp;IF(AND(INDEX('Game Records'!$U:$U,$H221)&lt;&gt;"Subscription",INDEX('Game Records'!$U:$U,$H221)&lt;&gt;"Free Game",INDEX('Game Records'!$U:$U,$H221)&lt;&gt;"Disqualified — Free Game",OR(INDEX('Game Records'!$E:$E,$H221)="",LOWER(INDEX('Game Records'!$E:$E,$H221)&amp;"")="n/a")),"Game Type; ","")&amp;IF(INDEX('Game Records'!$F:$F,$H221)="","Payment Type; ","")&amp;IF(AND(INDEX('Game Records'!$U:$U,$H221)&lt;&gt;"Subscription",INDEX('Game Records'!$U:$U,$H221)&lt;&gt;"Free Game",INDEX('Game Records'!$U:$U,$H221)&lt;&gt;"Disqualified — Free Game",INDEX('Game Records'!$G:$G,$H221)=""),"Gross Pot; ","")&amp;IF(AND(INDEX('Game Records'!$U:$U,$H221)&lt;&gt;"Free Game",INDEX('Game Records'!$U:$U,$H221)&lt;&gt;"Disqualified — Free Game",INDEX('Game Records'!$H:$H,$H221)=""),"Entry Fee; ","")&amp;IF(AND(INDEX('Game Records'!$U:$U,$H221)&lt;&gt;"Subscription",INDEX('Game Records'!$U:$U,$H221)&lt;&gt;"Free Game",INDEX('Game Records'!$U:$U,$H221)&lt;&gt;"Disqualified — Free Game",INDEX('Game Records'!$I:$I,$H221)=""),"Eligible Players; ","")&amp;IF(AND(INDEX('Game Records'!$U:$U,$H221)&lt;&gt;"Subscription",INDEX('Game Records'!$U:$U,$H221)&lt;&gt;"Free Game",INDEX('Game Records'!$U:$U,$H221)&lt;&gt;"Disqualified — Free Game",INDEX('Game Records'!$J:$J,$H221)=""),"Total Players; ","")&amp;IF(AND(LOWER(INDEX('Game Records'!$D:$D,$H221)&amp;"")="finalized",LOWER(INDEX('Game Records'!$L:$L,$H221)&amp;"")&lt;&gt;"yes",INDEX('Game Records'!$U:$U,$H221)&lt;&gt;"Subscription",INDEX('Game Records'!$U:$U,$H221)&lt;&gt;"Free Game",INDEX('Game Records'!$U:$U,$H221)&lt;&gt;"Disqualified — Free Game",INDEX('Game Records'!$K:$K,$H221)=""),"Final Payout; ","")&amp;IF(AND(LOWER(INDEX('Game Records'!$D:$D,$H221)&amp;"")="finalized",INDEX('Game Records'!$U:$U,$H221)&lt;&gt;"Subscription",INDEX('Game Records'!$U:$U,$H221)&lt;&gt;"Free Game",INDEX('Game Records'!$U:$U,$H221)&lt;&gt;"Disqualified — Free Game",OR(INDEX('Game Records'!$L:$L,$H221)="",LOWER(INDEX('Game Records'!$L:$L,$H221)&amp;"")="n/a")),"Disqualified Status; ",""))</f>
        <v/>
      </c>
      <c r="G221" s="23" t="str">
        <f t="array" ref="G221">IF($H221="","",IFERROR(INDEX('Game Records'!$M:$M,$H221),""))</f>
        <v/>
      </c>
      <c r="H221" s="3"/>
    </row>
    <row r="222" ht="24.0" customHeight="1">
      <c r="A222" s="18" t="str">
        <f t="shared" si="1"/>
        <v/>
      </c>
      <c r="B222" s="18" t="str">
        <f t="shared" si="2"/>
        <v/>
      </c>
      <c r="C222" s="23" t="str">
        <f t="array" ref="C222">IF($H222="","",IFERROR(INDEX('Game Records'!$A:$A,$H222),""))</f>
        <v/>
      </c>
      <c r="D222" s="23" t="str">
        <f t="array" ref="D222">IF($H222="","",IFERROR(INDEX('Game Records'!$U:$U,$H222),""))</f>
        <v/>
      </c>
      <c r="E222" s="23" t="str">
        <f t="array" ref="E222">IF($H222="","",LET(r,$H222,mode,LOWER(INDEX('Game Records'!$D:$D,r)&amp;""),endDate,INDEX('Game Records'!$C:$C,r),IF(mode="estimate",IF(endDate="","Estimate — End Date missing",IF(NOT(ISNUMBER(endDate)),"Estimate — Check End Date",IF(INT(endDate)&gt;=TODAY(),"In Progress — ends "&amp;TEXT(endDate,"mmm d, yyyy"),"Ready to Finalize"))),IF($F222="","No Highlighted Fields","Highlighted Fields Present"))))</f>
        <v/>
      </c>
      <c r="F222" s="23" t="str">
        <f t="array" ref="F222">IF($H222="","",IF(OR(NOT(_xlfn.ISFORMULA(INDEX('Game Records'!$N:$N,$H222))),NOT(_xlfn.ISFORMULA(INDEX('Game Records'!$O:$O,$H222))),NOT(_xlfn.ISFORMULA(INDEX('Game Records'!$P:$P,$H222))),NOT(_xlfn.ISFORMULA(INDEX('Game Records'!$Q:$Q,$H222))),NOT(_xlfn.ISFORMULA(INDEX('Game Records'!$R:$R,$H222))),NOT(_xlfn.ISFORMULA(INDEX('Game Records'!$S:$S,$H222))),NOT(_xlfn.ISFORMULA(INDEX('Game Records'!$T:$T,$H222))),NOT(_xlfn.ISFORMULA(INDEX('Game Records'!$U:$U,$H222))),NOT(_xlfn.ISFORMULA(INDEX('Game Records'!$V:$V,$H222))),NOT(_xlfn.ISFORMULA(INDEX('Game Records'!$W:$W,$H222))),NOT(_xlfn.ISFORMULA(INDEX('Game Records'!$X:$X,$H222))),NOT(_xlfn.ISFORMULA(INDEX('Game Records'!$Y:$Y,$H222))),NOT(_xlfn.ISFORMULA(INDEX('Game Records'!$Z:$Z,$H222)))),"","")&amp;IF(INDEX('Game Records'!$B:$B,$H222)="","Start Date; ","")&amp;IF(INDEX('Game Records'!$C:$C,$H222)="","End Date; ","")&amp;IF(AND(INDEX('Game Records'!$U:$U,$H222)&lt;&gt;"Subscription",INDEX('Game Records'!$U:$U,$H222)&lt;&gt;"Free Game",INDEX('Game Records'!$U:$U,$H222)&lt;&gt;"Disqualified — Free Game",OR(INDEX('Game Records'!$D:$D,$H222)="",LOWER(INDEX('Game Records'!$D:$D,$H222)&amp;"")="n/a")),"Entry Mode; ","")&amp;IF(AND(INDEX('Game Records'!$U:$U,$H222)&lt;&gt;"Subscription",INDEX('Game Records'!$U:$U,$H222)&lt;&gt;"Free Game",INDEX('Game Records'!$U:$U,$H222)&lt;&gt;"Disqualified — Free Game",OR(INDEX('Game Records'!$E:$E,$H222)="",LOWER(INDEX('Game Records'!$E:$E,$H222)&amp;"")="n/a")),"Game Type; ","")&amp;IF(INDEX('Game Records'!$F:$F,$H222)="","Payment Type; ","")&amp;IF(AND(INDEX('Game Records'!$U:$U,$H222)&lt;&gt;"Subscription",INDEX('Game Records'!$U:$U,$H222)&lt;&gt;"Free Game",INDEX('Game Records'!$U:$U,$H222)&lt;&gt;"Disqualified — Free Game",INDEX('Game Records'!$G:$G,$H222)=""),"Gross Pot; ","")&amp;IF(AND(INDEX('Game Records'!$U:$U,$H222)&lt;&gt;"Free Game",INDEX('Game Records'!$U:$U,$H222)&lt;&gt;"Disqualified — Free Game",INDEX('Game Records'!$H:$H,$H222)=""),"Entry Fee; ","")&amp;IF(AND(INDEX('Game Records'!$U:$U,$H222)&lt;&gt;"Subscription",INDEX('Game Records'!$U:$U,$H222)&lt;&gt;"Free Game",INDEX('Game Records'!$U:$U,$H222)&lt;&gt;"Disqualified — Free Game",INDEX('Game Records'!$I:$I,$H222)=""),"Eligible Players; ","")&amp;IF(AND(INDEX('Game Records'!$U:$U,$H222)&lt;&gt;"Subscription",INDEX('Game Records'!$U:$U,$H222)&lt;&gt;"Free Game",INDEX('Game Records'!$U:$U,$H222)&lt;&gt;"Disqualified — Free Game",INDEX('Game Records'!$J:$J,$H222)=""),"Total Players; ","")&amp;IF(AND(LOWER(INDEX('Game Records'!$D:$D,$H222)&amp;"")="finalized",LOWER(INDEX('Game Records'!$L:$L,$H222)&amp;"")&lt;&gt;"yes",INDEX('Game Records'!$U:$U,$H222)&lt;&gt;"Subscription",INDEX('Game Records'!$U:$U,$H222)&lt;&gt;"Free Game",INDEX('Game Records'!$U:$U,$H222)&lt;&gt;"Disqualified — Free Game",INDEX('Game Records'!$K:$K,$H222)=""),"Final Payout; ","")&amp;IF(AND(LOWER(INDEX('Game Records'!$D:$D,$H222)&amp;"")="finalized",INDEX('Game Records'!$U:$U,$H222)&lt;&gt;"Subscription",INDEX('Game Records'!$U:$U,$H222)&lt;&gt;"Free Game",INDEX('Game Records'!$U:$U,$H222)&lt;&gt;"Disqualified — Free Game",OR(INDEX('Game Records'!$L:$L,$H222)="",LOWER(INDEX('Game Records'!$L:$L,$H222)&amp;"")="n/a")),"Disqualified Status; ",""))</f>
        <v/>
      </c>
      <c r="G222" s="23" t="str">
        <f t="array" ref="G222">IF($H222="","",IFERROR(INDEX('Game Records'!$M:$M,$H222),""))</f>
        <v/>
      </c>
      <c r="H222" s="3"/>
    </row>
    <row r="223" ht="24.0" customHeight="1">
      <c r="A223" s="18" t="str">
        <f t="shared" si="1"/>
        <v/>
      </c>
      <c r="B223" s="18" t="str">
        <f t="shared" si="2"/>
        <v/>
      </c>
      <c r="C223" s="23" t="str">
        <f t="array" ref="C223">IF($H223="","",IFERROR(INDEX('Game Records'!$A:$A,$H223),""))</f>
        <v/>
      </c>
      <c r="D223" s="23" t="str">
        <f t="array" ref="D223">IF($H223="","",IFERROR(INDEX('Game Records'!$U:$U,$H223),""))</f>
        <v/>
      </c>
      <c r="E223" s="23" t="str">
        <f t="array" ref="E223">IF($H223="","",LET(r,$H223,mode,LOWER(INDEX('Game Records'!$D:$D,r)&amp;""),endDate,INDEX('Game Records'!$C:$C,r),IF(mode="estimate",IF(endDate="","Estimate — End Date missing",IF(NOT(ISNUMBER(endDate)),"Estimate — Check End Date",IF(INT(endDate)&gt;=TODAY(),"In Progress — ends "&amp;TEXT(endDate,"mmm d, yyyy"),"Ready to Finalize"))),IF($F223="","No Highlighted Fields","Highlighted Fields Present"))))</f>
        <v/>
      </c>
      <c r="F223" s="23" t="str">
        <f t="array" ref="F223">IF($H223="","",IF(OR(NOT(_xlfn.ISFORMULA(INDEX('Game Records'!$N:$N,$H223))),NOT(_xlfn.ISFORMULA(INDEX('Game Records'!$O:$O,$H223))),NOT(_xlfn.ISFORMULA(INDEX('Game Records'!$P:$P,$H223))),NOT(_xlfn.ISFORMULA(INDEX('Game Records'!$Q:$Q,$H223))),NOT(_xlfn.ISFORMULA(INDEX('Game Records'!$R:$R,$H223))),NOT(_xlfn.ISFORMULA(INDEX('Game Records'!$S:$S,$H223))),NOT(_xlfn.ISFORMULA(INDEX('Game Records'!$T:$T,$H223))),NOT(_xlfn.ISFORMULA(INDEX('Game Records'!$U:$U,$H223))),NOT(_xlfn.ISFORMULA(INDEX('Game Records'!$V:$V,$H223))),NOT(_xlfn.ISFORMULA(INDEX('Game Records'!$W:$W,$H223))),NOT(_xlfn.ISFORMULA(INDEX('Game Records'!$X:$X,$H223))),NOT(_xlfn.ISFORMULA(INDEX('Game Records'!$Y:$Y,$H223))),NOT(_xlfn.ISFORMULA(INDEX('Game Records'!$Z:$Z,$H223)))),"","")&amp;IF(INDEX('Game Records'!$B:$B,$H223)="","Start Date; ","")&amp;IF(INDEX('Game Records'!$C:$C,$H223)="","End Date; ","")&amp;IF(AND(INDEX('Game Records'!$U:$U,$H223)&lt;&gt;"Subscription",INDEX('Game Records'!$U:$U,$H223)&lt;&gt;"Free Game",INDEX('Game Records'!$U:$U,$H223)&lt;&gt;"Disqualified — Free Game",OR(INDEX('Game Records'!$D:$D,$H223)="",LOWER(INDEX('Game Records'!$D:$D,$H223)&amp;"")="n/a")),"Entry Mode; ","")&amp;IF(AND(INDEX('Game Records'!$U:$U,$H223)&lt;&gt;"Subscription",INDEX('Game Records'!$U:$U,$H223)&lt;&gt;"Free Game",INDEX('Game Records'!$U:$U,$H223)&lt;&gt;"Disqualified — Free Game",OR(INDEX('Game Records'!$E:$E,$H223)="",LOWER(INDEX('Game Records'!$E:$E,$H223)&amp;"")="n/a")),"Game Type; ","")&amp;IF(INDEX('Game Records'!$F:$F,$H223)="","Payment Type; ","")&amp;IF(AND(INDEX('Game Records'!$U:$U,$H223)&lt;&gt;"Subscription",INDEX('Game Records'!$U:$U,$H223)&lt;&gt;"Free Game",INDEX('Game Records'!$U:$U,$H223)&lt;&gt;"Disqualified — Free Game",INDEX('Game Records'!$G:$G,$H223)=""),"Gross Pot; ","")&amp;IF(AND(INDEX('Game Records'!$U:$U,$H223)&lt;&gt;"Free Game",INDEX('Game Records'!$U:$U,$H223)&lt;&gt;"Disqualified — Free Game",INDEX('Game Records'!$H:$H,$H223)=""),"Entry Fee; ","")&amp;IF(AND(INDEX('Game Records'!$U:$U,$H223)&lt;&gt;"Subscription",INDEX('Game Records'!$U:$U,$H223)&lt;&gt;"Free Game",INDEX('Game Records'!$U:$U,$H223)&lt;&gt;"Disqualified — Free Game",INDEX('Game Records'!$I:$I,$H223)=""),"Eligible Players; ","")&amp;IF(AND(INDEX('Game Records'!$U:$U,$H223)&lt;&gt;"Subscription",INDEX('Game Records'!$U:$U,$H223)&lt;&gt;"Free Game",INDEX('Game Records'!$U:$U,$H223)&lt;&gt;"Disqualified — Free Game",INDEX('Game Records'!$J:$J,$H223)=""),"Total Players; ","")&amp;IF(AND(LOWER(INDEX('Game Records'!$D:$D,$H223)&amp;"")="finalized",LOWER(INDEX('Game Records'!$L:$L,$H223)&amp;"")&lt;&gt;"yes",INDEX('Game Records'!$U:$U,$H223)&lt;&gt;"Subscription",INDEX('Game Records'!$U:$U,$H223)&lt;&gt;"Free Game",INDEX('Game Records'!$U:$U,$H223)&lt;&gt;"Disqualified — Free Game",INDEX('Game Records'!$K:$K,$H223)=""),"Final Payout; ","")&amp;IF(AND(LOWER(INDEX('Game Records'!$D:$D,$H223)&amp;"")="finalized",INDEX('Game Records'!$U:$U,$H223)&lt;&gt;"Subscription",INDEX('Game Records'!$U:$U,$H223)&lt;&gt;"Free Game",INDEX('Game Records'!$U:$U,$H223)&lt;&gt;"Disqualified — Free Game",OR(INDEX('Game Records'!$L:$L,$H223)="",LOWER(INDEX('Game Records'!$L:$L,$H223)&amp;"")="n/a")),"Disqualified Status; ",""))</f>
        <v/>
      </c>
      <c r="G223" s="23" t="str">
        <f t="array" ref="G223">IF($H223="","",IFERROR(INDEX('Game Records'!$M:$M,$H223),""))</f>
        <v/>
      </c>
      <c r="H223" s="3"/>
    </row>
    <row r="224" ht="24.0" customHeight="1">
      <c r="A224" s="18" t="str">
        <f t="shared" si="1"/>
        <v/>
      </c>
      <c r="B224" s="18" t="str">
        <f t="shared" si="2"/>
        <v/>
      </c>
      <c r="C224" s="23" t="str">
        <f t="array" ref="C224">IF($H224="","",IFERROR(INDEX('Game Records'!$A:$A,$H224),""))</f>
        <v/>
      </c>
      <c r="D224" s="23" t="str">
        <f t="array" ref="D224">IF($H224="","",IFERROR(INDEX('Game Records'!$U:$U,$H224),""))</f>
        <v/>
      </c>
      <c r="E224" s="23" t="str">
        <f t="array" ref="E224">IF($H224="","",LET(r,$H224,mode,LOWER(INDEX('Game Records'!$D:$D,r)&amp;""),endDate,INDEX('Game Records'!$C:$C,r),IF(mode="estimate",IF(endDate="","Estimate — End Date missing",IF(NOT(ISNUMBER(endDate)),"Estimate — Check End Date",IF(INT(endDate)&gt;=TODAY(),"In Progress — ends "&amp;TEXT(endDate,"mmm d, yyyy"),"Ready to Finalize"))),IF($F224="","No Highlighted Fields","Highlighted Fields Present"))))</f>
        <v/>
      </c>
      <c r="F224" s="23" t="str">
        <f t="array" ref="F224">IF($H224="","",IF(OR(NOT(_xlfn.ISFORMULA(INDEX('Game Records'!$N:$N,$H224))),NOT(_xlfn.ISFORMULA(INDEX('Game Records'!$O:$O,$H224))),NOT(_xlfn.ISFORMULA(INDEX('Game Records'!$P:$P,$H224))),NOT(_xlfn.ISFORMULA(INDEX('Game Records'!$Q:$Q,$H224))),NOT(_xlfn.ISFORMULA(INDEX('Game Records'!$R:$R,$H224))),NOT(_xlfn.ISFORMULA(INDEX('Game Records'!$S:$S,$H224))),NOT(_xlfn.ISFORMULA(INDEX('Game Records'!$T:$T,$H224))),NOT(_xlfn.ISFORMULA(INDEX('Game Records'!$U:$U,$H224))),NOT(_xlfn.ISFORMULA(INDEX('Game Records'!$V:$V,$H224))),NOT(_xlfn.ISFORMULA(INDEX('Game Records'!$W:$W,$H224))),NOT(_xlfn.ISFORMULA(INDEX('Game Records'!$X:$X,$H224))),NOT(_xlfn.ISFORMULA(INDEX('Game Records'!$Y:$Y,$H224))),NOT(_xlfn.ISFORMULA(INDEX('Game Records'!$Z:$Z,$H224)))),"","")&amp;IF(INDEX('Game Records'!$B:$B,$H224)="","Start Date; ","")&amp;IF(INDEX('Game Records'!$C:$C,$H224)="","End Date; ","")&amp;IF(AND(INDEX('Game Records'!$U:$U,$H224)&lt;&gt;"Subscription",INDEX('Game Records'!$U:$U,$H224)&lt;&gt;"Free Game",INDEX('Game Records'!$U:$U,$H224)&lt;&gt;"Disqualified — Free Game",OR(INDEX('Game Records'!$D:$D,$H224)="",LOWER(INDEX('Game Records'!$D:$D,$H224)&amp;"")="n/a")),"Entry Mode; ","")&amp;IF(AND(INDEX('Game Records'!$U:$U,$H224)&lt;&gt;"Subscription",INDEX('Game Records'!$U:$U,$H224)&lt;&gt;"Free Game",INDEX('Game Records'!$U:$U,$H224)&lt;&gt;"Disqualified — Free Game",OR(INDEX('Game Records'!$E:$E,$H224)="",LOWER(INDEX('Game Records'!$E:$E,$H224)&amp;"")="n/a")),"Game Type; ","")&amp;IF(INDEX('Game Records'!$F:$F,$H224)="","Payment Type; ","")&amp;IF(AND(INDEX('Game Records'!$U:$U,$H224)&lt;&gt;"Subscription",INDEX('Game Records'!$U:$U,$H224)&lt;&gt;"Free Game",INDEX('Game Records'!$U:$U,$H224)&lt;&gt;"Disqualified — Free Game",INDEX('Game Records'!$G:$G,$H224)=""),"Gross Pot; ","")&amp;IF(AND(INDEX('Game Records'!$U:$U,$H224)&lt;&gt;"Free Game",INDEX('Game Records'!$U:$U,$H224)&lt;&gt;"Disqualified — Free Game",INDEX('Game Records'!$H:$H,$H224)=""),"Entry Fee; ","")&amp;IF(AND(INDEX('Game Records'!$U:$U,$H224)&lt;&gt;"Subscription",INDEX('Game Records'!$U:$U,$H224)&lt;&gt;"Free Game",INDEX('Game Records'!$U:$U,$H224)&lt;&gt;"Disqualified — Free Game",INDEX('Game Records'!$I:$I,$H224)=""),"Eligible Players; ","")&amp;IF(AND(INDEX('Game Records'!$U:$U,$H224)&lt;&gt;"Subscription",INDEX('Game Records'!$U:$U,$H224)&lt;&gt;"Free Game",INDEX('Game Records'!$U:$U,$H224)&lt;&gt;"Disqualified — Free Game",INDEX('Game Records'!$J:$J,$H224)=""),"Total Players; ","")&amp;IF(AND(LOWER(INDEX('Game Records'!$D:$D,$H224)&amp;"")="finalized",LOWER(INDEX('Game Records'!$L:$L,$H224)&amp;"")&lt;&gt;"yes",INDEX('Game Records'!$U:$U,$H224)&lt;&gt;"Subscription",INDEX('Game Records'!$U:$U,$H224)&lt;&gt;"Free Game",INDEX('Game Records'!$U:$U,$H224)&lt;&gt;"Disqualified — Free Game",INDEX('Game Records'!$K:$K,$H224)=""),"Final Payout; ","")&amp;IF(AND(LOWER(INDEX('Game Records'!$D:$D,$H224)&amp;"")="finalized",INDEX('Game Records'!$U:$U,$H224)&lt;&gt;"Subscription",INDEX('Game Records'!$U:$U,$H224)&lt;&gt;"Free Game",INDEX('Game Records'!$U:$U,$H224)&lt;&gt;"Disqualified — Free Game",OR(INDEX('Game Records'!$L:$L,$H224)="",LOWER(INDEX('Game Records'!$L:$L,$H224)&amp;"")="n/a")),"Disqualified Status; ",""))</f>
        <v/>
      </c>
      <c r="G224" s="23" t="str">
        <f t="array" ref="G224">IF($H224="","",IFERROR(INDEX('Game Records'!$M:$M,$H224),""))</f>
        <v/>
      </c>
      <c r="H224" s="3"/>
    </row>
    <row r="225" ht="24.0" customHeight="1">
      <c r="A225" s="18" t="str">
        <f t="shared" si="1"/>
        <v/>
      </c>
      <c r="B225" s="18" t="str">
        <f t="shared" si="2"/>
        <v/>
      </c>
      <c r="C225" s="23" t="str">
        <f t="array" ref="C225">IF($H225="","",IFERROR(INDEX('Game Records'!$A:$A,$H225),""))</f>
        <v/>
      </c>
      <c r="D225" s="23" t="str">
        <f t="array" ref="D225">IF($H225="","",IFERROR(INDEX('Game Records'!$U:$U,$H225),""))</f>
        <v/>
      </c>
      <c r="E225" s="23" t="str">
        <f t="array" ref="E225">IF($H225="","",LET(r,$H225,mode,LOWER(INDEX('Game Records'!$D:$D,r)&amp;""),endDate,INDEX('Game Records'!$C:$C,r),IF(mode="estimate",IF(endDate="","Estimate — End Date missing",IF(NOT(ISNUMBER(endDate)),"Estimate — Check End Date",IF(INT(endDate)&gt;=TODAY(),"In Progress — ends "&amp;TEXT(endDate,"mmm d, yyyy"),"Ready to Finalize"))),IF($F225="","No Highlighted Fields","Highlighted Fields Present"))))</f>
        <v/>
      </c>
      <c r="F225" s="23" t="str">
        <f t="array" ref="F225">IF($H225="","",IF(OR(NOT(_xlfn.ISFORMULA(INDEX('Game Records'!$N:$N,$H225))),NOT(_xlfn.ISFORMULA(INDEX('Game Records'!$O:$O,$H225))),NOT(_xlfn.ISFORMULA(INDEX('Game Records'!$P:$P,$H225))),NOT(_xlfn.ISFORMULA(INDEX('Game Records'!$Q:$Q,$H225))),NOT(_xlfn.ISFORMULA(INDEX('Game Records'!$R:$R,$H225))),NOT(_xlfn.ISFORMULA(INDEX('Game Records'!$S:$S,$H225))),NOT(_xlfn.ISFORMULA(INDEX('Game Records'!$T:$T,$H225))),NOT(_xlfn.ISFORMULA(INDEX('Game Records'!$U:$U,$H225))),NOT(_xlfn.ISFORMULA(INDEX('Game Records'!$V:$V,$H225))),NOT(_xlfn.ISFORMULA(INDEX('Game Records'!$W:$W,$H225))),NOT(_xlfn.ISFORMULA(INDEX('Game Records'!$X:$X,$H225))),NOT(_xlfn.ISFORMULA(INDEX('Game Records'!$Y:$Y,$H225))),NOT(_xlfn.ISFORMULA(INDEX('Game Records'!$Z:$Z,$H225)))),"","")&amp;IF(INDEX('Game Records'!$B:$B,$H225)="","Start Date; ","")&amp;IF(INDEX('Game Records'!$C:$C,$H225)="","End Date; ","")&amp;IF(AND(INDEX('Game Records'!$U:$U,$H225)&lt;&gt;"Subscription",INDEX('Game Records'!$U:$U,$H225)&lt;&gt;"Free Game",INDEX('Game Records'!$U:$U,$H225)&lt;&gt;"Disqualified — Free Game",OR(INDEX('Game Records'!$D:$D,$H225)="",LOWER(INDEX('Game Records'!$D:$D,$H225)&amp;"")="n/a")),"Entry Mode; ","")&amp;IF(AND(INDEX('Game Records'!$U:$U,$H225)&lt;&gt;"Subscription",INDEX('Game Records'!$U:$U,$H225)&lt;&gt;"Free Game",INDEX('Game Records'!$U:$U,$H225)&lt;&gt;"Disqualified — Free Game",OR(INDEX('Game Records'!$E:$E,$H225)="",LOWER(INDEX('Game Records'!$E:$E,$H225)&amp;"")="n/a")),"Game Type; ","")&amp;IF(INDEX('Game Records'!$F:$F,$H225)="","Payment Type; ","")&amp;IF(AND(INDEX('Game Records'!$U:$U,$H225)&lt;&gt;"Subscription",INDEX('Game Records'!$U:$U,$H225)&lt;&gt;"Free Game",INDEX('Game Records'!$U:$U,$H225)&lt;&gt;"Disqualified — Free Game",INDEX('Game Records'!$G:$G,$H225)=""),"Gross Pot; ","")&amp;IF(AND(INDEX('Game Records'!$U:$U,$H225)&lt;&gt;"Free Game",INDEX('Game Records'!$U:$U,$H225)&lt;&gt;"Disqualified — Free Game",INDEX('Game Records'!$H:$H,$H225)=""),"Entry Fee; ","")&amp;IF(AND(INDEX('Game Records'!$U:$U,$H225)&lt;&gt;"Subscription",INDEX('Game Records'!$U:$U,$H225)&lt;&gt;"Free Game",INDEX('Game Records'!$U:$U,$H225)&lt;&gt;"Disqualified — Free Game",INDEX('Game Records'!$I:$I,$H225)=""),"Eligible Players; ","")&amp;IF(AND(INDEX('Game Records'!$U:$U,$H225)&lt;&gt;"Subscription",INDEX('Game Records'!$U:$U,$H225)&lt;&gt;"Free Game",INDEX('Game Records'!$U:$U,$H225)&lt;&gt;"Disqualified — Free Game",INDEX('Game Records'!$J:$J,$H225)=""),"Total Players; ","")&amp;IF(AND(LOWER(INDEX('Game Records'!$D:$D,$H225)&amp;"")="finalized",LOWER(INDEX('Game Records'!$L:$L,$H225)&amp;"")&lt;&gt;"yes",INDEX('Game Records'!$U:$U,$H225)&lt;&gt;"Subscription",INDEX('Game Records'!$U:$U,$H225)&lt;&gt;"Free Game",INDEX('Game Records'!$U:$U,$H225)&lt;&gt;"Disqualified — Free Game",INDEX('Game Records'!$K:$K,$H225)=""),"Final Payout; ","")&amp;IF(AND(LOWER(INDEX('Game Records'!$D:$D,$H225)&amp;"")="finalized",INDEX('Game Records'!$U:$U,$H225)&lt;&gt;"Subscription",INDEX('Game Records'!$U:$U,$H225)&lt;&gt;"Free Game",INDEX('Game Records'!$U:$U,$H225)&lt;&gt;"Disqualified — Free Game",OR(INDEX('Game Records'!$L:$L,$H225)="",LOWER(INDEX('Game Records'!$L:$L,$H225)&amp;"")="n/a")),"Disqualified Status; ",""))</f>
        <v/>
      </c>
      <c r="G225" s="23" t="str">
        <f t="array" ref="G225">IF($H225="","",IFERROR(INDEX('Game Records'!$M:$M,$H225),""))</f>
        <v/>
      </c>
      <c r="H225" s="3"/>
    </row>
    <row r="226" ht="24.0" customHeight="1">
      <c r="A226" s="18" t="str">
        <f t="shared" si="1"/>
        <v/>
      </c>
      <c r="B226" s="18" t="str">
        <f t="shared" si="2"/>
        <v/>
      </c>
      <c r="C226" s="23" t="str">
        <f t="array" ref="C226">IF($H226="","",IFERROR(INDEX('Game Records'!$A:$A,$H226),""))</f>
        <v/>
      </c>
      <c r="D226" s="23" t="str">
        <f t="array" ref="D226">IF($H226="","",IFERROR(INDEX('Game Records'!$U:$U,$H226),""))</f>
        <v/>
      </c>
      <c r="E226" s="23" t="str">
        <f t="array" ref="E226">IF($H226="","",LET(r,$H226,mode,LOWER(INDEX('Game Records'!$D:$D,r)&amp;""),endDate,INDEX('Game Records'!$C:$C,r),IF(mode="estimate",IF(endDate="","Estimate — End Date missing",IF(NOT(ISNUMBER(endDate)),"Estimate — Check End Date",IF(INT(endDate)&gt;=TODAY(),"In Progress — ends "&amp;TEXT(endDate,"mmm d, yyyy"),"Ready to Finalize"))),IF($F226="","No Highlighted Fields","Highlighted Fields Present"))))</f>
        <v/>
      </c>
      <c r="F226" s="23" t="str">
        <f t="array" ref="F226">IF($H226="","",IF(OR(NOT(_xlfn.ISFORMULA(INDEX('Game Records'!$N:$N,$H226))),NOT(_xlfn.ISFORMULA(INDEX('Game Records'!$O:$O,$H226))),NOT(_xlfn.ISFORMULA(INDEX('Game Records'!$P:$P,$H226))),NOT(_xlfn.ISFORMULA(INDEX('Game Records'!$Q:$Q,$H226))),NOT(_xlfn.ISFORMULA(INDEX('Game Records'!$R:$R,$H226))),NOT(_xlfn.ISFORMULA(INDEX('Game Records'!$S:$S,$H226))),NOT(_xlfn.ISFORMULA(INDEX('Game Records'!$T:$T,$H226))),NOT(_xlfn.ISFORMULA(INDEX('Game Records'!$U:$U,$H226))),NOT(_xlfn.ISFORMULA(INDEX('Game Records'!$V:$V,$H226))),NOT(_xlfn.ISFORMULA(INDEX('Game Records'!$W:$W,$H226))),NOT(_xlfn.ISFORMULA(INDEX('Game Records'!$X:$X,$H226))),NOT(_xlfn.ISFORMULA(INDEX('Game Records'!$Y:$Y,$H226))),NOT(_xlfn.ISFORMULA(INDEX('Game Records'!$Z:$Z,$H226)))),"","")&amp;IF(INDEX('Game Records'!$B:$B,$H226)="","Start Date; ","")&amp;IF(INDEX('Game Records'!$C:$C,$H226)="","End Date; ","")&amp;IF(AND(INDEX('Game Records'!$U:$U,$H226)&lt;&gt;"Subscription",INDEX('Game Records'!$U:$U,$H226)&lt;&gt;"Free Game",INDEX('Game Records'!$U:$U,$H226)&lt;&gt;"Disqualified — Free Game",OR(INDEX('Game Records'!$D:$D,$H226)="",LOWER(INDEX('Game Records'!$D:$D,$H226)&amp;"")="n/a")),"Entry Mode; ","")&amp;IF(AND(INDEX('Game Records'!$U:$U,$H226)&lt;&gt;"Subscription",INDEX('Game Records'!$U:$U,$H226)&lt;&gt;"Free Game",INDEX('Game Records'!$U:$U,$H226)&lt;&gt;"Disqualified — Free Game",OR(INDEX('Game Records'!$E:$E,$H226)="",LOWER(INDEX('Game Records'!$E:$E,$H226)&amp;"")="n/a")),"Game Type; ","")&amp;IF(INDEX('Game Records'!$F:$F,$H226)="","Payment Type; ","")&amp;IF(AND(INDEX('Game Records'!$U:$U,$H226)&lt;&gt;"Subscription",INDEX('Game Records'!$U:$U,$H226)&lt;&gt;"Free Game",INDEX('Game Records'!$U:$U,$H226)&lt;&gt;"Disqualified — Free Game",INDEX('Game Records'!$G:$G,$H226)=""),"Gross Pot; ","")&amp;IF(AND(INDEX('Game Records'!$U:$U,$H226)&lt;&gt;"Free Game",INDEX('Game Records'!$U:$U,$H226)&lt;&gt;"Disqualified — Free Game",INDEX('Game Records'!$H:$H,$H226)=""),"Entry Fee; ","")&amp;IF(AND(INDEX('Game Records'!$U:$U,$H226)&lt;&gt;"Subscription",INDEX('Game Records'!$U:$U,$H226)&lt;&gt;"Free Game",INDEX('Game Records'!$U:$U,$H226)&lt;&gt;"Disqualified — Free Game",INDEX('Game Records'!$I:$I,$H226)=""),"Eligible Players; ","")&amp;IF(AND(INDEX('Game Records'!$U:$U,$H226)&lt;&gt;"Subscription",INDEX('Game Records'!$U:$U,$H226)&lt;&gt;"Free Game",INDEX('Game Records'!$U:$U,$H226)&lt;&gt;"Disqualified — Free Game",INDEX('Game Records'!$J:$J,$H226)=""),"Total Players; ","")&amp;IF(AND(LOWER(INDEX('Game Records'!$D:$D,$H226)&amp;"")="finalized",LOWER(INDEX('Game Records'!$L:$L,$H226)&amp;"")&lt;&gt;"yes",INDEX('Game Records'!$U:$U,$H226)&lt;&gt;"Subscription",INDEX('Game Records'!$U:$U,$H226)&lt;&gt;"Free Game",INDEX('Game Records'!$U:$U,$H226)&lt;&gt;"Disqualified — Free Game",INDEX('Game Records'!$K:$K,$H226)=""),"Final Payout; ","")&amp;IF(AND(LOWER(INDEX('Game Records'!$D:$D,$H226)&amp;"")="finalized",INDEX('Game Records'!$U:$U,$H226)&lt;&gt;"Subscription",INDEX('Game Records'!$U:$U,$H226)&lt;&gt;"Free Game",INDEX('Game Records'!$U:$U,$H226)&lt;&gt;"Disqualified — Free Game",OR(INDEX('Game Records'!$L:$L,$H226)="",LOWER(INDEX('Game Records'!$L:$L,$H226)&amp;"")="n/a")),"Disqualified Status; ",""))</f>
        <v/>
      </c>
      <c r="G226" s="23" t="str">
        <f t="array" ref="G226">IF($H226="","",IFERROR(INDEX('Game Records'!$M:$M,$H226),""))</f>
        <v/>
      </c>
      <c r="H226" s="3"/>
    </row>
    <row r="227" ht="24.0" customHeight="1">
      <c r="A227" s="18" t="str">
        <f t="shared" si="1"/>
        <v/>
      </c>
      <c r="B227" s="18" t="str">
        <f t="shared" si="2"/>
        <v/>
      </c>
      <c r="C227" s="23" t="str">
        <f t="array" ref="C227">IF($H227="","",IFERROR(INDEX('Game Records'!$A:$A,$H227),""))</f>
        <v/>
      </c>
      <c r="D227" s="23" t="str">
        <f t="array" ref="D227">IF($H227="","",IFERROR(INDEX('Game Records'!$U:$U,$H227),""))</f>
        <v/>
      </c>
      <c r="E227" s="23" t="str">
        <f t="array" ref="E227">IF($H227="","",LET(r,$H227,mode,LOWER(INDEX('Game Records'!$D:$D,r)&amp;""),endDate,INDEX('Game Records'!$C:$C,r),IF(mode="estimate",IF(endDate="","Estimate — End Date missing",IF(NOT(ISNUMBER(endDate)),"Estimate — Check End Date",IF(INT(endDate)&gt;=TODAY(),"In Progress — ends "&amp;TEXT(endDate,"mmm d, yyyy"),"Ready to Finalize"))),IF($F227="","No Highlighted Fields","Highlighted Fields Present"))))</f>
        <v/>
      </c>
      <c r="F227" s="23" t="str">
        <f t="array" ref="F227">IF($H227="","",IF(OR(NOT(_xlfn.ISFORMULA(INDEX('Game Records'!$N:$N,$H227))),NOT(_xlfn.ISFORMULA(INDEX('Game Records'!$O:$O,$H227))),NOT(_xlfn.ISFORMULA(INDEX('Game Records'!$P:$P,$H227))),NOT(_xlfn.ISFORMULA(INDEX('Game Records'!$Q:$Q,$H227))),NOT(_xlfn.ISFORMULA(INDEX('Game Records'!$R:$R,$H227))),NOT(_xlfn.ISFORMULA(INDEX('Game Records'!$S:$S,$H227))),NOT(_xlfn.ISFORMULA(INDEX('Game Records'!$T:$T,$H227))),NOT(_xlfn.ISFORMULA(INDEX('Game Records'!$U:$U,$H227))),NOT(_xlfn.ISFORMULA(INDEX('Game Records'!$V:$V,$H227))),NOT(_xlfn.ISFORMULA(INDEX('Game Records'!$W:$W,$H227))),NOT(_xlfn.ISFORMULA(INDEX('Game Records'!$X:$X,$H227))),NOT(_xlfn.ISFORMULA(INDEX('Game Records'!$Y:$Y,$H227))),NOT(_xlfn.ISFORMULA(INDEX('Game Records'!$Z:$Z,$H227)))),"","")&amp;IF(INDEX('Game Records'!$B:$B,$H227)="","Start Date; ","")&amp;IF(INDEX('Game Records'!$C:$C,$H227)="","End Date; ","")&amp;IF(AND(INDEX('Game Records'!$U:$U,$H227)&lt;&gt;"Subscription",INDEX('Game Records'!$U:$U,$H227)&lt;&gt;"Free Game",INDEX('Game Records'!$U:$U,$H227)&lt;&gt;"Disqualified — Free Game",OR(INDEX('Game Records'!$D:$D,$H227)="",LOWER(INDEX('Game Records'!$D:$D,$H227)&amp;"")="n/a")),"Entry Mode; ","")&amp;IF(AND(INDEX('Game Records'!$U:$U,$H227)&lt;&gt;"Subscription",INDEX('Game Records'!$U:$U,$H227)&lt;&gt;"Free Game",INDEX('Game Records'!$U:$U,$H227)&lt;&gt;"Disqualified — Free Game",OR(INDEX('Game Records'!$E:$E,$H227)="",LOWER(INDEX('Game Records'!$E:$E,$H227)&amp;"")="n/a")),"Game Type; ","")&amp;IF(INDEX('Game Records'!$F:$F,$H227)="","Payment Type; ","")&amp;IF(AND(INDEX('Game Records'!$U:$U,$H227)&lt;&gt;"Subscription",INDEX('Game Records'!$U:$U,$H227)&lt;&gt;"Free Game",INDEX('Game Records'!$U:$U,$H227)&lt;&gt;"Disqualified — Free Game",INDEX('Game Records'!$G:$G,$H227)=""),"Gross Pot; ","")&amp;IF(AND(INDEX('Game Records'!$U:$U,$H227)&lt;&gt;"Free Game",INDEX('Game Records'!$U:$U,$H227)&lt;&gt;"Disqualified — Free Game",INDEX('Game Records'!$H:$H,$H227)=""),"Entry Fee; ","")&amp;IF(AND(INDEX('Game Records'!$U:$U,$H227)&lt;&gt;"Subscription",INDEX('Game Records'!$U:$U,$H227)&lt;&gt;"Free Game",INDEX('Game Records'!$U:$U,$H227)&lt;&gt;"Disqualified — Free Game",INDEX('Game Records'!$I:$I,$H227)=""),"Eligible Players; ","")&amp;IF(AND(INDEX('Game Records'!$U:$U,$H227)&lt;&gt;"Subscription",INDEX('Game Records'!$U:$U,$H227)&lt;&gt;"Free Game",INDEX('Game Records'!$U:$U,$H227)&lt;&gt;"Disqualified — Free Game",INDEX('Game Records'!$J:$J,$H227)=""),"Total Players; ","")&amp;IF(AND(LOWER(INDEX('Game Records'!$D:$D,$H227)&amp;"")="finalized",LOWER(INDEX('Game Records'!$L:$L,$H227)&amp;"")&lt;&gt;"yes",INDEX('Game Records'!$U:$U,$H227)&lt;&gt;"Subscription",INDEX('Game Records'!$U:$U,$H227)&lt;&gt;"Free Game",INDEX('Game Records'!$U:$U,$H227)&lt;&gt;"Disqualified — Free Game",INDEX('Game Records'!$K:$K,$H227)=""),"Final Payout; ","")&amp;IF(AND(LOWER(INDEX('Game Records'!$D:$D,$H227)&amp;"")="finalized",INDEX('Game Records'!$U:$U,$H227)&lt;&gt;"Subscription",INDEX('Game Records'!$U:$U,$H227)&lt;&gt;"Free Game",INDEX('Game Records'!$U:$U,$H227)&lt;&gt;"Disqualified — Free Game",OR(INDEX('Game Records'!$L:$L,$H227)="",LOWER(INDEX('Game Records'!$L:$L,$H227)&amp;"")="n/a")),"Disqualified Status; ",""))</f>
        <v/>
      </c>
      <c r="G227" s="23" t="str">
        <f t="array" ref="G227">IF($H227="","",IFERROR(INDEX('Game Records'!$M:$M,$H227),""))</f>
        <v/>
      </c>
      <c r="H227" s="3"/>
    </row>
    <row r="228" ht="24.0" customHeight="1">
      <c r="A228" s="18" t="str">
        <f t="shared" si="1"/>
        <v/>
      </c>
      <c r="B228" s="18" t="str">
        <f t="shared" si="2"/>
        <v/>
      </c>
      <c r="C228" s="23" t="str">
        <f t="array" ref="C228">IF($H228="","",IFERROR(INDEX('Game Records'!$A:$A,$H228),""))</f>
        <v/>
      </c>
      <c r="D228" s="23" t="str">
        <f t="array" ref="D228">IF($H228="","",IFERROR(INDEX('Game Records'!$U:$U,$H228),""))</f>
        <v/>
      </c>
      <c r="E228" s="23" t="str">
        <f t="array" ref="E228">IF($H228="","",LET(r,$H228,mode,LOWER(INDEX('Game Records'!$D:$D,r)&amp;""),endDate,INDEX('Game Records'!$C:$C,r),IF(mode="estimate",IF(endDate="","Estimate — End Date missing",IF(NOT(ISNUMBER(endDate)),"Estimate — Check End Date",IF(INT(endDate)&gt;=TODAY(),"In Progress — ends "&amp;TEXT(endDate,"mmm d, yyyy"),"Ready to Finalize"))),IF($F228="","No Highlighted Fields","Highlighted Fields Present"))))</f>
        <v/>
      </c>
      <c r="F228" s="23" t="str">
        <f t="array" ref="F228">IF($H228="","",IF(OR(NOT(_xlfn.ISFORMULA(INDEX('Game Records'!$N:$N,$H228))),NOT(_xlfn.ISFORMULA(INDEX('Game Records'!$O:$O,$H228))),NOT(_xlfn.ISFORMULA(INDEX('Game Records'!$P:$P,$H228))),NOT(_xlfn.ISFORMULA(INDEX('Game Records'!$Q:$Q,$H228))),NOT(_xlfn.ISFORMULA(INDEX('Game Records'!$R:$R,$H228))),NOT(_xlfn.ISFORMULA(INDEX('Game Records'!$S:$S,$H228))),NOT(_xlfn.ISFORMULA(INDEX('Game Records'!$T:$T,$H228))),NOT(_xlfn.ISFORMULA(INDEX('Game Records'!$U:$U,$H228))),NOT(_xlfn.ISFORMULA(INDEX('Game Records'!$V:$V,$H228))),NOT(_xlfn.ISFORMULA(INDEX('Game Records'!$W:$W,$H228))),NOT(_xlfn.ISFORMULA(INDEX('Game Records'!$X:$X,$H228))),NOT(_xlfn.ISFORMULA(INDEX('Game Records'!$Y:$Y,$H228))),NOT(_xlfn.ISFORMULA(INDEX('Game Records'!$Z:$Z,$H228)))),"","")&amp;IF(INDEX('Game Records'!$B:$B,$H228)="","Start Date; ","")&amp;IF(INDEX('Game Records'!$C:$C,$H228)="","End Date; ","")&amp;IF(AND(INDEX('Game Records'!$U:$U,$H228)&lt;&gt;"Subscription",INDEX('Game Records'!$U:$U,$H228)&lt;&gt;"Free Game",INDEX('Game Records'!$U:$U,$H228)&lt;&gt;"Disqualified — Free Game",OR(INDEX('Game Records'!$D:$D,$H228)="",LOWER(INDEX('Game Records'!$D:$D,$H228)&amp;"")="n/a")),"Entry Mode; ","")&amp;IF(AND(INDEX('Game Records'!$U:$U,$H228)&lt;&gt;"Subscription",INDEX('Game Records'!$U:$U,$H228)&lt;&gt;"Free Game",INDEX('Game Records'!$U:$U,$H228)&lt;&gt;"Disqualified — Free Game",OR(INDEX('Game Records'!$E:$E,$H228)="",LOWER(INDEX('Game Records'!$E:$E,$H228)&amp;"")="n/a")),"Game Type; ","")&amp;IF(INDEX('Game Records'!$F:$F,$H228)="","Payment Type; ","")&amp;IF(AND(INDEX('Game Records'!$U:$U,$H228)&lt;&gt;"Subscription",INDEX('Game Records'!$U:$U,$H228)&lt;&gt;"Free Game",INDEX('Game Records'!$U:$U,$H228)&lt;&gt;"Disqualified — Free Game",INDEX('Game Records'!$G:$G,$H228)=""),"Gross Pot; ","")&amp;IF(AND(INDEX('Game Records'!$U:$U,$H228)&lt;&gt;"Free Game",INDEX('Game Records'!$U:$U,$H228)&lt;&gt;"Disqualified — Free Game",INDEX('Game Records'!$H:$H,$H228)=""),"Entry Fee; ","")&amp;IF(AND(INDEX('Game Records'!$U:$U,$H228)&lt;&gt;"Subscription",INDEX('Game Records'!$U:$U,$H228)&lt;&gt;"Free Game",INDEX('Game Records'!$U:$U,$H228)&lt;&gt;"Disqualified — Free Game",INDEX('Game Records'!$I:$I,$H228)=""),"Eligible Players; ","")&amp;IF(AND(INDEX('Game Records'!$U:$U,$H228)&lt;&gt;"Subscription",INDEX('Game Records'!$U:$U,$H228)&lt;&gt;"Free Game",INDEX('Game Records'!$U:$U,$H228)&lt;&gt;"Disqualified — Free Game",INDEX('Game Records'!$J:$J,$H228)=""),"Total Players; ","")&amp;IF(AND(LOWER(INDEX('Game Records'!$D:$D,$H228)&amp;"")="finalized",LOWER(INDEX('Game Records'!$L:$L,$H228)&amp;"")&lt;&gt;"yes",INDEX('Game Records'!$U:$U,$H228)&lt;&gt;"Subscription",INDEX('Game Records'!$U:$U,$H228)&lt;&gt;"Free Game",INDEX('Game Records'!$U:$U,$H228)&lt;&gt;"Disqualified — Free Game",INDEX('Game Records'!$K:$K,$H228)=""),"Final Payout; ","")&amp;IF(AND(LOWER(INDEX('Game Records'!$D:$D,$H228)&amp;"")="finalized",INDEX('Game Records'!$U:$U,$H228)&lt;&gt;"Subscription",INDEX('Game Records'!$U:$U,$H228)&lt;&gt;"Free Game",INDEX('Game Records'!$U:$U,$H228)&lt;&gt;"Disqualified — Free Game",OR(INDEX('Game Records'!$L:$L,$H228)="",LOWER(INDEX('Game Records'!$L:$L,$H228)&amp;"")="n/a")),"Disqualified Status; ",""))</f>
        <v/>
      </c>
      <c r="G228" s="23" t="str">
        <f t="array" ref="G228">IF($H228="","",IFERROR(INDEX('Game Records'!$M:$M,$H228),""))</f>
        <v/>
      </c>
      <c r="H228" s="3"/>
    </row>
    <row r="229" ht="24.0" customHeight="1">
      <c r="A229" s="18" t="str">
        <f t="shared" si="1"/>
        <v/>
      </c>
      <c r="B229" s="18" t="str">
        <f t="shared" si="2"/>
        <v/>
      </c>
      <c r="C229" s="23" t="str">
        <f t="array" ref="C229">IF($H229="","",IFERROR(INDEX('Game Records'!$A:$A,$H229),""))</f>
        <v/>
      </c>
      <c r="D229" s="23" t="str">
        <f t="array" ref="D229">IF($H229="","",IFERROR(INDEX('Game Records'!$U:$U,$H229),""))</f>
        <v/>
      </c>
      <c r="E229" s="23" t="str">
        <f t="array" ref="E229">IF($H229="","",LET(r,$H229,mode,LOWER(INDEX('Game Records'!$D:$D,r)&amp;""),endDate,INDEX('Game Records'!$C:$C,r),IF(mode="estimate",IF(endDate="","Estimate — End Date missing",IF(NOT(ISNUMBER(endDate)),"Estimate — Check End Date",IF(INT(endDate)&gt;=TODAY(),"In Progress — ends "&amp;TEXT(endDate,"mmm d, yyyy"),"Ready to Finalize"))),IF($F229="","No Highlighted Fields","Highlighted Fields Present"))))</f>
        <v/>
      </c>
      <c r="F229" s="23" t="str">
        <f t="array" ref="F229">IF($H229="","",IF(OR(NOT(_xlfn.ISFORMULA(INDEX('Game Records'!$N:$N,$H229))),NOT(_xlfn.ISFORMULA(INDEX('Game Records'!$O:$O,$H229))),NOT(_xlfn.ISFORMULA(INDEX('Game Records'!$P:$P,$H229))),NOT(_xlfn.ISFORMULA(INDEX('Game Records'!$Q:$Q,$H229))),NOT(_xlfn.ISFORMULA(INDEX('Game Records'!$R:$R,$H229))),NOT(_xlfn.ISFORMULA(INDEX('Game Records'!$S:$S,$H229))),NOT(_xlfn.ISFORMULA(INDEX('Game Records'!$T:$T,$H229))),NOT(_xlfn.ISFORMULA(INDEX('Game Records'!$U:$U,$H229))),NOT(_xlfn.ISFORMULA(INDEX('Game Records'!$V:$V,$H229))),NOT(_xlfn.ISFORMULA(INDEX('Game Records'!$W:$W,$H229))),NOT(_xlfn.ISFORMULA(INDEX('Game Records'!$X:$X,$H229))),NOT(_xlfn.ISFORMULA(INDEX('Game Records'!$Y:$Y,$H229))),NOT(_xlfn.ISFORMULA(INDEX('Game Records'!$Z:$Z,$H229)))),"","")&amp;IF(INDEX('Game Records'!$B:$B,$H229)="","Start Date; ","")&amp;IF(INDEX('Game Records'!$C:$C,$H229)="","End Date; ","")&amp;IF(AND(INDEX('Game Records'!$U:$U,$H229)&lt;&gt;"Subscription",INDEX('Game Records'!$U:$U,$H229)&lt;&gt;"Free Game",INDEX('Game Records'!$U:$U,$H229)&lt;&gt;"Disqualified — Free Game",OR(INDEX('Game Records'!$D:$D,$H229)="",LOWER(INDEX('Game Records'!$D:$D,$H229)&amp;"")="n/a")),"Entry Mode; ","")&amp;IF(AND(INDEX('Game Records'!$U:$U,$H229)&lt;&gt;"Subscription",INDEX('Game Records'!$U:$U,$H229)&lt;&gt;"Free Game",INDEX('Game Records'!$U:$U,$H229)&lt;&gt;"Disqualified — Free Game",OR(INDEX('Game Records'!$E:$E,$H229)="",LOWER(INDEX('Game Records'!$E:$E,$H229)&amp;"")="n/a")),"Game Type; ","")&amp;IF(INDEX('Game Records'!$F:$F,$H229)="","Payment Type; ","")&amp;IF(AND(INDEX('Game Records'!$U:$U,$H229)&lt;&gt;"Subscription",INDEX('Game Records'!$U:$U,$H229)&lt;&gt;"Free Game",INDEX('Game Records'!$U:$U,$H229)&lt;&gt;"Disqualified — Free Game",INDEX('Game Records'!$G:$G,$H229)=""),"Gross Pot; ","")&amp;IF(AND(INDEX('Game Records'!$U:$U,$H229)&lt;&gt;"Free Game",INDEX('Game Records'!$U:$U,$H229)&lt;&gt;"Disqualified — Free Game",INDEX('Game Records'!$H:$H,$H229)=""),"Entry Fee; ","")&amp;IF(AND(INDEX('Game Records'!$U:$U,$H229)&lt;&gt;"Subscription",INDEX('Game Records'!$U:$U,$H229)&lt;&gt;"Free Game",INDEX('Game Records'!$U:$U,$H229)&lt;&gt;"Disqualified — Free Game",INDEX('Game Records'!$I:$I,$H229)=""),"Eligible Players; ","")&amp;IF(AND(INDEX('Game Records'!$U:$U,$H229)&lt;&gt;"Subscription",INDEX('Game Records'!$U:$U,$H229)&lt;&gt;"Free Game",INDEX('Game Records'!$U:$U,$H229)&lt;&gt;"Disqualified — Free Game",INDEX('Game Records'!$J:$J,$H229)=""),"Total Players; ","")&amp;IF(AND(LOWER(INDEX('Game Records'!$D:$D,$H229)&amp;"")="finalized",LOWER(INDEX('Game Records'!$L:$L,$H229)&amp;"")&lt;&gt;"yes",INDEX('Game Records'!$U:$U,$H229)&lt;&gt;"Subscription",INDEX('Game Records'!$U:$U,$H229)&lt;&gt;"Free Game",INDEX('Game Records'!$U:$U,$H229)&lt;&gt;"Disqualified — Free Game",INDEX('Game Records'!$K:$K,$H229)=""),"Final Payout; ","")&amp;IF(AND(LOWER(INDEX('Game Records'!$D:$D,$H229)&amp;"")="finalized",INDEX('Game Records'!$U:$U,$H229)&lt;&gt;"Subscription",INDEX('Game Records'!$U:$U,$H229)&lt;&gt;"Free Game",INDEX('Game Records'!$U:$U,$H229)&lt;&gt;"Disqualified — Free Game",OR(INDEX('Game Records'!$L:$L,$H229)="",LOWER(INDEX('Game Records'!$L:$L,$H229)&amp;"")="n/a")),"Disqualified Status; ",""))</f>
        <v/>
      </c>
      <c r="G229" s="23" t="str">
        <f t="array" ref="G229">IF($H229="","",IFERROR(INDEX('Game Records'!$M:$M,$H229),""))</f>
        <v/>
      </c>
      <c r="H229" s="3"/>
    </row>
    <row r="230" ht="24.0" customHeight="1">
      <c r="A230" s="18" t="str">
        <f t="shared" si="1"/>
        <v/>
      </c>
      <c r="B230" s="18" t="str">
        <f t="shared" si="2"/>
        <v/>
      </c>
      <c r="C230" s="23" t="str">
        <f t="array" ref="C230">IF($H230="","",IFERROR(INDEX('Game Records'!$A:$A,$H230),""))</f>
        <v/>
      </c>
      <c r="D230" s="23" t="str">
        <f t="array" ref="D230">IF($H230="","",IFERROR(INDEX('Game Records'!$U:$U,$H230),""))</f>
        <v/>
      </c>
      <c r="E230" s="23" t="str">
        <f t="array" ref="E230">IF($H230="","",LET(r,$H230,mode,LOWER(INDEX('Game Records'!$D:$D,r)&amp;""),endDate,INDEX('Game Records'!$C:$C,r),IF(mode="estimate",IF(endDate="","Estimate — End Date missing",IF(NOT(ISNUMBER(endDate)),"Estimate — Check End Date",IF(INT(endDate)&gt;=TODAY(),"In Progress — ends "&amp;TEXT(endDate,"mmm d, yyyy"),"Ready to Finalize"))),IF($F230="","No Highlighted Fields","Highlighted Fields Present"))))</f>
        <v/>
      </c>
      <c r="F230" s="23" t="str">
        <f t="array" ref="F230">IF($H230="","",IF(OR(NOT(_xlfn.ISFORMULA(INDEX('Game Records'!$N:$N,$H230))),NOT(_xlfn.ISFORMULA(INDEX('Game Records'!$O:$O,$H230))),NOT(_xlfn.ISFORMULA(INDEX('Game Records'!$P:$P,$H230))),NOT(_xlfn.ISFORMULA(INDEX('Game Records'!$Q:$Q,$H230))),NOT(_xlfn.ISFORMULA(INDEX('Game Records'!$R:$R,$H230))),NOT(_xlfn.ISFORMULA(INDEX('Game Records'!$S:$S,$H230))),NOT(_xlfn.ISFORMULA(INDEX('Game Records'!$T:$T,$H230))),NOT(_xlfn.ISFORMULA(INDEX('Game Records'!$U:$U,$H230))),NOT(_xlfn.ISFORMULA(INDEX('Game Records'!$V:$V,$H230))),NOT(_xlfn.ISFORMULA(INDEX('Game Records'!$W:$W,$H230))),NOT(_xlfn.ISFORMULA(INDEX('Game Records'!$X:$X,$H230))),NOT(_xlfn.ISFORMULA(INDEX('Game Records'!$Y:$Y,$H230))),NOT(_xlfn.ISFORMULA(INDEX('Game Records'!$Z:$Z,$H230)))),"","")&amp;IF(INDEX('Game Records'!$B:$B,$H230)="","Start Date; ","")&amp;IF(INDEX('Game Records'!$C:$C,$H230)="","End Date; ","")&amp;IF(AND(INDEX('Game Records'!$U:$U,$H230)&lt;&gt;"Subscription",INDEX('Game Records'!$U:$U,$H230)&lt;&gt;"Free Game",INDEX('Game Records'!$U:$U,$H230)&lt;&gt;"Disqualified — Free Game",OR(INDEX('Game Records'!$D:$D,$H230)="",LOWER(INDEX('Game Records'!$D:$D,$H230)&amp;"")="n/a")),"Entry Mode; ","")&amp;IF(AND(INDEX('Game Records'!$U:$U,$H230)&lt;&gt;"Subscription",INDEX('Game Records'!$U:$U,$H230)&lt;&gt;"Free Game",INDEX('Game Records'!$U:$U,$H230)&lt;&gt;"Disqualified — Free Game",OR(INDEX('Game Records'!$E:$E,$H230)="",LOWER(INDEX('Game Records'!$E:$E,$H230)&amp;"")="n/a")),"Game Type; ","")&amp;IF(INDEX('Game Records'!$F:$F,$H230)="","Payment Type; ","")&amp;IF(AND(INDEX('Game Records'!$U:$U,$H230)&lt;&gt;"Subscription",INDEX('Game Records'!$U:$U,$H230)&lt;&gt;"Free Game",INDEX('Game Records'!$U:$U,$H230)&lt;&gt;"Disqualified — Free Game",INDEX('Game Records'!$G:$G,$H230)=""),"Gross Pot; ","")&amp;IF(AND(INDEX('Game Records'!$U:$U,$H230)&lt;&gt;"Free Game",INDEX('Game Records'!$U:$U,$H230)&lt;&gt;"Disqualified — Free Game",INDEX('Game Records'!$H:$H,$H230)=""),"Entry Fee; ","")&amp;IF(AND(INDEX('Game Records'!$U:$U,$H230)&lt;&gt;"Subscription",INDEX('Game Records'!$U:$U,$H230)&lt;&gt;"Free Game",INDEX('Game Records'!$U:$U,$H230)&lt;&gt;"Disqualified — Free Game",INDEX('Game Records'!$I:$I,$H230)=""),"Eligible Players; ","")&amp;IF(AND(INDEX('Game Records'!$U:$U,$H230)&lt;&gt;"Subscription",INDEX('Game Records'!$U:$U,$H230)&lt;&gt;"Free Game",INDEX('Game Records'!$U:$U,$H230)&lt;&gt;"Disqualified — Free Game",INDEX('Game Records'!$J:$J,$H230)=""),"Total Players; ","")&amp;IF(AND(LOWER(INDEX('Game Records'!$D:$D,$H230)&amp;"")="finalized",LOWER(INDEX('Game Records'!$L:$L,$H230)&amp;"")&lt;&gt;"yes",INDEX('Game Records'!$U:$U,$H230)&lt;&gt;"Subscription",INDEX('Game Records'!$U:$U,$H230)&lt;&gt;"Free Game",INDEX('Game Records'!$U:$U,$H230)&lt;&gt;"Disqualified — Free Game",INDEX('Game Records'!$K:$K,$H230)=""),"Final Payout; ","")&amp;IF(AND(LOWER(INDEX('Game Records'!$D:$D,$H230)&amp;"")="finalized",INDEX('Game Records'!$U:$U,$H230)&lt;&gt;"Subscription",INDEX('Game Records'!$U:$U,$H230)&lt;&gt;"Free Game",INDEX('Game Records'!$U:$U,$H230)&lt;&gt;"Disqualified — Free Game",OR(INDEX('Game Records'!$L:$L,$H230)="",LOWER(INDEX('Game Records'!$L:$L,$H230)&amp;"")="n/a")),"Disqualified Status; ",""))</f>
        <v/>
      </c>
      <c r="G230" s="23" t="str">
        <f t="array" ref="G230">IF($H230="","",IFERROR(INDEX('Game Records'!$M:$M,$H230),""))</f>
        <v/>
      </c>
      <c r="H230" s="3"/>
    </row>
    <row r="231" ht="24.0" customHeight="1">
      <c r="A231" s="18" t="str">
        <f t="shared" si="1"/>
        <v/>
      </c>
      <c r="B231" s="18" t="str">
        <f t="shared" si="2"/>
        <v/>
      </c>
      <c r="C231" s="23" t="str">
        <f t="array" ref="C231">IF($H231="","",IFERROR(INDEX('Game Records'!$A:$A,$H231),""))</f>
        <v/>
      </c>
      <c r="D231" s="23" t="str">
        <f t="array" ref="D231">IF($H231="","",IFERROR(INDEX('Game Records'!$U:$U,$H231),""))</f>
        <v/>
      </c>
      <c r="E231" s="23" t="str">
        <f t="array" ref="E231">IF($H231="","",LET(r,$H231,mode,LOWER(INDEX('Game Records'!$D:$D,r)&amp;""),endDate,INDEX('Game Records'!$C:$C,r),IF(mode="estimate",IF(endDate="","Estimate — End Date missing",IF(NOT(ISNUMBER(endDate)),"Estimate — Check End Date",IF(INT(endDate)&gt;=TODAY(),"In Progress — ends "&amp;TEXT(endDate,"mmm d, yyyy"),"Ready to Finalize"))),IF($F231="","No Highlighted Fields","Highlighted Fields Present"))))</f>
        <v/>
      </c>
      <c r="F231" s="23" t="str">
        <f t="array" ref="F231">IF($H231="","",IF(OR(NOT(_xlfn.ISFORMULA(INDEX('Game Records'!$N:$N,$H231))),NOT(_xlfn.ISFORMULA(INDEX('Game Records'!$O:$O,$H231))),NOT(_xlfn.ISFORMULA(INDEX('Game Records'!$P:$P,$H231))),NOT(_xlfn.ISFORMULA(INDEX('Game Records'!$Q:$Q,$H231))),NOT(_xlfn.ISFORMULA(INDEX('Game Records'!$R:$R,$H231))),NOT(_xlfn.ISFORMULA(INDEX('Game Records'!$S:$S,$H231))),NOT(_xlfn.ISFORMULA(INDEX('Game Records'!$T:$T,$H231))),NOT(_xlfn.ISFORMULA(INDEX('Game Records'!$U:$U,$H231))),NOT(_xlfn.ISFORMULA(INDEX('Game Records'!$V:$V,$H231))),NOT(_xlfn.ISFORMULA(INDEX('Game Records'!$W:$W,$H231))),NOT(_xlfn.ISFORMULA(INDEX('Game Records'!$X:$X,$H231))),NOT(_xlfn.ISFORMULA(INDEX('Game Records'!$Y:$Y,$H231))),NOT(_xlfn.ISFORMULA(INDEX('Game Records'!$Z:$Z,$H231)))),"","")&amp;IF(INDEX('Game Records'!$B:$B,$H231)="","Start Date; ","")&amp;IF(INDEX('Game Records'!$C:$C,$H231)="","End Date; ","")&amp;IF(AND(INDEX('Game Records'!$U:$U,$H231)&lt;&gt;"Subscription",INDEX('Game Records'!$U:$U,$H231)&lt;&gt;"Free Game",INDEX('Game Records'!$U:$U,$H231)&lt;&gt;"Disqualified — Free Game",OR(INDEX('Game Records'!$D:$D,$H231)="",LOWER(INDEX('Game Records'!$D:$D,$H231)&amp;"")="n/a")),"Entry Mode; ","")&amp;IF(AND(INDEX('Game Records'!$U:$U,$H231)&lt;&gt;"Subscription",INDEX('Game Records'!$U:$U,$H231)&lt;&gt;"Free Game",INDEX('Game Records'!$U:$U,$H231)&lt;&gt;"Disqualified — Free Game",OR(INDEX('Game Records'!$E:$E,$H231)="",LOWER(INDEX('Game Records'!$E:$E,$H231)&amp;"")="n/a")),"Game Type; ","")&amp;IF(INDEX('Game Records'!$F:$F,$H231)="","Payment Type; ","")&amp;IF(AND(INDEX('Game Records'!$U:$U,$H231)&lt;&gt;"Subscription",INDEX('Game Records'!$U:$U,$H231)&lt;&gt;"Free Game",INDEX('Game Records'!$U:$U,$H231)&lt;&gt;"Disqualified — Free Game",INDEX('Game Records'!$G:$G,$H231)=""),"Gross Pot; ","")&amp;IF(AND(INDEX('Game Records'!$U:$U,$H231)&lt;&gt;"Free Game",INDEX('Game Records'!$U:$U,$H231)&lt;&gt;"Disqualified — Free Game",INDEX('Game Records'!$H:$H,$H231)=""),"Entry Fee; ","")&amp;IF(AND(INDEX('Game Records'!$U:$U,$H231)&lt;&gt;"Subscription",INDEX('Game Records'!$U:$U,$H231)&lt;&gt;"Free Game",INDEX('Game Records'!$U:$U,$H231)&lt;&gt;"Disqualified — Free Game",INDEX('Game Records'!$I:$I,$H231)=""),"Eligible Players; ","")&amp;IF(AND(INDEX('Game Records'!$U:$U,$H231)&lt;&gt;"Subscription",INDEX('Game Records'!$U:$U,$H231)&lt;&gt;"Free Game",INDEX('Game Records'!$U:$U,$H231)&lt;&gt;"Disqualified — Free Game",INDEX('Game Records'!$J:$J,$H231)=""),"Total Players; ","")&amp;IF(AND(LOWER(INDEX('Game Records'!$D:$D,$H231)&amp;"")="finalized",LOWER(INDEX('Game Records'!$L:$L,$H231)&amp;"")&lt;&gt;"yes",INDEX('Game Records'!$U:$U,$H231)&lt;&gt;"Subscription",INDEX('Game Records'!$U:$U,$H231)&lt;&gt;"Free Game",INDEX('Game Records'!$U:$U,$H231)&lt;&gt;"Disqualified — Free Game",INDEX('Game Records'!$K:$K,$H231)=""),"Final Payout; ","")&amp;IF(AND(LOWER(INDEX('Game Records'!$D:$D,$H231)&amp;"")="finalized",INDEX('Game Records'!$U:$U,$H231)&lt;&gt;"Subscription",INDEX('Game Records'!$U:$U,$H231)&lt;&gt;"Free Game",INDEX('Game Records'!$U:$U,$H231)&lt;&gt;"Disqualified — Free Game",OR(INDEX('Game Records'!$L:$L,$H231)="",LOWER(INDEX('Game Records'!$L:$L,$H231)&amp;"")="n/a")),"Disqualified Status; ",""))</f>
        <v/>
      </c>
      <c r="G231" s="23" t="str">
        <f t="array" ref="G231">IF($H231="","",IFERROR(INDEX('Game Records'!$M:$M,$H231),""))</f>
        <v/>
      </c>
      <c r="H231" s="3"/>
    </row>
    <row r="232" ht="24.0" customHeight="1">
      <c r="A232" s="18" t="str">
        <f t="shared" si="1"/>
        <v/>
      </c>
      <c r="B232" s="18" t="str">
        <f t="shared" si="2"/>
        <v/>
      </c>
      <c r="C232" s="23" t="str">
        <f t="array" ref="C232">IF($H232="","",IFERROR(INDEX('Game Records'!$A:$A,$H232),""))</f>
        <v/>
      </c>
      <c r="D232" s="23" t="str">
        <f t="array" ref="D232">IF($H232="","",IFERROR(INDEX('Game Records'!$U:$U,$H232),""))</f>
        <v/>
      </c>
      <c r="E232" s="23" t="str">
        <f t="array" ref="E232">IF($H232="","",LET(r,$H232,mode,LOWER(INDEX('Game Records'!$D:$D,r)&amp;""),endDate,INDEX('Game Records'!$C:$C,r),IF(mode="estimate",IF(endDate="","Estimate — End Date missing",IF(NOT(ISNUMBER(endDate)),"Estimate — Check End Date",IF(INT(endDate)&gt;=TODAY(),"In Progress — ends "&amp;TEXT(endDate,"mmm d, yyyy"),"Ready to Finalize"))),IF($F232="","No Highlighted Fields","Highlighted Fields Present"))))</f>
        <v/>
      </c>
      <c r="F232" s="23" t="str">
        <f t="array" ref="F232">IF($H232="","",IF(OR(NOT(_xlfn.ISFORMULA(INDEX('Game Records'!$N:$N,$H232))),NOT(_xlfn.ISFORMULA(INDEX('Game Records'!$O:$O,$H232))),NOT(_xlfn.ISFORMULA(INDEX('Game Records'!$P:$P,$H232))),NOT(_xlfn.ISFORMULA(INDEX('Game Records'!$Q:$Q,$H232))),NOT(_xlfn.ISFORMULA(INDEX('Game Records'!$R:$R,$H232))),NOT(_xlfn.ISFORMULA(INDEX('Game Records'!$S:$S,$H232))),NOT(_xlfn.ISFORMULA(INDEX('Game Records'!$T:$T,$H232))),NOT(_xlfn.ISFORMULA(INDEX('Game Records'!$U:$U,$H232))),NOT(_xlfn.ISFORMULA(INDEX('Game Records'!$V:$V,$H232))),NOT(_xlfn.ISFORMULA(INDEX('Game Records'!$W:$W,$H232))),NOT(_xlfn.ISFORMULA(INDEX('Game Records'!$X:$X,$H232))),NOT(_xlfn.ISFORMULA(INDEX('Game Records'!$Y:$Y,$H232))),NOT(_xlfn.ISFORMULA(INDEX('Game Records'!$Z:$Z,$H232)))),"","")&amp;IF(INDEX('Game Records'!$B:$B,$H232)="","Start Date; ","")&amp;IF(INDEX('Game Records'!$C:$C,$H232)="","End Date; ","")&amp;IF(AND(INDEX('Game Records'!$U:$U,$H232)&lt;&gt;"Subscription",INDEX('Game Records'!$U:$U,$H232)&lt;&gt;"Free Game",INDEX('Game Records'!$U:$U,$H232)&lt;&gt;"Disqualified — Free Game",OR(INDEX('Game Records'!$D:$D,$H232)="",LOWER(INDEX('Game Records'!$D:$D,$H232)&amp;"")="n/a")),"Entry Mode; ","")&amp;IF(AND(INDEX('Game Records'!$U:$U,$H232)&lt;&gt;"Subscription",INDEX('Game Records'!$U:$U,$H232)&lt;&gt;"Free Game",INDEX('Game Records'!$U:$U,$H232)&lt;&gt;"Disqualified — Free Game",OR(INDEX('Game Records'!$E:$E,$H232)="",LOWER(INDEX('Game Records'!$E:$E,$H232)&amp;"")="n/a")),"Game Type; ","")&amp;IF(INDEX('Game Records'!$F:$F,$H232)="","Payment Type; ","")&amp;IF(AND(INDEX('Game Records'!$U:$U,$H232)&lt;&gt;"Subscription",INDEX('Game Records'!$U:$U,$H232)&lt;&gt;"Free Game",INDEX('Game Records'!$U:$U,$H232)&lt;&gt;"Disqualified — Free Game",INDEX('Game Records'!$G:$G,$H232)=""),"Gross Pot; ","")&amp;IF(AND(INDEX('Game Records'!$U:$U,$H232)&lt;&gt;"Free Game",INDEX('Game Records'!$U:$U,$H232)&lt;&gt;"Disqualified — Free Game",INDEX('Game Records'!$H:$H,$H232)=""),"Entry Fee; ","")&amp;IF(AND(INDEX('Game Records'!$U:$U,$H232)&lt;&gt;"Subscription",INDEX('Game Records'!$U:$U,$H232)&lt;&gt;"Free Game",INDEX('Game Records'!$U:$U,$H232)&lt;&gt;"Disqualified — Free Game",INDEX('Game Records'!$I:$I,$H232)=""),"Eligible Players; ","")&amp;IF(AND(INDEX('Game Records'!$U:$U,$H232)&lt;&gt;"Subscription",INDEX('Game Records'!$U:$U,$H232)&lt;&gt;"Free Game",INDEX('Game Records'!$U:$U,$H232)&lt;&gt;"Disqualified — Free Game",INDEX('Game Records'!$J:$J,$H232)=""),"Total Players; ","")&amp;IF(AND(LOWER(INDEX('Game Records'!$D:$D,$H232)&amp;"")="finalized",LOWER(INDEX('Game Records'!$L:$L,$H232)&amp;"")&lt;&gt;"yes",INDEX('Game Records'!$U:$U,$H232)&lt;&gt;"Subscription",INDEX('Game Records'!$U:$U,$H232)&lt;&gt;"Free Game",INDEX('Game Records'!$U:$U,$H232)&lt;&gt;"Disqualified — Free Game",INDEX('Game Records'!$K:$K,$H232)=""),"Final Payout; ","")&amp;IF(AND(LOWER(INDEX('Game Records'!$D:$D,$H232)&amp;"")="finalized",INDEX('Game Records'!$U:$U,$H232)&lt;&gt;"Subscription",INDEX('Game Records'!$U:$U,$H232)&lt;&gt;"Free Game",INDEX('Game Records'!$U:$U,$H232)&lt;&gt;"Disqualified — Free Game",OR(INDEX('Game Records'!$L:$L,$H232)="",LOWER(INDEX('Game Records'!$L:$L,$H232)&amp;"")="n/a")),"Disqualified Status; ",""))</f>
        <v/>
      </c>
      <c r="G232" s="23" t="str">
        <f t="array" ref="G232">IF($H232="","",IFERROR(INDEX('Game Records'!$M:$M,$H232),""))</f>
        <v/>
      </c>
      <c r="H232" s="3"/>
    </row>
    <row r="233" ht="24.0" customHeight="1">
      <c r="A233" s="18" t="str">
        <f t="shared" si="1"/>
        <v/>
      </c>
      <c r="B233" s="18" t="str">
        <f t="shared" si="2"/>
        <v/>
      </c>
      <c r="C233" s="23" t="str">
        <f t="array" ref="C233">IF($H233="","",IFERROR(INDEX('Game Records'!$A:$A,$H233),""))</f>
        <v/>
      </c>
      <c r="D233" s="23" t="str">
        <f t="array" ref="D233">IF($H233="","",IFERROR(INDEX('Game Records'!$U:$U,$H233),""))</f>
        <v/>
      </c>
      <c r="E233" s="23" t="str">
        <f t="array" ref="E233">IF($H233="","",LET(r,$H233,mode,LOWER(INDEX('Game Records'!$D:$D,r)&amp;""),endDate,INDEX('Game Records'!$C:$C,r),IF(mode="estimate",IF(endDate="","Estimate — End Date missing",IF(NOT(ISNUMBER(endDate)),"Estimate — Check End Date",IF(INT(endDate)&gt;=TODAY(),"In Progress — ends "&amp;TEXT(endDate,"mmm d, yyyy"),"Ready to Finalize"))),IF($F233="","No Highlighted Fields","Highlighted Fields Present"))))</f>
        <v/>
      </c>
      <c r="F233" s="23" t="str">
        <f t="array" ref="F233">IF($H233="","",IF(OR(NOT(_xlfn.ISFORMULA(INDEX('Game Records'!$N:$N,$H233))),NOT(_xlfn.ISFORMULA(INDEX('Game Records'!$O:$O,$H233))),NOT(_xlfn.ISFORMULA(INDEX('Game Records'!$P:$P,$H233))),NOT(_xlfn.ISFORMULA(INDEX('Game Records'!$Q:$Q,$H233))),NOT(_xlfn.ISFORMULA(INDEX('Game Records'!$R:$R,$H233))),NOT(_xlfn.ISFORMULA(INDEX('Game Records'!$S:$S,$H233))),NOT(_xlfn.ISFORMULA(INDEX('Game Records'!$T:$T,$H233))),NOT(_xlfn.ISFORMULA(INDEX('Game Records'!$U:$U,$H233))),NOT(_xlfn.ISFORMULA(INDEX('Game Records'!$V:$V,$H233))),NOT(_xlfn.ISFORMULA(INDEX('Game Records'!$W:$W,$H233))),NOT(_xlfn.ISFORMULA(INDEX('Game Records'!$X:$X,$H233))),NOT(_xlfn.ISFORMULA(INDEX('Game Records'!$Y:$Y,$H233))),NOT(_xlfn.ISFORMULA(INDEX('Game Records'!$Z:$Z,$H233)))),"","")&amp;IF(INDEX('Game Records'!$B:$B,$H233)="","Start Date; ","")&amp;IF(INDEX('Game Records'!$C:$C,$H233)="","End Date; ","")&amp;IF(AND(INDEX('Game Records'!$U:$U,$H233)&lt;&gt;"Subscription",INDEX('Game Records'!$U:$U,$H233)&lt;&gt;"Free Game",INDEX('Game Records'!$U:$U,$H233)&lt;&gt;"Disqualified — Free Game",OR(INDEX('Game Records'!$D:$D,$H233)="",LOWER(INDEX('Game Records'!$D:$D,$H233)&amp;"")="n/a")),"Entry Mode; ","")&amp;IF(AND(INDEX('Game Records'!$U:$U,$H233)&lt;&gt;"Subscription",INDEX('Game Records'!$U:$U,$H233)&lt;&gt;"Free Game",INDEX('Game Records'!$U:$U,$H233)&lt;&gt;"Disqualified — Free Game",OR(INDEX('Game Records'!$E:$E,$H233)="",LOWER(INDEX('Game Records'!$E:$E,$H233)&amp;"")="n/a")),"Game Type; ","")&amp;IF(INDEX('Game Records'!$F:$F,$H233)="","Payment Type; ","")&amp;IF(AND(INDEX('Game Records'!$U:$U,$H233)&lt;&gt;"Subscription",INDEX('Game Records'!$U:$U,$H233)&lt;&gt;"Free Game",INDEX('Game Records'!$U:$U,$H233)&lt;&gt;"Disqualified — Free Game",INDEX('Game Records'!$G:$G,$H233)=""),"Gross Pot; ","")&amp;IF(AND(INDEX('Game Records'!$U:$U,$H233)&lt;&gt;"Free Game",INDEX('Game Records'!$U:$U,$H233)&lt;&gt;"Disqualified — Free Game",INDEX('Game Records'!$H:$H,$H233)=""),"Entry Fee; ","")&amp;IF(AND(INDEX('Game Records'!$U:$U,$H233)&lt;&gt;"Subscription",INDEX('Game Records'!$U:$U,$H233)&lt;&gt;"Free Game",INDEX('Game Records'!$U:$U,$H233)&lt;&gt;"Disqualified — Free Game",INDEX('Game Records'!$I:$I,$H233)=""),"Eligible Players; ","")&amp;IF(AND(INDEX('Game Records'!$U:$U,$H233)&lt;&gt;"Subscription",INDEX('Game Records'!$U:$U,$H233)&lt;&gt;"Free Game",INDEX('Game Records'!$U:$U,$H233)&lt;&gt;"Disqualified — Free Game",INDEX('Game Records'!$J:$J,$H233)=""),"Total Players; ","")&amp;IF(AND(LOWER(INDEX('Game Records'!$D:$D,$H233)&amp;"")="finalized",LOWER(INDEX('Game Records'!$L:$L,$H233)&amp;"")&lt;&gt;"yes",INDEX('Game Records'!$U:$U,$H233)&lt;&gt;"Subscription",INDEX('Game Records'!$U:$U,$H233)&lt;&gt;"Free Game",INDEX('Game Records'!$U:$U,$H233)&lt;&gt;"Disqualified — Free Game",INDEX('Game Records'!$K:$K,$H233)=""),"Final Payout; ","")&amp;IF(AND(LOWER(INDEX('Game Records'!$D:$D,$H233)&amp;"")="finalized",INDEX('Game Records'!$U:$U,$H233)&lt;&gt;"Subscription",INDEX('Game Records'!$U:$U,$H233)&lt;&gt;"Free Game",INDEX('Game Records'!$U:$U,$H233)&lt;&gt;"Disqualified — Free Game",OR(INDEX('Game Records'!$L:$L,$H233)="",LOWER(INDEX('Game Records'!$L:$L,$H233)&amp;"")="n/a")),"Disqualified Status; ",""))</f>
        <v/>
      </c>
      <c r="G233" s="23" t="str">
        <f t="array" ref="G233">IF($H233="","",IFERROR(INDEX('Game Records'!$M:$M,$H233),""))</f>
        <v/>
      </c>
      <c r="H233" s="3"/>
    </row>
    <row r="234" ht="24.0" customHeight="1">
      <c r="A234" s="18" t="str">
        <f t="shared" si="1"/>
        <v/>
      </c>
      <c r="B234" s="18" t="str">
        <f t="shared" si="2"/>
        <v/>
      </c>
      <c r="C234" s="23" t="str">
        <f t="array" ref="C234">IF($H234="","",IFERROR(INDEX('Game Records'!$A:$A,$H234),""))</f>
        <v/>
      </c>
      <c r="D234" s="23" t="str">
        <f t="array" ref="D234">IF($H234="","",IFERROR(INDEX('Game Records'!$U:$U,$H234),""))</f>
        <v/>
      </c>
      <c r="E234" s="23" t="str">
        <f t="array" ref="E234">IF($H234="","",LET(r,$H234,mode,LOWER(INDEX('Game Records'!$D:$D,r)&amp;""),endDate,INDEX('Game Records'!$C:$C,r),IF(mode="estimate",IF(endDate="","Estimate — End Date missing",IF(NOT(ISNUMBER(endDate)),"Estimate — Check End Date",IF(INT(endDate)&gt;=TODAY(),"In Progress — ends "&amp;TEXT(endDate,"mmm d, yyyy"),"Ready to Finalize"))),IF($F234="","No Highlighted Fields","Highlighted Fields Present"))))</f>
        <v/>
      </c>
      <c r="F234" s="23" t="str">
        <f t="array" ref="F234">IF($H234="","",IF(OR(NOT(_xlfn.ISFORMULA(INDEX('Game Records'!$N:$N,$H234))),NOT(_xlfn.ISFORMULA(INDEX('Game Records'!$O:$O,$H234))),NOT(_xlfn.ISFORMULA(INDEX('Game Records'!$P:$P,$H234))),NOT(_xlfn.ISFORMULA(INDEX('Game Records'!$Q:$Q,$H234))),NOT(_xlfn.ISFORMULA(INDEX('Game Records'!$R:$R,$H234))),NOT(_xlfn.ISFORMULA(INDEX('Game Records'!$S:$S,$H234))),NOT(_xlfn.ISFORMULA(INDEX('Game Records'!$T:$T,$H234))),NOT(_xlfn.ISFORMULA(INDEX('Game Records'!$U:$U,$H234))),NOT(_xlfn.ISFORMULA(INDEX('Game Records'!$V:$V,$H234))),NOT(_xlfn.ISFORMULA(INDEX('Game Records'!$W:$W,$H234))),NOT(_xlfn.ISFORMULA(INDEX('Game Records'!$X:$X,$H234))),NOT(_xlfn.ISFORMULA(INDEX('Game Records'!$Y:$Y,$H234))),NOT(_xlfn.ISFORMULA(INDEX('Game Records'!$Z:$Z,$H234)))),"","")&amp;IF(INDEX('Game Records'!$B:$B,$H234)="","Start Date; ","")&amp;IF(INDEX('Game Records'!$C:$C,$H234)="","End Date; ","")&amp;IF(AND(INDEX('Game Records'!$U:$U,$H234)&lt;&gt;"Subscription",INDEX('Game Records'!$U:$U,$H234)&lt;&gt;"Free Game",INDEX('Game Records'!$U:$U,$H234)&lt;&gt;"Disqualified — Free Game",OR(INDEX('Game Records'!$D:$D,$H234)="",LOWER(INDEX('Game Records'!$D:$D,$H234)&amp;"")="n/a")),"Entry Mode; ","")&amp;IF(AND(INDEX('Game Records'!$U:$U,$H234)&lt;&gt;"Subscription",INDEX('Game Records'!$U:$U,$H234)&lt;&gt;"Free Game",INDEX('Game Records'!$U:$U,$H234)&lt;&gt;"Disqualified — Free Game",OR(INDEX('Game Records'!$E:$E,$H234)="",LOWER(INDEX('Game Records'!$E:$E,$H234)&amp;"")="n/a")),"Game Type; ","")&amp;IF(INDEX('Game Records'!$F:$F,$H234)="","Payment Type; ","")&amp;IF(AND(INDEX('Game Records'!$U:$U,$H234)&lt;&gt;"Subscription",INDEX('Game Records'!$U:$U,$H234)&lt;&gt;"Free Game",INDEX('Game Records'!$U:$U,$H234)&lt;&gt;"Disqualified — Free Game",INDEX('Game Records'!$G:$G,$H234)=""),"Gross Pot; ","")&amp;IF(AND(INDEX('Game Records'!$U:$U,$H234)&lt;&gt;"Free Game",INDEX('Game Records'!$U:$U,$H234)&lt;&gt;"Disqualified — Free Game",INDEX('Game Records'!$H:$H,$H234)=""),"Entry Fee; ","")&amp;IF(AND(INDEX('Game Records'!$U:$U,$H234)&lt;&gt;"Subscription",INDEX('Game Records'!$U:$U,$H234)&lt;&gt;"Free Game",INDEX('Game Records'!$U:$U,$H234)&lt;&gt;"Disqualified — Free Game",INDEX('Game Records'!$I:$I,$H234)=""),"Eligible Players; ","")&amp;IF(AND(INDEX('Game Records'!$U:$U,$H234)&lt;&gt;"Subscription",INDEX('Game Records'!$U:$U,$H234)&lt;&gt;"Free Game",INDEX('Game Records'!$U:$U,$H234)&lt;&gt;"Disqualified — Free Game",INDEX('Game Records'!$J:$J,$H234)=""),"Total Players; ","")&amp;IF(AND(LOWER(INDEX('Game Records'!$D:$D,$H234)&amp;"")="finalized",LOWER(INDEX('Game Records'!$L:$L,$H234)&amp;"")&lt;&gt;"yes",INDEX('Game Records'!$U:$U,$H234)&lt;&gt;"Subscription",INDEX('Game Records'!$U:$U,$H234)&lt;&gt;"Free Game",INDEX('Game Records'!$U:$U,$H234)&lt;&gt;"Disqualified — Free Game",INDEX('Game Records'!$K:$K,$H234)=""),"Final Payout; ","")&amp;IF(AND(LOWER(INDEX('Game Records'!$D:$D,$H234)&amp;"")="finalized",INDEX('Game Records'!$U:$U,$H234)&lt;&gt;"Subscription",INDEX('Game Records'!$U:$U,$H234)&lt;&gt;"Free Game",INDEX('Game Records'!$U:$U,$H234)&lt;&gt;"Disqualified — Free Game",OR(INDEX('Game Records'!$L:$L,$H234)="",LOWER(INDEX('Game Records'!$L:$L,$H234)&amp;"")="n/a")),"Disqualified Status; ",""))</f>
        <v/>
      </c>
      <c r="G234" s="23" t="str">
        <f t="array" ref="G234">IF($H234="","",IFERROR(INDEX('Game Records'!$M:$M,$H234),""))</f>
        <v/>
      </c>
      <c r="H234" s="3"/>
    </row>
    <row r="235" ht="24.0" customHeight="1">
      <c r="A235" s="18" t="str">
        <f t="shared" si="1"/>
        <v/>
      </c>
      <c r="B235" s="18" t="str">
        <f t="shared" si="2"/>
        <v/>
      </c>
      <c r="C235" s="23" t="str">
        <f t="array" ref="C235">IF($H235="","",IFERROR(INDEX('Game Records'!$A:$A,$H235),""))</f>
        <v/>
      </c>
      <c r="D235" s="23" t="str">
        <f t="array" ref="D235">IF($H235="","",IFERROR(INDEX('Game Records'!$U:$U,$H235),""))</f>
        <v/>
      </c>
      <c r="E235" s="23" t="str">
        <f t="array" ref="E235">IF($H235="","",LET(r,$H235,mode,LOWER(INDEX('Game Records'!$D:$D,r)&amp;""),endDate,INDEX('Game Records'!$C:$C,r),IF(mode="estimate",IF(endDate="","Estimate — End Date missing",IF(NOT(ISNUMBER(endDate)),"Estimate — Check End Date",IF(INT(endDate)&gt;=TODAY(),"In Progress — ends "&amp;TEXT(endDate,"mmm d, yyyy"),"Ready to Finalize"))),IF($F235="","No Highlighted Fields","Highlighted Fields Present"))))</f>
        <v/>
      </c>
      <c r="F235" s="23" t="str">
        <f t="array" ref="F235">IF($H235="","",IF(OR(NOT(_xlfn.ISFORMULA(INDEX('Game Records'!$N:$N,$H235))),NOT(_xlfn.ISFORMULA(INDEX('Game Records'!$O:$O,$H235))),NOT(_xlfn.ISFORMULA(INDEX('Game Records'!$P:$P,$H235))),NOT(_xlfn.ISFORMULA(INDEX('Game Records'!$Q:$Q,$H235))),NOT(_xlfn.ISFORMULA(INDEX('Game Records'!$R:$R,$H235))),NOT(_xlfn.ISFORMULA(INDEX('Game Records'!$S:$S,$H235))),NOT(_xlfn.ISFORMULA(INDEX('Game Records'!$T:$T,$H235))),NOT(_xlfn.ISFORMULA(INDEX('Game Records'!$U:$U,$H235))),NOT(_xlfn.ISFORMULA(INDEX('Game Records'!$V:$V,$H235))),NOT(_xlfn.ISFORMULA(INDEX('Game Records'!$W:$W,$H235))),NOT(_xlfn.ISFORMULA(INDEX('Game Records'!$X:$X,$H235))),NOT(_xlfn.ISFORMULA(INDEX('Game Records'!$Y:$Y,$H235))),NOT(_xlfn.ISFORMULA(INDEX('Game Records'!$Z:$Z,$H235)))),"","")&amp;IF(INDEX('Game Records'!$B:$B,$H235)="","Start Date; ","")&amp;IF(INDEX('Game Records'!$C:$C,$H235)="","End Date; ","")&amp;IF(AND(INDEX('Game Records'!$U:$U,$H235)&lt;&gt;"Subscription",INDEX('Game Records'!$U:$U,$H235)&lt;&gt;"Free Game",INDEX('Game Records'!$U:$U,$H235)&lt;&gt;"Disqualified — Free Game",OR(INDEX('Game Records'!$D:$D,$H235)="",LOWER(INDEX('Game Records'!$D:$D,$H235)&amp;"")="n/a")),"Entry Mode; ","")&amp;IF(AND(INDEX('Game Records'!$U:$U,$H235)&lt;&gt;"Subscription",INDEX('Game Records'!$U:$U,$H235)&lt;&gt;"Free Game",INDEX('Game Records'!$U:$U,$H235)&lt;&gt;"Disqualified — Free Game",OR(INDEX('Game Records'!$E:$E,$H235)="",LOWER(INDEX('Game Records'!$E:$E,$H235)&amp;"")="n/a")),"Game Type; ","")&amp;IF(INDEX('Game Records'!$F:$F,$H235)="","Payment Type; ","")&amp;IF(AND(INDEX('Game Records'!$U:$U,$H235)&lt;&gt;"Subscription",INDEX('Game Records'!$U:$U,$H235)&lt;&gt;"Free Game",INDEX('Game Records'!$U:$U,$H235)&lt;&gt;"Disqualified — Free Game",INDEX('Game Records'!$G:$G,$H235)=""),"Gross Pot; ","")&amp;IF(AND(INDEX('Game Records'!$U:$U,$H235)&lt;&gt;"Free Game",INDEX('Game Records'!$U:$U,$H235)&lt;&gt;"Disqualified — Free Game",INDEX('Game Records'!$H:$H,$H235)=""),"Entry Fee; ","")&amp;IF(AND(INDEX('Game Records'!$U:$U,$H235)&lt;&gt;"Subscription",INDEX('Game Records'!$U:$U,$H235)&lt;&gt;"Free Game",INDEX('Game Records'!$U:$U,$H235)&lt;&gt;"Disqualified — Free Game",INDEX('Game Records'!$I:$I,$H235)=""),"Eligible Players; ","")&amp;IF(AND(INDEX('Game Records'!$U:$U,$H235)&lt;&gt;"Subscription",INDEX('Game Records'!$U:$U,$H235)&lt;&gt;"Free Game",INDEX('Game Records'!$U:$U,$H235)&lt;&gt;"Disqualified — Free Game",INDEX('Game Records'!$J:$J,$H235)=""),"Total Players; ","")&amp;IF(AND(LOWER(INDEX('Game Records'!$D:$D,$H235)&amp;"")="finalized",LOWER(INDEX('Game Records'!$L:$L,$H235)&amp;"")&lt;&gt;"yes",INDEX('Game Records'!$U:$U,$H235)&lt;&gt;"Subscription",INDEX('Game Records'!$U:$U,$H235)&lt;&gt;"Free Game",INDEX('Game Records'!$U:$U,$H235)&lt;&gt;"Disqualified — Free Game",INDEX('Game Records'!$K:$K,$H235)=""),"Final Payout; ","")&amp;IF(AND(LOWER(INDEX('Game Records'!$D:$D,$H235)&amp;"")="finalized",INDEX('Game Records'!$U:$U,$H235)&lt;&gt;"Subscription",INDEX('Game Records'!$U:$U,$H235)&lt;&gt;"Free Game",INDEX('Game Records'!$U:$U,$H235)&lt;&gt;"Disqualified — Free Game",OR(INDEX('Game Records'!$L:$L,$H235)="",LOWER(INDEX('Game Records'!$L:$L,$H235)&amp;"")="n/a")),"Disqualified Status; ",""))</f>
        <v/>
      </c>
      <c r="G235" s="23" t="str">
        <f t="array" ref="G235">IF($H235="","",IFERROR(INDEX('Game Records'!$M:$M,$H235),""))</f>
        <v/>
      </c>
      <c r="H235" s="3"/>
    </row>
    <row r="236" ht="24.0" customHeight="1">
      <c r="A236" s="18" t="str">
        <f t="shared" si="1"/>
        <v/>
      </c>
      <c r="B236" s="18" t="str">
        <f t="shared" si="2"/>
        <v/>
      </c>
      <c r="C236" s="23" t="str">
        <f t="array" ref="C236">IF($H236="","",IFERROR(INDEX('Game Records'!$A:$A,$H236),""))</f>
        <v/>
      </c>
      <c r="D236" s="23" t="str">
        <f t="array" ref="D236">IF($H236="","",IFERROR(INDEX('Game Records'!$U:$U,$H236),""))</f>
        <v/>
      </c>
      <c r="E236" s="23" t="str">
        <f t="array" ref="E236">IF($H236="","",LET(r,$H236,mode,LOWER(INDEX('Game Records'!$D:$D,r)&amp;""),endDate,INDEX('Game Records'!$C:$C,r),IF(mode="estimate",IF(endDate="","Estimate — End Date missing",IF(NOT(ISNUMBER(endDate)),"Estimate — Check End Date",IF(INT(endDate)&gt;=TODAY(),"In Progress — ends "&amp;TEXT(endDate,"mmm d, yyyy"),"Ready to Finalize"))),IF($F236="","No Highlighted Fields","Highlighted Fields Present"))))</f>
        <v/>
      </c>
      <c r="F236" s="23" t="str">
        <f t="array" ref="F236">IF($H236="","",IF(OR(NOT(_xlfn.ISFORMULA(INDEX('Game Records'!$N:$N,$H236))),NOT(_xlfn.ISFORMULA(INDEX('Game Records'!$O:$O,$H236))),NOT(_xlfn.ISFORMULA(INDEX('Game Records'!$P:$P,$H236))),NOT(_xlfn.ISFORMULA(INDEX('Game Records'!$Q:$Q,$H236))),NOT(_xlfn.ISFORMULA(INDEX('Game Records'!$R:$R,$H236))),NOT(_xlfn.ISFORMULA(INDEX('Game Records'!$S:$S,$H236))),NOT(_xlfn.ISFORMULA(INDEX('Game Records'!$T:$T,$H236))),NOT(_xlfn.ISFORMULA(INDEX('Game Records'!$U:$U,$H236))),NOT(_xlfn.ISFORMULA(INDEX('Game Records'!$V:$V,$H236))),NOT(_xlfn.ISFORMULA(INDEX('Game Records'!$W:$W,$H236))),NOT(_xlfn.ISFORMULA(INDEX('Game Records'!$X:$X,$H236))),NOT(_xlfn.ISFORMULA(INDEX('Game Records'!$Y:$Y,$H236))),NOT(_xlfn.ISFORMULA(INDEX('Game Records'!$Z:$Z,$H236)))),"","")&amp;IF(INDEX('Game Records'!$B:$B,$H236)="","Start Date; ","")&amp;IF(INDEX('Game Records'!$C:$C,$H236)="","End Date; ","")&amp;IF(AND(INDEX('Game Records'!$U:$U,$H236)&lt;&gt;"Subscription",INDEX('Game Records'!$U:$U,$H236)&lt;&gt;"Free Game",INDEX('Game Records'!$U:$U,$H236)&lt;&gt;"Disqualified — Free Game",OR(INDEX('Game Records'!$D:$D,$H236)="",LOWER(INDEX('Game Records'!$D:$D,$H236)&amp;"")="n/a")),"Entry Mode; ","")&amp;IF(AND(INDEX('Game Records'!$U:$U,$H236)&lt;&gt;"Subscription",INDEX('Game Records'!$U:$U,$H236)&lt;&gt;"Free Game",INDEX('Game Records'!$U:$U,$H236)&lt;&gt;"Disqualified — Free Game",OR(INDEX('Game Records'!$E:$E,$H236)="",LOWER(INDEX('Game Records'!$E:$E,$H236)&amp;"")="n/a")),"Game Type; ","")&amp;IF(INDEX('Game Records'!$F:$F,$H236)="","Payment Type; ","")&amp;IF(AND(INDEX('Game Records'!$U:$U,$H236)&lt;&gt;"Subscription",INDEX('Game Records'!$U:$U,$H236)&lt;&gt;"Free Game",INDEX('Game Records'!$U:$U,$H236)&lt;&gt;"Disqualified — Free Game",INDEX('Game Records'!$G:$G,$H236)=""),"Gross Pot; ","")&amp;IF(AND(INDEX('Game Records'!$U:$U,$H236)&lt;&gt;"Free Game",INDEX('Game Records'!$U:$U,$H236)&lt;&gt;"Disqualified — Free Game",INDEX('Game Records'!$H:$H,$H236)=""),"Entry Fee; ","")&amp;IF(AND(INDEX('Game Records'!$U:$U,$H236)&lt;&gt;"Subscription",INDEX('Game Records'!$U:$U,$H236)&lt;&gt;"Free Game",INDEX('Game Records'!$U:$U,$H236)&lt;&gt;"Disqualified — Free Game",INDEX('Game Records'!$I:$I,$H236)=""),"Eligible Players; ","")&amp;IF(AND(INDEX('Game Records'!$U:$U,$H236)&lt;&gt;"Subscription",INDEX('Game Records'!$U:$U,$H236)&lt;&gt;"Free Game",INDEX('Game Records'!$U:$U,$H236)&lt;&gt;"Disqualified — Free Game",INDEX('Game Records'!$J:$J,$H236)=""),"Total Players; ","")&amp;IF(AND(LOWER(INDEX('Game Records'!$D:$D,$H236)&amp;"")="finalized",LOWER(INDEX('Game Records'!$L:$L,$H236)&amp;"")&lt;&gt;"yes",INDEX('Game Records'!$U:$U,$H236)&lt;&gt;"Subscription",INDEX('Game Records'!$U:$U,$H236)&lt;&gt;"Free Game",INDEX('Game Records'!$U:$U,$H236)&lt;&gt;"Disqualified — Free Game",INDEX('Game Records'!$K:$K,$H236)=""),"Final Payout; ","")&amp;IF(AND(LOWER(INDEX('Game Records'!$D:$D,$H236)&amp;"")="finalized",INDEX('Game Records'!$U:$U,$H236)&lt;&gt;"Subscription",INDEX('Game Records'!$U:$U,$H236)&lt;&gt;"Free Game",INDEX('Game Records'!$U:$U,$H236)&lt;&gt;"Disqualified — Free Game",OR(INDEX('Game Records'!$L:$L,$H236)="",LOWER(INDEX('Game Records'!$L:$L,$H236)&amp;"")="n/a")),"Disqualified Status; ",""))</f>
        <v/>
      </c>
      <c r="G236" s="23" t="str">
        <f t="array" ref="G236">IF($H236="","",IFERROR(INDEX('Game Records'!$M:$M,$H236),""))</f>
        <v/>
      </c>
      <c r="H236" s="3"/>
    </row>
    <row r="237" ht="24.0" customHeight="1">
      <c r="A237" s="18" t="str">
        <f t="shared" si="1"/>
        <v/>
      </c>
      <c r="B237" s="18" t="str">
        <f t="shared" si="2"/>
        <v/>
      </c>
      <c r="C237" s="23" t="str">
        <f t="array" ref="C237">IF($H237="","",IFERROR(INDEX('Game Records'!$A:$A,$H237),""))</f>
        <v/>
      </c>
      <c r="D237" s="23" t="str">
        <f t="array" ref="D237">IF($H237="","",IFERROR(INDEX('Game Records'!$U:$U,$H237),""))</f>
        <v/>
      </c>
      <c r="E237" s="23" t="str">
        <f t="array" ref="E237">IF($H237="","",LET(r,$H237,mode,LOWER(INDEX('Game Records'!$D:$D,r)&amp;""),endDate,INDEX('Game Records'!$C:$C,r),IF(mode="estimate",IF(endDate="","Estimate — End Date missing",IF(NOT(ISNUMBER(endDate)),"Estimate — Check End Date",IF(INT(endDate)&gt;=TODAY(),"In Progress — ends "&amp;TEXT(endDate,"mmm d, yyyy"),"Ready to Finalize"))),IF($F237="","No Highlighted Fields","Highlighted Fields Present"))))</f>
        <v/>
      </c>
      <c r="F237" s="23" t="str">
        <f t="array" ref="F237">IF($H237="","",IF(OR(NOT(_xlfn.ISFORMULA(INDEX('Game Records'!$N:$N,$H237))),NOT(_xlfn.ISFORMULA(INDEX('Game Records'!$O:$O,$H237))),NOT(_xlfn.ISFORMULA(INDEX('Game Records'!$P:$P,$H237))),NOT(_xlfn.ISFORMULA(INDEX('Game Records'!$Q:$Q,$H237))),NOT(_xlfn.ISFORMULA(INDEX('Game Records'!$R:$R,$H237))),NOT(_xlfn.ISFORMULA(INDEX('Game Records'!$S:$S,$H237))),NOT(_xlfn.ISFORMULA(INDEX('Game Records'!$T:$T,$H237))),NOT(_xlfn.ISFORMULA(INDEX('Game Records'!$U:$U,$H237))),NOT(_xlfn.ISFORMULA(INDEX('Game Records'!$V:$V,$H237))),NOT(_xlfn.ISFORMULA(INDEX('Game Records'!$W:$W,$H237))),NOT(_xlfn.ISFORMULA(INDEX('Game Records'!$X:$X,$H237))),NOT(_xlfn.ISFORMULA(INDEX('Game Records'!$Y:$Y,$H237))),NOT(_xlfn.ISFORMULA(INDEX('Game Records'!$Z:$Z,$H237)))),"","")&amp;IF(INDEX('Game Records'!$B:$B,$H237)="","Start Date; ","")&amp;IF(INDEX('Game Records'!$C:$C,$H237)="","End Date; ","")&amp;IF(AND(INDEX('Game Records'!$U:$U,$H237)&lt;&gt;"Subscription",INDEX('Game Records'!$U:$U,$H237)&lt;&gt;"Free Game",INDEX('Game Records'!$U:$U,$H237)&lt;&gt;"Disqualified — Free Game",OR(INDEX('Game Records'!$D:$D,$H237)="",LOWER(INDEX('Game Records'!$D:$D,$H237)&amp;"")="n/a")),"Entry Mode; ","")&amp;IF(AND(INDEX('Game Records'!$U:$U,$H237)&lt;&gt;"Subscription",INDEX('Game Records'!$U:$U,$H237)&lt;&gt;"Free Game",INDEX('Game Records'!$U:$U,$H237)&lt;&gt;"Disqualified — Free Game",OR(INDEX('Game Records'!$E:$E,$H237)="",LOWER(INDEX('Game Records'!$E:$E,$H237)&amp;"")="n/a")),"Game Type; ","")&amp;IF(INDEX('Game Records'!$F:$F,$H237)="","Payment Type; ","")&amp;IF(AND(INDEX('Game Records'!$U:$U,$H237)&lt;&gt;"Subscription",INDEX('Game Records'!$U:$U,$H237)&lt;&gt;"Free Game",INDEX('Game Records'!$U:$U,$H237)&lt;&gt;"Disqualified — Free Game",INDEX('Game Records'!$G:$G,$H237)=""),"Gross Pot; ","")&amp;IF(AND(INDEX('Game Records'!$U:$U,$H237)&lt;&gt;"Free Game",INDEX('Game Records'!$U:$U,$H237)&lt;&gt;"Disqualified — Free Game",INDEX('Game Records'!$H:$H,$H237)=""),"Entry Fee; ","")&amp;IF(AND(INDEX('Game Records'!$U:$U,$H237)&lt;&gt;"Subscription",INDEX('Game Records'!$U:$U,$H237)&lt;&gt;"Free Game",INDEX('Game Records'!$U:$U,$H237)&lt;&gt;"Disqualified — Free Game",INDEX('Game Records'!$I:$I,$H237)=""),"Eligible Players; ","")&amp;IF(AND(INDEX('Game Records'!$U:$U,$H237)&lt;&gt;"Subscription",INDEX('Game Records'!$U:$U,$H237)&lt;&gt;"Free Game",INDEX('Game Records'!$U:$U,$H237)&lt;&gt;"Disqualified — Free Game",INDEX('Game Records'!$J:$J,$H237)=""),"Total Players; ","")&amp;IF(AND(LOWER(INDEX('Game Records'!$D:$D,$H237)&amp;"")="finalized",LOWER(INDEX('Game Records'!$L:$L,$H237)&amp;"")&lt;&gt;"yes",INDEX('Game Records'!$U:$U,$H237)&lt;&gt;"Subscription",INDEX('Game Records'!$U:$U,$H237)&lt;&gt;"Free Game",INDEX('Game Records'!$U:$U,$H237)&lt;&gt;"Disqualified — Free Game",INDEX('Game Records'!$K:$K,$H237)=""),"Final Payout; ","")&amp;IF(AND(LOWER(INDEX('Game Records'!$D:$D,$H237)&amp;"")="finalized",INDEX('Game Records'!$U:$U,$H237)&lt;&gt;"Subscription",INDEX('Game Records'!$U:$U,$H237)&lt;&gt;"Free Game",INDEX('Game Records'!$U:$U,$H237)&lt;&gt;"Disqualified — Free Game",OR(INDEX('Game Records'!$L:$L,$H237)="",LOWER(INDEX('Game Records'!$L:$L,$H237)&amp;"")="n/a")),"Disqualified Status; ",""))</f>
        <v/>
      </c>
      <c r="G237" s="23" t="str">
        <f t="array" ref="G237">IF($H237="","",IFERROR(INDEX('Game Records'!$M:$M,$H237),""))</f>
        <v/>
      </c>
      <c r="H237" s="3"/>
    </row>
    <row r="238" ht="24.0" customHeight="1">
      <c r="A238" s="18" t="str">
        <f t="shared" si="1"/>
        <v/>
      </c>
      <c r="B238" s="18" t="str">
        <f t="shared" si="2"/>
        <v/>
      </c>
      <c r="C238" s="23" t="str">
        <f t="array" ref="C238">IF($H238="","",IFERROR(INDEX('Game Records'!$A:$A,$H238),""))</f>
        <v/>
      </c>
      <c r="D238" s="23" t="str">
        <f t="array" ref="D238">IF($H238="","",IFERROR(INDEX('Game Records'!$U:$U,$H238),""))</f>
        <v/>
      </c>
      <c r="E238" s="23" t="str">
        <f t="array" ref="E238">IF($H238="","",LET(r,$H238,mode,LOWER(INDEX('Game Records'!$D:$D,r)&amp;""),endDate,INDEX('Game Records'!$C:$C,r),IF(mode="estimate",IF(endDate="","Estimate — End Date missing",IF(NOT(ISNUMBER(endDate)),"Estimate — Check End Date",IF(INT(endDate)&gt;=TODAY(),"In Progress — ends "&amp;TEXT(endDate,"mmm d, yyyy"),"Ready to Finalize"))),IF($F238="","No Highlighted Fields","Highlighted Fields Present"))))</f>
        <v/>
      </c>
      <c r="F238" s="23" t="str">
        <f t="array" ref="F238">IF($H238="","",IF(OR(NOT(_xlfn.ISFORMULA(INDEX('Game Records'!$N:$N,$H238))),NOT(_xlfn.ISFORMULA(INDEX('Game Records'!$O:$O,$H238))),NOT(_xlfn.ISFORMULA(INDEX('Game Records'!$P:$P,$H238))),NOT(_xlfn.ISFORMULA(INDEX('Game Records'!$Q:$Q,$H238))),NOT(_xlfn.ISFORMULA(INDEX('Game Records'!$R:$R,$H238))),NOT(_xlfn.ISFORMULA(INDEX('Game Records'!$S:$S,$H238))),NOT(_xlfn.ISFORMULA(INDEX('Game Records'!$T:$T,$H238))),NOT(_xlfn.ISFORMULA(INDEX('Game Records'!$U:$U,$H238))),NOT(_xlfn.ISFORMULA(INDEX('Game Records'!$V:$V,$H238))),NOT(_xlfn.ISFORMULA(INDEX('Game Records'!$W:$W,$H238))),NOT(_xlfn.ISFORMULA(INDEX('Game Records'!$X:$X,$H238))),NOT(_xlfn.ISFORMULA(INDEX('Game Records'!$Y:$Y,$H238))),NOT(_xlfn.ISFORMULA(INDEX('Game Records'!$Z:$Z,$H238)))),"","")&amp;IF(INDEX('Game Records'!$B:$B,$H238)="","Start Date; ","")&amp;IF(INDEX('Game Records'!$C:$C,$H238)="","End Date; ","")&amp;IF(AND(INDEX('Game Records'!$U:$U,$H238)&lt;&gt;"Subscription",INDEX('Game Records'!$U:$U,$H238)&lt;&gt;"Free Game",INDEX('Game Records'!$U:$U,$H238)&lt;&gt;"Disqualified — Free Game",OR(INDEX('Game Records'!$D:$D,$H238)="",LOWER(INDEX('Game Records'!$D:$D,$H238)&amp;"")="n/a")),"Entry Mode; ","")&amp;IF(AND(INDEX('Game Records'!$U:$U,$H238)&lt;&gt;"Subscription",INDEX('Game Records'!$U:$U,$H238)&lt;&gt;"Free Game",INDEX('Game Records'!$U:$U,$H238)&lt;&gt;"Disqualified — Free Game",OR(INDEX('Game Records'!$E:$E,$H238)="",LOWER(INDEX('Game Records'!$E:$E,$H238)&amp;"")="n/a")),"Game Type; ","")&amp;IF(INDEX('Game Records'!$F:$F,$H238)="","Payment Type; ","")&amp;IF(AND(INDEX('Game Records'!$U:$U,$H238)&lt;&gt;"Subscription",INDEX('Game Records'!$U:$U,$H238)&lt;&gt;"Free Game",INDEX('Game Records'!$U:$U,$H238)&lt;&gt;"Disqualified — Free Game",INDEX('Game Records'!$G:$G,$H238)=""),"Gross Pot; ","")&amp;IF(AND(INDEX('Game Records'!$U:$U,$H238)&lt;&gt;"Free Game",INDEX('Game Records'!$U:$U,$H238)&lt;&gt;"Disqualified — Free Game",INDEX('Game Records'!$H:$H,$H238)=""),"Entry Fee; ","")&amp;IF(AND(INDEX('Game Records'!$U:$U,$H238)&lt;&gt;"Subscription",INDEX('Game Records'!$U:$U,$H238)&lt;&gt;"Free Game",INDEX('Game Records'!$U:$U,$H238)&lt;&gt;"Disqualified — Free Game",INDEX('Game Records'!$I:$I,$H238)=""),"Eligible Players; ","")&amp;IF(AND(INDEX('Game Records'!$U:$U,$H238)&lt;&gt;"Subscription",INDEX('Game Records'!$U:$U,$H238)&lt;&gt;"Free Game",INDEX('Game Records'!$U:$U,$H238)&lt;&gt;"Disqualified — Free Game",INDEX('Game Records'!$J:$J,$H238)=""),"Total Players; ","")&amp;IF(AND(LOWER(INDEX('Game Records'!$D:$D,$H238)&amp;"")="finalized",LOWER(INDEX('Game Records'!$L:$L,$H238)&amp;"")&lt;&gt;"yes",INDEX('Game Records'!$U:$U,$H238)&lt;&gt;"Subscription",INDEX('Game Records'!$U:$U,$H238)&lt;&gt;"Free Game",INDEX('Game Records'!$U:$U,$H238)&lt;&gt;"Disqualified — Free Game",INDEX('Game Records'!$K:$K,$H238)=""),"Final Payout; ","")&amp;IF(AND(LOWER(INDEX('Game Records'!$D:$D,$H238)&amp;"")="finalized",INDEX('Game Records'!$U:$U,$H238)&lt;&gt;"Subscription",INDEX('Game Records'!$U:$U,$H238)&lt;&gt;"Free Game",INDEX('Game Records'!$U:$U,$H238)&lt;&gt;"Disqualified — Free Game",OR(INDEX('Game Records'!$L:$L,$H238)="",LOWER(INDEX('Game Records'!$L:$L,$H238)&amp;"")="n/a")),"Disqualified Status; ",""))</f>
        <v/>
      </c>
      <c r="G238" s="23" t="str">
        <f t="array" ref="G238">IF($H238="","",IFERROR(INDEX('Game Records'!$M:$M,$H238),""))</f>
        <v/>
      </c>
      <c r="H238" s="3"/>
    </row>
    <row r="239" ht="24.0" customHeight="1">
      <c r="A239" s="18" t="str">
        <f t="shared" si="1"/>
        <v/>
      </c>
      <c r="B239" s="18" t="str">
        <f t="shared" si="2"/>
        <v/>
      </c>
      <c r="C239" s="23" t="str">
        <f t="array" ref="C239">IF($H239="","",IFERROR(INDEX('Game Records'!$A:$A,$H239),""))</f>
        <v/>
      </c>
      <c r="D239" s="23" t="str">
        <f t="array" ref="D239">IF($H239="","",IFERROR(INDEX('Game Records'!$U:$U,$H239),""))</f>
        <v/>
      </c>
      <c r="E239" s="23" t="str">
        <f t="array" ref="E239">IF($H239="","",LET(r,$H239,mode,LOWER(INDEX('Game Records'!$D:$D,r)&amp;""),endDate,INDEX('Game Records'!$C:$C,r),IF(mode="estimate",IF(endDate="","Estimate — End Date missing",IF(NOT(ISNUMBER(endDate)),"Estimate — Check End Date",IF(INT(endDate)&gt;=TODAY(),"In Progress — ends "&amp;TEXT(endDate,"mmm d, yyyy"),"Ready to Finalize"))),IF($F239="","No Highlighted Fields","Highlighted Fields Present"))))</f>
        <v/>
      </c>
      <c r="F239" s="23" t="str">
        <f t="array" ref="F239">IF($H239="","",IF(OR(NOT(_xlfn.ISFORMULA(INDEX('Game Records'!$N:$N,$H239))),NOT(_xlfn.ISFORMULA(INDEX('Game Records'!$O:$O,$H239))),NOT(_xlfn.ISFORMULA(INDEX('Game Records'!$P:$P,$H239))),NOT(_xlfn.ISFORMULA(INDEX('Game Records'!$Q:$Q,$H239))),NOT(_xlfn.ISFORMULA(INDEX('Game Records'!$R:$R,$H239))),NOT(_xlfn.ISFORMULA(INDEX('Game Records'!$S:$S,$H239))),NOT(_xlfn.ISFORMULA(INDEX('Game Records'!$T:$T,$H239))),NOT(_xlfn.ISFORMULA(INDEX('Game Records'!$U:$U,$H239))),NOT(_xlfn.ISFORMULA(INDEX('Game Records'!$V:$V,$H239))),NOT(_xlfn.ISFORMULA(INDEX('Game Records'!$W:$W,$H239))),NOT(_xlfn.ISFORMULA(INDEX('Game Records'!$X:$X,$H239))),NOT(_xlfn.ISFORMULA(INDEX('Game Records'!$Y:$Y,$H239))),NOT(_xlfn.ISFORMULA(INDEX('Game Records'!$Z:$Z,$H239)))),"","")&amp;IF(INDEX('Game Records'!$B:$B,$H239)="","Start Date; ","")&amp;IF(INDEX('Game Records'!$C:$C,$H239)="","End Date; ","")&amp;IF(AND(INDEX('Game Records'!$U:$U,$H239)&lt;&gt;"Subscription",INDEX('Game Records'!$U:$U,$H239)&lt;&gt;"Free Game",INDEX('Game Records'!$U:$U,$H239)&lt;&gt;"Disqualified — Free Game",OR(INDEX('Game Records'!$D:$D,$H239)="",LOWER(INDEX('Game Records'!$D:$D,$H239)&amp;"")="n/a")),"Entry Mode; ","")&amp;IF(AND(INDEX('Game Records'!$U:$U,$H239)&lt;&gt;"Subscription",INDEX('Game Records'!$U:$U,$H239)&lt;&gt;"Free Game",INDEX('Game Records'!$U:$U,$H239)&lt;&gt;"Disqualified — Free Game",OR(INDEX('Game Records'!$E:$E,$H239)="",LOWER(INDEX('Game Records'!$E:$E,$H239)&amp;"")="n/a")),"Game Type; ","")&amp;IF(INDEX('Game Records'!$F:$F,$H239)="","Payment Type; ","")&amp;IF(AND(INDEX('Game Records'!$U:$U,$H239)&lt;&gt;"Subscription",INDEX('Game Records'!$U:$U,$H239)&lt;&gt;"Free Game",INDEX('Game Records'!$U:$U,$H239)&lt;&gt;"Disqualified — Free Game",INDEX('Game Records'!$G:$G,$H239)=""),"Gross Pot; ","")&amp;IF(AND(INDEX('Game Records'!$U:$U,$H239)&lt;&gt;"Free Game",INDEX('Game Records'!$U:$U,$H239)&lt;&gt;"Disqualified — Free Game",INDEX('Game Records'!$H:$H,$H239)=""),"Entry Fee; ","")&amp;IF(AND(INDEX('Game Records'!$U:$U,$H239)&lt;&gt;"Subscription",INDEX('Game Records'!$U:$U,$H239)&lt;&gt;"Free Game",INDEX('Game Records'!$U:$U,$H239)&lt;&gt;"Disqualified — Free Game",INDEX('Game Records'!$I:$I,$H239)=""),"Eligible Players; ","")&amp;IF(AND(INDEX('Game Records'!$U:$U,$H239)&lt;&gt;"Subscription",INDEX('Game Records'!$U:$U,$H239)&lt;&gt;"Free Game",INDEX('Game Records'!$U:$U,$H239)&lt;&gt;"Disqualified — Free Game",INDEX('Game Records'!$J:$J,$H239)=""),"Total Players; ","")&amp;IF(AND(LOWER(INDEX('Game Records'!$D:$D,$H239)&amp;"")="finalized",LOWER(INDEX('Game Records'!$L:$L,$H239)&amp;"")&lt;&gt;"yes",INDEX('Game Records'!$U:$U,$H239)&lt;&gt;"Subscription",INDEX('Game Records'!$U:$U,$H239)&lt;&gt;"Free Game",INDEX('Game Records'!$U:$U,$H239)&lt;&gt;"Disqualified — Free Game",INDEX('Game Records'!$K:$K,$H239)=""),"Final Payout; ","")&amp;IF(AND(LOWER(INDEX('Game Records'!$D:$D,$H239)&amp;"")="finalized",INDEX('Game Records'!$U:$U,$H239)&lt;&gt;"Subscription",INDEX('Game Records'!$U:$U,$H239)&lt;&gt;"Free Game",INDEX('Game Records'!$U:$U,$H239)&lt;&gt;"Disqualified — Free Game",OR(INDEX('Game Records'!$L:$L,$H239)="",LOWER(INDEX('Game Records'!$L:$L,$H239)&amp;"")="n/a")),"Disqualified Status; ",""))</f>
        <v/>
      </c>
      <c r="G239" s="23" t="str">
        <f t="array" ref="G239">IF($H239="","",IFERROR(INDEX('Game Records'!$M:$M,$H239),""))</f>
        <v/>
      </c>
      <c r="H239" s="3"/>
    </row>
    <row r="240" ht="24.0" customHeight="1">
      <c r="A240" s="18" t="str">
        <f t="shared" si="1"/>
        <v/>
      </c>
      <c r="B240" s="18" t="str">
        <f t="shared" si="2"/>
        <v/>
      </c>
      <c r="C240" s="23" t="str">
        <f t="array" ref="C240">IF($H240="","",IFERROR(INDEX('Game Records'!$A:$A,$H240),""))</f>
        <v/>
      </c>
      <c r="D240" s="23" t="str">
        <f t="array" ref="D240">IF($H240="","",IFERROR(INDEX('Game Records'!$U:$U,$H240),""))</f>
        <v/>
      </c>
      <c r="E240" s="23" t="str">
        <f t="array" ref="E240">IF($H240="","",LET(r,$H240,mode,LOWER(INDEX('Game Records'!$D:$D,r)&amp;""),endDate,INDEX('Game Records'!$C:$C,r),IF(mode="estimate",IF(endDate="","Estimate — End Date missing",IF(NOT(ISNUMBER(endDate)),"Estimate — Check End Date",IF(INT(endDate)&gt;=TODAY(),"In Progress — ends "&amp;TEXT(endDate,"mmm d, yyyy"),"Ready to Finalize"))),IF($F240="","No Highlighted Fields","Highlighted Fields Present"))))</f>
        <v/>
      </c>
      <c r="F240" s="23" t="str">
        <f t="array" ref="F240">IF($H240="","",IF(OR(NOT(_xlfn.ISFORMULA(INDEX('Game Records'!$N:$N,$H240))),NOT(_xlfn.ISFORMULA(INDEX('Game Records'!$O:$O,$H240))),NOT(_xlfn.ISFORMULA(INDEX('Game Records'!$P:$P,$H240))),NOT(_xlfn.ISFORMULA(INDEX('Game Records'!$Q:$Q,$H240))),NOT(_xlfn.ISFORMULA(INDEX('Game Records'!$R:$R,$H240))),NOT(_xlfn.ISFORMULA(INDEX('Game Records'!$S:$S,$H240))),NOT(_xlfn.ISFORMULA(INDEX('Game Records'!$T:$T,$H240))),NOT(_xlfn.ISFORMULA(INDEX('Game Records'!$U:$U,$H240))),NOT(_xlfn.ISFORMULA(INDEX('Game Records'!$V:$V,$H240))),NOT(_xlfn.ISFORMULA(INDEX('Game Records'!$W:$W,$H240))),NOT(_xlfn.ISFORMULA(INDEX('Game Records'!$X:$X,$H240))),NOT(_xlfn.ISFORMULA(INDEX('Game Records'!$Y:$Y,$H240))),NOT(_xlfn.ISFORMULA(INDEX('Game Records'!$Z:$Z,$H240)))),"","")&amp;IF(INDEX('Game Records'!$B:$B,$H240)="","Start Date; ","")&amp;IF(INDEX('Game Records'!$C:$C,$H240)="","End Date; ","")&amp;IF(AND(INDEX('Game Records'!$U:$U,$H240)&lt;&gt;"Subscription",INDEX('Game Records'!$U:$U,$H240)&lt;&gt;"Free Game",INDEX('Game Records'!$U:$U,$H240)&lt;&gt;"Disqualified — Free Game",OR(INDEX('Game Records'!$D:$D,$H240)="",LOWER(INDEX('Game Records'!$D:$D,$H240)&amp;"")="n/a")),"Entry Mode; ","")&amp;IF(AND(INDEX('Game Records'!$U:$U,$H240)&lt;&gt;"Subscription",INDEX('Game Records'!$U:$U,$H240)&lt;&gt;"Free Game",INDEX('Game Records'!$U:$U,$H240)&lt;&gt;"Disqualified — Free Game",OR(INDEX('Game Records'!$E:$E,$H240)="",LOWER(INDEX('Game Records'!$E:$E,$H240)&amp;"")="n/a")),"Game Type; ","")&amp;IF(INDEX('Game Records'!$F:$F,$H240)="","Payment Type; ","")&amp;IF(AND(INDEX('Game Records'!$U:$U,$H240)&lt;&gt;"Subscription",INDEX('Game Records'!$U:$U,$H240)&lt;&gt;"Free Game",INDEX('Game Records'!$U:$U,$H240)&lt;&gt;"Disqualified — Free Game",INDEX('Game Records'!$G:$G,$H240)=""),"Gross Pot; ","")&amp;IF(AND(INDEX('Game Records'!$U:$U,$H240)&lt;&gt;"Free Game",INDEX('Game Records'!$U:$U,$H240)&lt;&gt;"Disqualified — Free Game",INDEX('Game Records'!$H:$H,$H240)=""),"Entry Fee; ","")&amp;IF(AND(INDEX('Game Records'!$U:$U,$H240)&lt;&gt;"Subscription",INDEX('Game Records'!$U:$U,$H240)&lt;&gt;"Free Game",INDEX('Game Records'!$U:$U,$H240)&lt;&gt;"Disqualified — Free Game",INDEX('Game Records'!$I:$I,$H240)=""),"Eligible Players; ","")&amp;IF(AND(INDEX('Game Records'!$U:$U,$H240)&lt;&gt;"Subscription",INDEX('Game Records'!$U:$U,$H240)&lt;&gt;"Free Game",INDEX('Game Records'!$U:$U,$H240)&lt;&gt;"Disqualified — Free Game",INDEX('Game Records'!$J:$J,$H240)=""),"Total Players; ","")&amp;IF(AND(LOWER(INDEX('Game Records'!$D:$D,$H240)&amp;"")="finalized",LOWER(INDEX('Game Records'!$L:$L,$H240)&amp;"")&lt;&gt;"yes",INDEX('Game Records'!$U:$U,$H240)&lt;&gt;"Subscription",INDEX('Game Records'!$U:$U,$H240)&lt;&gt;"Free Game",INDEX('Game Records'!$U:$U,$H240)&lt;&gt;"Disqualified — Free Game",INDEX('Game Records'!$K:$K,$H240)=""),"Final Payout; ","")&amp;IF(AND(LOWER(INDEX('Game Records'!$D:$D,$H240)&amp;"")="finalized",INDEX('Game Records'!$U:$U,$H240)&lt;&gt;"Subscription",INDEX('Game Records'!$U:$U,$H240)&lt;&gt;"Free Game",INDEX('Game Records'!$U:$U,$H240)&lt;&gt;"Disqualified — Free Game",OR(INDEX('Game Records'!$L:$L,$H240)="",LOWER(INDEX('Game Records'!$L:$L,$H240)&amp;"")="n/a")),"Disqualified Status; ",""))</f>
        <v/>
      </c>
      <c r="G240" s="23" t="str">
        <f t="array" ref="G240">IF($H240="","",IFERROR(INDEX('Game Records'!$M:$M,$H240),""))</f>
        <v/>
      </c>
      <c r="H240" s="3"/>
    </row>
    <row r="241" ht="24.0" customHeight="1">
      <c r="A241" s="18" t="str">
        <f t="shared" si="1"/>
        <v/>
      </c>
      <c r="B241" s="18" t="str">
        <f t="shared" si="2"/>
        <v/>
      </c>
      <c r="C241" s="23" t="str">
        <f t="array" ref="C241">IF($H241="","",IFERROR(INDEX('Game Records'!$A:$A,$H241),""))</f>
        <v/>
      </c>
      <c r="D241" s="23" t="str">
        <f t="array" ref="D241">IF($H241="","",IFERROR(INDEX('Game Records'!$U:$U,$H241),""))</f>
        <v/>
      </c>
      <c r="E241" s="23" t="str">
        <f t="array" ref="E241">IF($H241="","",LET(r,$H241,mode,LOWER(INDEX('Game Records'!$D:$D,r)&amp;""),endDate,INDEX('Game Records'!$C:$C,r),IF(mode="estimate",IF(endDate="","Estimate — End Date missing",IF(NOT(ISNUMBER(endDate)),"Estimate — Check End Date",IF(INT(endDate)&gt;=TODAY(),"In Progress — ends "&amp;TEXT(endDate,"mmm d, yyyy"),"Ready to Finalize"))),IF($F241="","No Highlighted Fields","Highlighted Fields Present"))))</f>
        <v/>
      </c>
      <c r="F241" s="23" t="str">
        <f t="array" ref="F241">IF($H241="","",IF(OR(NOT(_xlfn.ISFORMULA(INDEX('Game Records'!$N:$N,$H241))),NOT(_xlfn.ISFORMULA(INDEX('Game Records'!$O:$O,$H241))),NOT(_xlfn.ISFORMULA(INDEX('Game Records'!$P:$P,$H241))),NOT(_xlfn.ISFORMULA(INDEX('Game Records'!$Q:$Q,$H241))),NOT(_xlfn.ISFORMULA(INDEX('Game Records'!$R:$R,$H241))),NOT(_xlfn.ISFORMULA(INDEX('Game Records'!$S:$S,$H241))),NOT(_xlfn.ISFORMULA(INDEX('Game Records'!$T:$T,$H241))),NOT(_xlfn.ISFORMULA(INDEX('Game Records'!$U:$U,$H241))),NOT(_xlfn.ISFORMULA(INDEX('Game Records'!$V:$V,$H241))),NOT(_xlfn.ISFORMULA(INDEX('Game Records'!$W:$W,$H241))),NOT(_xlfn.ISFORMULA(INDEX('Game Records'!$X:$X,$H241))),NOT(_xlfn.ISFORMULA(INDEX('Game Records'!$Y:$Y,$H241))),NOT(_xlfn.ISFORMULA(INDEX('Game Records'!$Z:$Z,$H241)))),"","")&amp;IF(INDEX('Game Records'!$B:$B,$H241)="","Start Date; ","")&amp;IF(INDEX('Game Records'!$C:$C,$H241)="","End Date; ","")&amp;IF(AND(INDEX('Game Records'!$U:$U,$H241)&lt;&gt;"Subscription",INDEX('Game Records'!$U:$U,$H241)&lt;&gt;"Free Game",INDEX('Game Records'!$U:$U,$H241)&lt;&gt;"Disqualified — Free Game",OR(INDEX('Game Records'!$D:$D,$H241)="",LOWER(INDEX('Game Records'!$D:$D,$H241)&amp;"")="n/a")),"Entry Mode; ","")&amp;IF(AND(INDEX('Game Records'!$U:$U,$H241)&lt;&gt;"Subscription",INDEX('Game Records'!$U:$U,$H241)&lt;&gt;"Free Game",INDEX('Game Records'!$U:$U,$H241)&lt;&gt;"Disqualified — Free Game",OR(INDEX('Game Records'!$E:$E,$H241)="",LOWER(INDEX('Game Records'!$E:$E,$H241)&amp;"")="n/a")),"Game Type; ","")&amp;IF(INDEX('Game Records'!$F:$F,$H241)="","Payment Type; ","")&amp;IF(AND(INDEX('Game Records'!$U:$U,$H241)&lt;&gt;"Subscription",INDEX('Game Records'!$U:$U,$H241)&lt;&gt;"Free Game",INDEX('Game Records'!$U:$U,$H241)&lt;&gt;"Disqualified — Free Game",INDEX('Game Records'!$G:$G,$H241)=""),"Gross Pot; ","")&amp;IF(AND(INDEX('Game Records'!$U:$U,$H241)&lt;&gt;"Free Game",INDEX('Game Records'!$U:$U,$H241)&lt;&gt;"Disqualified — Free Game",INDEX('Game Records'!$H:$H,$H241)=""),"Entry Fee; ","")&amp;IF(AND(INDEX('Game Records'!$U:$U,$H241)&lt;&gt;"Subscription",INDEX('Game Records'!$U:$U,$H241)&lt;&gt;"Free Game",INDEX('Game Records'!$U:$U,$H241)&lt;&gt;"Disqualified — Free Game",INDEX('Game Records'!$I:$I,$H241)=""),"Eligible Players; ","")&amp;IF(AND(INDEX('Game Records'!$U:$U,$H241)&lt;&gt;"Subscription",INDEX('Game Records'!$U:$U,$H241)&lt;&gt;"Free Game",INDEX('Game Records'!$U:$U,$H241)&lt;&gt;"Disqualified — Free Game",INDEX('Game Records'!$J:$J,$H241)=""),"Total Players; ","")&amp;IF(AND(LOWER(INDEX('Game Records'!$D:$D,$H241)&amp;"")="finalized",LOWER(INDEX('Game Records'!$L:$L,$H241)&amp;"")&lt;&gt;"yes",INDEX('Game Records'!$U:$U,$H241)&lt;&gt;"Subscription",INDEX('Game Records'!$U:$U,$H241)&lt;&gt;"Free Game",INDEX('Game Records'!$U:$U,$H241)&lt;&gt;"Disqualified — Free Game",INDEX('Game Records'!$K:$K,$H241)=""),"Final Payout; ","")&amp;IF(AND(LOWER(INDEX('Game Records'!$D:$D,$H241)&amp;"")="finalized",INDEX('Game Records'!$U:$U,$H241)&lt;&gt;"Subscription",INDEX('Game Records'!$U:$U,$H241)&lt;&gt;"Free Game",INDEX('Game Records'!$U:$U,$H241)&lt;&gt;"Disqualified — Free Game",OR(INDEX('Game Records'!$L:$L,$H241)="",LOWER(INDEX('Game Records'!$L:$L,$H241)&amp;"")="n/a")),"Disqualified Status; ",""))</f>
        <v/>
      </c>
      <c r="G241" s="23" t="str">
        <f t="array" ref="G241">IF($H241="","",IFERROR(INDEX('Game Records'!$M:$M,$H241),""))</f>
        <v/>
      </c>
      <c r="H241" s="3"/>
    </row>
    <row r="242" ht="24.0" customHeight="1">
      <c r="A242" s="18" t="str">
        <f t="shared" si="1"/>
        <v/>
      </c>
      <c r="B242" s="18" t="str">
        <f t="shared" si="2"/>
        <v/>
      </c>
      <c r="C242" s="23" t="str">
        <f t="array" ref="C242">IF($H242="","",IFERROR(INDEX('Game Records'!$A:$A,$H242),""))</f>
        <v/>
      </c>
      <c r="D242" s="23" t="str">
        <f t="array" ref="D242">IF($H242="","",IFERROR(INDEX('Game Records'!$U:$U,$H242),""))</f>
        <v/>
      </c>
      <c r="E242" s="23" t="str">
        <f t="array" ref="E242">IF($H242="","",LET(r,$H242,mode,LOWER(INDEX('Game Records'!$D:$D,r)&amp;""),endDate,INDEX('Game Records'!$C:$C,r),IF(mode="estimate",IF(endDate="","Estimate — End Date missing",IF(NOT(ISNUMBER(endDate)),"Estimate — Check End Date",IF(INT(endDate)&gt;=TODAY(),"In Progress — ends "&amp;TEXT(endDate,"mmm d, yyyy"),"Ready to Finalize"))),IF($F242="","No Highlighted Fields","Highlighted Fields Present"))))</f>
        <v/>
      </c>
      <c r="F242" s="23" t="str">
        <f t="array" ref="F242">IF($H242="","",IF(OR(NOT(_xlfn.ISFORMULA(INDEX('Game Records'!$N:$N,$H242))),NOT(_xlfn.ISFORMULA(INDEX('Game Records'!$O:$O,$H242))),NOT(_xlfn.ISFORMULA(INDEX('Game Records'!$P:$P,$H242))),NOT(_xlfn.ISFORMULA(INDEX('Game Records'!$Q:$Q,$H242))),NOT(_xlfn.ISFORMULA(INDEX('Game Records'!$R:$R,$H242))),NOT(_xlfn.ISFORMULA(INDEX('Game Records'!$S:$S,$H242))),NOT(_xlfn.ISFORMULA(INDEX('Game Records'!$T:$T,$H242))),NOT(_xlfn.ISFORMULA(INDEX('Game Records'!$U:$U,$H242))),NOT(_xlfn.ISFORMULA(INDEX('Game Records'!$V:$V,$H242))),NOT(_xlfn.ISFORMULA(INDEX('Game Records'!$W:$W,$H242))),NOT(_xlfn.ISFORMULA(INDEX('Game Records'!$X:$X,$H242))),NOT(_xlfn.ISFORMULA(INDEX('Game Records'!$Y:$Y,$H242))),NOT(_xlfn.ISFORMULA(INDEX('Game Records'!$Z:$Z,$H242)))),"","")&amp;IF(INDEX('Game Records'!$B:$B,$H242)="","Start Date; ","")&amp;IF(INDEX('Game Records'!$C:$C,$H242)="","End Date; ","")&amp;IF(AND(INDEX('Game Records'!$U:$U,$H242)&lt;&gt;"Subscription",INDEX('Game Records'!$U:$U,$H242)&lt;&gt;"Free Game",INDEX('Game Records'!$U:$U,$H242)&lt;&gt;"Disqualified — Free Game",OR(INDEX('Game Records'!$D:$D,$H242)="",LOWER(INDEX('Game Records'!$D:$D,$H242)&amp;"")="n/a")),"Entry Mode; ","")&amp;IF(AND(INDEX('Game Records'!$U:$U,$H242)&lt;&gt;"Subscription",INDEX('Game Records'!$U:$U,$H242)&lt;&gt;"Free Game",INDEX('Game Records'!$U:$U,$H242)&lt;&gt;"Disqualified — Free Game",OR(INDEX('Game Records'!$E:$E,$H242)="",LOWER(INDEX('Game Records'!$E:$E,$H242)&amp;"")="n/a")),"Game Type; ","")&amp;IF(INDEX('Game Records'!$F:$F,$H242)="","Payment Type; ","")&amp;IF(AND(INDEX('Game Records'!$U:$U,$H242)&lt;&gt;"Subscription",INDEX('Game Records'!$U:$U,$H242)&lt;&gt;"Free Game",INDEX('Game Records'!$U:$U,$H242)&lt;&gt;"Disqualified — Free Game",INDEX('Game Records'!$G:$G,$H242)=""),"Gross Pot; ","")&amp;IF(AND(INDEX('Game Records'!$U:$U,$H242)&lt;&gt;"Free Game",INDEX('Game Records'!$U:$U,$H242)&lt;&gt;"Disqualified — Free Game",INDEX('Game Records'!$H:$H,$H242)=""),"Entry Fee; ","")&amp;IF(AND(INDEX('Game Records'!$U:$U,$H242)&lt;&gt;"Subscription",INDEX('Game Records'!$U:$U,$H242)&lt;&gt;"Free Game",INDEX('Game Records'!$U:$U,$H242)&lt;&gt;"Disqualified — Free Game",INDEX('Game Records'!$I:$I,$H242)=""),"Eligible Players; ","")&amp;IF(AND(INDEX('Game Records'!$U:$U,$H242)&lt;&gt;"Subscription",INDEX('Game Records'!$U:$U,$H242)&lt;&gt;"Free Game",INDEX('Game Records'!$U:$U,$H242)&lt;&gt;"Disqualified — Free Game",INDEX('Game Records'!$J:$J,$H242)=""),"Total Players; ","")&amp;IF(AND(LOWER(INDEX('Game Records'!$D:$D,$H242)&amp;"")="finalized",LOWER(INDEX('Game Records'!$L:$L,$H242)&amp;"")&lt;&gt;"yes",INDEX('Game Records'!$U:$U,$H242)&lt;&gt;"Subscription",INDEX('Game Records'!$U:$U,$H242)&lt;&gt;"Free Game",INDEX('Game Records'!$U:$U,$H242)&lt;&gt;"Disqualified — Free Game",INDEX('Game Records'!$K:$K,$H242)=""),"Final Payout; ","")&amp;IF(AND(LOWER(INDEX('Game Records'!$D:$D,$H242)&amp;"")="finalized",INDEX('Game Records'!$U:$U,$H242)&lt;&gt;"Subscription",INDEX('Game Records'!$U:$U,$H242)&lt;&gt;"Free Game",INDEX('Game Records'!$U:$U,$H242)&lt;&gt;"Disqualified — Free Game",OR(INDEX('Game Records'!$L:$L,$H242)="",LOWER(INDEX('Game Records'!$L:$L,$H242)&amp;"")="n/a")),"Disqualified Status; ",""))</f>
        <v/>
      </c>
      <c r="G242" s="23" t="str">
        <f t="array" ref="G242">IF($H242="","",IFERROR(INDEX('Game Records'!$M:$M,$H242),""))</f>
        <v/>
      </c>
      <c r="H242" s="3"/>
    </row>
    <row r="243" ht="24.0" customHeight="1">
      <c r="A243" s="18" t="str">
        <f t="shared" si="1"/>
        <v/>
      </c>
      <c r="B243" s="18" t="str">
        <f t="shared" si="2"/>
        <v/>
      </c>
      <c r="C243" s="23" t="str">
        <f t="array" ref="C243">IF($H243="","",IFERROR(INDEX('Game Records'!$A:$A,$H243),""))</f>
        <v/>
      </c>
      <c r="D243" s="23" t="str">
        <f t="array" ref="D243">IF($H243="","",IFERROR(INDEX('Game Records'!$U:$U,$H243),""))</f>
        <v/>
      </c>
      <c r="E243" s="23" t="str">
        <f t="array" ref="E243">IF($H243="","",LET(r,$H243,mode,LOWER(INDEX('Game Records'!$D:$D,r)&amp;""),endDate,INDEX('Game Records'!$C:$C,r),IF(mode="estimate",IF(endDate="","Estimate — End Date missing",IF(NOT(ISNUMBER(endDate)),"Estimate — Check End Date",IF(INT(endDate)&gt;=TODAY(),"In Progress — ends "&amp;TEXT(endDate,"mmm d, yyyy"),"Ready to Finalize"))),IF($F243="","No Highlighted Fields","Highlighted Fields Present"))))</f>
        <v/>
      </c>
      <c r="F243" s="23" t="str">
        <f t="array" ref="F243">IF($H243="","",IF(OR(NOT(_xlfn.ISFORMULA(INDEX('Game Records'!$N:$N,$H243))),NOT(_xlfn.ISFORMULA(INDEX('Game Records'!$O:$O,$H243))),NOT(_xlfn.ISFORMULA(INDEX('Game Records'!$P:$P,$H243))),NOT(_xlfn.ISFORMULA(INDEX('Game Records'!$Q:$Q,$H243))),NOT(_xlfn.ISFORMULA(INDEX('Game Records'!$R:$R,$H243))),NOT(_xlfn.ISFORMULA(INDEX('Game Records'!$S:$S,$H243))),NOT(_xlfn.ISFORMULA(INDEX('Game Records'!$T:$T,$H243))),NOT(_xlfn.ISFORMULA(INDEX('Game Records'!$U:$U,$H243))),NOT(_xlfn.ISFORMULA(INDEX('Game Records'!$V:$V,$H243))),NOT(_xlfn.ISFORMULA(INDEX('Game Records'!$W:$W,$H243))),NOT(_xlfn.ISFORMULA(INDEX('Game Records'!$X:$X,$H243))),NOT(_xlfn.ISFORMULA(INDEX('Game Records'!$Y:$Y,$H243))),NOT(_xlfn.ISFORMULA(INDEX('Game Records'!$Z:$Z,$H243)))),"","")&amp;IF(INDEX('Game Records'!$B:$B,$H243)="","Start Date; ","")&amp;IF(INDEX('Game Records'!$C:$C,$H243)="","End Date; ","")&amp;IF(AND(INDEX('Game Records'!$U:$U,$H243)&lt;&gt;"Subscription",INDEX('Game Records'!$U:$U,$H243)&lt;&gt;"Free Game",INDEX('Game Records'!$U:$U,$H243)&lt;&gt;"Disqualified — Free Game",OR(INDEX('Game Records'!$D:$D,$H243)="",LOWER(INDEX('Game Records'!$D:$D,$H243)&amp;"")="n/a")),"Entry Mode; ","")&amp;IF(AND(INDEX('Game Records'!$U:$U,$H243)&lt;&gt;"Subscription",INDEX('Game Records'!$U:$U,$H243)&lt;&gt;"Free Game",INDEX('Game Records'!$U:$U,$H243)&lt;&gt;"Disqualified — Free Game",OR(INDEX('Game Records'!$E:$E,$H243)="",LOWER(INDEX('Game Records'!$E:$E,$H243)&amp;"")="n/a")),"Game Type; ","")&amp;IF(INDEX('Game Records'!$F:$F,$H243)="","Payment Type; ","")&amp;IF(AND(INDEX('Game Records'!$U:$U,$H243)&lt;&gt;"Subscription",INDEX('Game Records'!$U:$U,$H243)&lt;&gt;"Free Game",INDEX('Game Records'!$U:$U,$H243)&lt;&gt;"Disqualified — Free Game",INDEX('Game Records'!$G:$G,$H243)=""),"Gross Pot; ","")&amp;IF(AND(INDEX('Game Records'!$U:$U,$H243)&lt;&gt;"Free Game",INDEX('Game Records'!$U:$U,$H243)&lt;&gt;"Disqualified — Free Game",INDEX('Game Records'!$H:$H,$H243)=""),"Entry Fee; ","")&amp;IF(AND(INDEX('Game Records'!$U:$U,$H243)&lt;&gt;"Subscription",INDEX('Game Records'!$U:$U,$H243)&lt;&gt;"Free Game",INDEX('Game Records'!$U:$U,$H243)&lt;&gt;"Disqualified — Free Game",INDEX('Game Records'!$I:$I,$H243)=""),"Eligible Players; ","")&amp;IF(AND(INDEX('Game Records'!$U:$U,$H243)&lt;&gt;"Subscription",INDEX('Game Records'!$U:$U,$H243)&lt;&gt;"Free Game",INDEX('Game Records'!$U:$U,$H243)&lt;&gt;"Disqualified — Free Game",INDEX('Game Records'!$J:$J,$H243)=""),"Total Players; ","")&amp;IF(AND(LOWER(INDEX('Game Records'!$D:$D,$H243)&amp;"")="finalized",LOWER(INDEX('Game Records'!$L:$L,$H243)&amp;"")&lt;&gt;"yes",INDEX('Game Records'!$U:$U,$H243)&lt;&gt;"Subscription",INDEX('Game Records'!$U:$U,$H243)&lt;&gt;"Free Game",INDEX('Game Records'!$U:$U,$H243)&lt;&gt;"Disqualified — Free Game",INDEX('Game Records'!$K:$K,$H243)=""),"Final Payout; ","")&amp;IF(AND(LOWER(INDEX('Game Records'!$D:$D,$H243)&amp;"")="finalized",INDEX('Game Records'!$U:$U,$H243)&lt;&gt;"Subscription",INDEX('Game Records'!$U:$U,$H243)&lt;&gt;"Free Game",INDEX('Game Records'!$U:$U,$H243)&lt;&gt;"Disqualified — Free Game",OR(INDEX('Game Records'!$L:$L,$H243)="",LOWER(INDEX('Game Records'!$L:$L,$H243)&amp;"")="n/a")),"Disqualified Status; ",""))</f>
        <v/>
      </c>
      <c r="G243" s="23" t="str">
        <f t="array" ref="G243">IF($H243="","",IFERROR(INDEX('Game Records'!$M:$M,$H243),""))</f>
        <v/>
      </c>
      <c r="H243" s="3"/>
    </row>
    <row r="244" ht="24.0" customHeight="1">
      <c r="A244" s="18" t="str">
        <f t="shared" si="1"/>
        <v/>
      </c>
      <c r="B244" s="18" t="str">
        <f t="shared" si="2"/>
        <v/>
      </c>
      <c r="C244" s="23" t="str">
        <f t="array" ref="C244">IF($H244="","",IFERROR(INDEX('Game Records'!$A:$A,$H244),""))</f>
        <v/>
      </c>
      <c r="D244" s="23" t="str">
        <f t="array" ref="D244">IF($H244="","",IFERROR(INDEX('Game Records'!$U:$U,$H244),""))</f>
        <v/>
      </c>
      <c r="E244" s="23" t="str">
        <f t="array" ref="E244">IF($H244="","",LET(r,$H244,mode,LOWER(INDEX('Game Records'!$D:$D,r)&amp;""),endDate,INDEX('Game Records'!$C:$C,r),IF(mode="estimate",IF(endDate="","Estimate — End Date missing",IF(NOT(ISNUMBER(endDate)),"Estimate — Check End Date",IF(INT(endDate)&gt;=TODAY(),"In Progress — ends "&amp;TEXT(endDate,"mmm d, yyyy"),"Ready to Finalize"))),IF($F244="","No Highlighted Fields","Highlighted Fields Present"))))</f>
        <v/>
      </c>
      <c r="F244" s="23" t="str">
        <f t="array" ref="F244">IF($H244="","",IF(OR(NOT(_xlfn.ISFORMULA(INDEX('Game Records'!$N:$N,$H244))),NOT(_xlfn.ISFORMULA(INDEX('Game Records'!$O:$O,$H244))),NOT(_xlfn.ISFORMULA(INDEX('Game Records'!$P:$P,$H244))),NOT(_xlfn.ISFORMULA(INDEX('Game Records'!$Q:$Q,$H244))),NOT(_xlfn.ISFORMULA(INDEX('Game Records'!$R:$R,$H244))),NOT(_xlfn.ISFORMULA(INDEX('Game Records'!$S:$S,$H244))),NOT(_xlfn.ISFORMULA(INDEX('Game Records'!$T:$T,$H244))),NOT(_xlfn.ISFORMULA(INDEX('Game Records'!$U:$U,$H244))),NOT(_xlfn.ISFORMULA(INDEX('Game Records'!$V:$V,$H244))),NOT(_xlfn.ISFORMULA(INDEX('Game Records'!$W:$W,$H244))),NOT(_xlfn.ISFORMULA(INDEX('Game Records'!$X:$X,$H244))),NOT(_xlfn.ISFORMULA(INDEX('Game Records'!$Y:$Y,$H244))),NOT(_xlfn.ISFORMULA(INDEX('Game Records'!$Z:$Z,$H244)))),"","")&amp;IF(INDEX('Game Records'!$B:$B,$H244)="","Start Date; ","")&amp;IF(INDEX('Game Records'!$C:$C,$H244)="","End Date; ","")&amp;IF(AND(INDEX('Game Records'!$U:$U,$H244)&lt;&gt;"Subscription",INDEX('Game Records'!$U:$U,$H244)&lt;&gt;"Free Game",INDEX('Game Records'!$U:$U,$H244)&lt;&gt;"Disqualified — Free Game",OR(INDEX('Game Records'!$D:$D,$H244)="",LOWER(INDEX('Game Records'!$D:$D,$H244)&amp;"")="n/a")),"Entry Mode; ","")&amp;IF(AND(INDEX('Game Records'!$U:$U,$H244)&lt;&gt;"Subscription",INDEX('Game Records'!$U:$U,$H244)&lt;&gt;"Free Game",INDEX('Game Records'!$U:$U,$H244)&lt;&gt;"Disqualified — Free Game",OR(INDEX('Game Records'!$E:$E,$H244)="",LOWER(INDEX('Game Records'!$E:$E,$H244)&amp;"")="n/a")),"Game Type; ","")&amp;IF(INDEX('Game Records'!$F:$F,$H244)="","Payment Type; ","")&amp;IF(AND(INDEX('Game Records'!$U:$U,$H244)&lt;&gt;"Subscription",INDEX('Game Records'!$U:$U,$H244)&lt;&gt;"Free Game",INDEX('Game Records'!$U:$U,$H244)&lt;&gt;"Disqualified — Free Game",INDEX('Game Records'!$G:$G,$H244)=""),"Gross Pot; ","")&amp;IF(AND(INDEX('Game Records'!$U:$U,$H244)&lt;&gt;"Free Game",INDEX('Game Records'!$U:$U,$H244)&lt;&gt;"Disqualified — Free Game",INDEX('Game Records'!$H:$H,$H244)=""),"Entry Fee; ","")&amp;IF(AND(INDEX('Game Records'!$U:$U,$H244)&lt;&gt;"Subscription",INDEX('Game Records'!$U:$U,$H244)&lt;&gt;"Free Game",INDEX('Game Records'!$U:$U,$H244)&lt;&gt;"Disqualified — Free Game",INDEX('Game Records'!$I:$I,$H244)=""),"Eligible Players; ","")&amp;IF(AND(INDEX('Game Records'!$U:$U,$H244)&lt;&gt;"Subscription",INDEX('Game Records'!$U:$U,$H244)&lt;&gt;"Free Game",INDEX('Game Records'!$U:$U,$H244)&lt;&gt;"Disqualified — Free Game",INDEX('Game Records'!$J:$J,$H244)=""),"Total Players; ","")&amp;IF(AND(LOWER(INDEX('Game Records'!$D:$D,$H244)&amp;"")="finalized",LOWER(INDEX('Game Records'!$L:$L,$H244)&amp;"")&lt;&gt;"yes",INDEX('Game Records'!$U:$U,$H244)&lt;&gt;"Subscription",INDEX('Game Records'!$U:$U,$H244)&lt;&gt;"Free Game",INDEX('Game Records'!$U:$U,$H244)&lt;&gt;"Disqualified — Free Game",INDEX('Game Records'!$K:$K,$H244)=""),"Final Payout; ","")&amp;IF(AND(LOWER(INDEX('Game Records'!$D:$D,$H244)&amp;"")="finalized",INDEX('Game Records'!$U:$U,$H244)&lt;&gt;"Subscription",INDEX('Game Records'!$U:$U,$H244)&lt;&gt;"Free Game",INDEX('Game Records'!$U:$U,$H244)&lt;&gt;"Disqualified — Free Game",OR(INDEX('Game Records'!$L:$L,$H244)="",LOWER(INDEX('Game Records'!$L:$L,$H244)&amp;"")="n/a")),"Disqualified Status; ",""))</f>
        <v/>
      </c>
      <c r="G244" s="23" t="str">
        <f t="array" ref="G244">IF($H244="","",IFERROR(INDEX('Game Records'!$M:$M,$H244),""))</f>
        <v/>
      </c>
      <c r="H244" s="3"/>
    </row>
    <row r="245" ht="24.0" customHeight="1">
      <c r="A245" s="18" t="str">
        <f t="shared" si="1"/>
        <v/>
      </c>
      <c r="B245" s="18" t="str">
        <f t="shared" si="2"/>
        <v/>
      </c>
      <c r="C245" s="23" t="str">
        <f t="array" ref="C245">IF($H245="","",IFERROR(INDEX('Game Records'!$A:$A,$H245),""))</f>
        <v/>
      </c>
      <c r="D245" s="23" t="str">
        <f t="array" ref="D245">IF($H245="","",IFERROR(INDEX('Game Records'!$U:$U,$H245),""))</f>
        <v/>
      </c>
      <c r="E245" s="23" t="str">
        <f t="array" ref="E245">IF($H245="","",LET(r,$H245,mode,LOWER(INDEX('Game Records'!$D:$D,r)&amp;""),endDate,INDEX('Game Records'!$C:$C,r),IF(mode="estimate",IF(endDate="","Estimate — End Date missing",IF(NOT(ISNUMBER(endDate)),"Estimate — Check End Date",IF(INT(endDate)&gt;=TODAY(),"In Progress — ends "&amp;TEXT(endDate,"mmm d, yyyy"),"Ready to Finalize"))),IF($F245="","No Highlighted Fields","Highlighted Fields Present"))))</f>
        <v/>
      </c>
      <c r="F245" s="23" t="str">
        <f t="array" ref="F245">IF($H245="","",IF(OR(NOT(_xlfn.ISFORMULA(INDEX('Game Records'!$N:$N,$H245))),NOT(_xlfn.ISFORMULA(INDEX('Game Records'!$O:$O,$H245))),NOT(_xlfn.ISFORMULA(INDEX('Game Records'!$P:$P,$H245))),NOT(_xlfn.ISFORMULA(INDEX('Game Records'!$Q:$Q,$H245))),NOT(_xlfn.ISFORMULA(INDEX('Game Records'!$R:$R,$H245))),NOT(_xlfn.ISFORMULA(INDEX('Game Records'!$S:$S,$H245))),NOT(_xlfn.ISFORMULA(INDEX('Game Records'!$T:$T,$H245))),NOT(_xlfn.ISFORMULA(INDEX('Game Records'!$U:$U,$H245))),NOT(_xlfn.ISFORMULA(INDEX('Game Records'!$V:$V,$H245))),NOT(_xlfn.ISFORMULA(INDEX('Game Records'!$W:$W,$H245))),NOT(_xlfn.ISFORMULA(INDEX('Game Records'!$X:$X,$H245))),NOT(_xlfn.ISFORMULA(INDEX('Game Records'!$Y:$Y,$H245))),NOT(_xlfn.ISFORMULA(INDEX('Game Records'!$Z:$Z,$H245)))),"","")&amp;IF(INDEX('Game Records'!$B:$B,$H245)="","Start Date; ","")&amp;IF(INDEX('Game Records'!$C:$C,$H245)="","End Date; ","")&amp;IF(AND(INDEX('Game Records'!$U:$U,$H245)&lt;&gt;"Subscription",INDEX('Game Records'!$U:$U,$H245)&lt;&gt;"Free Game",INDEX('Game Records'!$U:$U,$H245)&lt;&gt;"Disqualified — Free Game",OR(INDEX('Game Records'!$D:$D,$H245)="",LOWER(INDEX('Game Records'!$D:$D,$H245)&amp;"")="n/a")),"Entry Mode; ","")&amp;IF(AND(INDEX('Game Records'!$U:$U,$H245)&lt;&gt;"Subscription",INDEX('Game Records'!$U:$U,$H245)&lt;&gt;"Free Game",INDEX('Game Records'!$U:$U,$H245)&lt;&gt;"Disqualified — Free Game",OR(INDEX('Game Records'!$E:$E,$H245)="",LOWER(INDEX('Game Records'!$E:$E,$H245)&amp;"")="n/a")),"Game Type; ","")&amp;IF(INDEX('Game Records'!$F:$F,$H245)="","Payment Type; ","")&amp;IF(AND(INDEX('Game Records'!$U:$U,$H245)&lt;&gt;"Subscription",INDEX('Game Records'!$U:$U,$H245)&lt;&gt;"Free Game",INDEX('Game Records'!$U:$U,$H245)&lt;&gt;"Disqualified — Free Game",INDEX('Game Records'!$G:$G,$H245)=""),"Gross Pot; ","")&amp;IF(AND(INDEX('Game Records'!$U:$U,$H245)&lt;&gt;"Free Game",INDEX('Game Records'!$U:$U,$H245)&lt;&gt;"Disqualified — Free Game",INDEX('Game Records'!$H:$H,$H245)=""),"Entry Fee; ","")&amp;IF(AND(INDEX('Game Records'!$U:$U,$H245)&lt;&gt;"Subscription",INDEX('Game Records'!$U:$U,$H245)&lt;&gt;"Free Game",INDEX('Game Records'!$U:$U,$H245)&lt;&gt;"Disqualified — Free Game",INDEX('Game Records'!$I:$I,$H245)=""),"Eligible Players; ","")&amp;IF(AND(INDEX('Game Records'!$U:$U,$H245)&lt;&gt;"Subscription",INDEX('Game Records'!$U:$U,$H245)&lt;&gt;"Free Game",INDEX('Game Records'!$U:$U,$H245)&lt;&gt;"Disqualified — Free Game",INDEX('Game Records'!$J:$J,$H245)=""),"Total Players; ","")&amp;IF(AND(LOWER(INDEX('Game Records'!$D:$D,$H245)&amp;"")="finalized",LOWER(INDEX('Game Records'!$L:$L,$H245)&amp;"")&lt;&gt;"yes",INDEX('Game Records'!$U:$U,$H245)&lt;&gt;"Subscription",INDEX('Game Records'!$U:$U,$H245)&lt;&gt;"Free Game",INDEX('Game Records'!$U:$U,$H245)&lt;&gt;"Disqualified — Free Game",INDEX('Game Records'!$K:$K,$H245)=""),"Final Payout; ","")&amp;IF(AND(LOWER(INDEX('Game Records'!$D:$D,$H245)&amp;"")="finalized",INDEX('Game Records'!$U:$U,$H245)&lt;&gt;"Subscription",INDEX('Game Records'!$U:$U,$H245)&lt;&gt;"Free Game",INDEX('Game Records'!$U:$U,$H245)&lt;&gt;"Disqualified — Free Game",OR(INDEX('Game Records'!$L:$L,$H245)="",LOWER(INDEX('Game Records'!$L:$L,$H245)&amp;"")="n/a")),"Disqualified Status; ",""))</f>
        <v/>
      </c>
      <c r="G245" s="23" t="str">
        <f t="array" ref="G245">IF($H245="","",IFERROR(INDEX('Game Records'!$M:$M,$H245),""))</f>
        <v/>
      </c>
      <c r="H245" s="3"/>
    </row>
    <row r="246" ht="24.0" customHeight="1">
      <c r="A246" s="18" t="str">
        <f t="shared" si="1"/>
        <v/>
      </c>
      <c r="B246" s="18" t="str">
        <f t="shared" si="2"/>
        <v/>
      </c>
      <c r="C246" s="23" t="str">
        <f t="array" ref="C246">IF($H246="","",IFERROR(INDEX('Game Records'!$A:$A,$H246),""))</f>
        <v/>
      </c>
      <c r="D246" s="23" t="str">
        <f t="array" ref="D246">IF($H246="","",IFERROR(INDEX('Game Records'!$U:$U,$H246),""))</f>
        <v/>
      </c>
      <c r="E246" s="23" t="str">
        <f t="array" ref="E246">IF($H246="","",LET(r,$H246,mode,LOWER(INDEX('Game Records'!$D:$D,r)&amp;""),endDate,INDEX('Game Records'!$C:$C,r),IF(mode="estimate",IF(endDate="","Estimate — End Date missing",IF(NOT(ISNUMBER(endDate)),"Estimate — Check End Date",IF(INT(endDate)&gt;=TODAY(),"In Progress — ends "&amp;TEXT(endDate,"mmm d, yyyy"),"Ready to Finalize"))),IF($F246="","No Highlighted Fields","Highlighted Fields Present"))))</f>
        <v/>
      </c>
      <c r="F246" s="23" t="str">
        <f t="array" ref="F246">IF($H246="","",IF(OR(NOT(_xlfn.ISFORMULA(INDEX('Game Records'!$N:$N,$H246))),NOT(_xlfn.ISFORMULA(INDEX('Game Records'!$O:$O,$H246))),NOT(_xlfn.ISFORMULA(INDEX('Game Records'!$P:$P,$H246))),NOT(_xlfn.ISFORMULA(INDEX('Game Records'!$Q:$Q,$H246))),NOT(_xlfn.ISFORMULA(INDEX('Game Records'!$R:$R,$H246))),NOT(_xlfn.ISFORMULA(INDEX('Game Records'!$S:$S,$H246))),NOT(_xlfn.ISFORMULA(INDEX('Game Records'!$T:$T,$H246))),NOT(_xlfn.ISFORMULA(INDEX('Game Records'!$U:$U,$H246))),NOT(_xlfn.ISFORMULA(INDEX('Game Records'!$V:$V,$H246))),NOT(_xlfn.ISFORMULA(INDEX('Game Records'!$W:$W,$H246))),NOT(_xlfn.ISFORMULA(INDEX('Game Records'!$X:$X,$H246))),NOT(_xlfn.ISFORMULA(INDEX('Game Records'!$Y:$Y,$H246))),NOT(_xlfn.ISFORMULA(INDEX('Game Records'!$Z:$Z,$H246)))),"","")&amp;IF(INDEX('Game Records'!$B:$B,$H246)="","Start Date; ","")&amp;IF(INDEX('Game Records'!$C:$C,$H246)="","End Date; ","")&amp;IF(AND(INDEX('Game Records'!$U:$U,$H246)&lt;&gt;"Subscription",INDEX('Game Records'!$U:$U,$H246)&lt;&gt;"Free Game",INDEX('Game Records'!$U:$U,$H246)&lt;&gt;"Disqualified — Free Game",OR(INDEX('Game Records'!$D:$D,$H246)="",LOWER(INDEX('Game Records'!$D:$D,$H246)&amp;"")="n/a")),"Entry Mode; ","")&amp;IF(AND(INDEX('Game Records'!$U:$U,$H246)&lt;&gt;"Subscription",INDEX('Game Records'!$U:$U,$H246)&lt;&gt;"Free Game",INDEX('Game Records'!$U:$U,$H246)&lt;&gt;"Disqualified — Free Game",OR(INDEX('Game Records'!$E:$E,$H246)="",LOWER(INDEX('Game Records'!$E:$E,$H246)&amp;"")="n/a")),"Game Type; ","")&amp;IF(INDEX('Game Records'!$F:$F,$H246)="","Payment Type; ","")&amp;IF(AND(INDEX('Game Records'!$U:$U,$H246)&lt;&gt;"Subscription",INDEX('Game Records'!$U:$U,$H246)&lt;&gt;"Free Game",INDEX('Game Records'!$U:$U,$H246)&lt;&gt;"Disqualified — Free Game",INDEX('Game Records'!$G:$G,$H246)=""),"Gross Pot; ","")&amp;IF(AND(INDEX('Game Records'!$U:$U,$H246)&lt;&gt;"Free Game",INDEX('Game Records'!$U:$U,$H246)&lt;&gt;"Disqualified — Free Game",INDEX('Game Records'!$H:$H,$H246)=""),"Entry Fee; ","")&amp;IF(AND(INDEX('Game Records'!$U:$U,$H246)&lt;&gt;"Subscription",INDEX('Game Records'!$U:$U,$H246)&lt;&gt;"Free Game",INDEX('Game Records'!$U:$U,$H246)&lt;&gt;"Disqualified — Free Game",INDEX('Game Records'!$I:$I,$H246)=""),"Eligible Players; ","")&amp;IF(AND(INDEX('Game Records'!$U:$U,$H246)&lt;&gt;"Subscription",INDEX('Game Records'!$U:$U,$H246)&lt;&gt;"Free Game",INDEX('Game Records'!$U:$U,$H246)&lt;&gt;"Disqualified — Free Game",INDEX('Game Records'!$J:$J,$H246)=""),"Total Players; ","")&amp;IF(AND(LOWER(INDEX('Game Records'!$D:$D,$H246)&amp;"")="finalized",LOWER(INDEX('Game Records'!$L:$L,$H246)&amp;"")&lt;&gt;"yes",INDEX('Game Records'!$U:$U,$H246)&lt;&gt;"Subscription",INDEX('Game Records'!$U:$U,$H246)&lt;&gt;"Free Game",INDEX('Game Records'!$U:$U,$H246)&lt;&gt;"Disqualified — Free Game",INDEX('Game Records'!$K:$K,$H246)=""),"Final Payout; ","")&amp;IF(AND(LOWER(INDEX('Game Records'!$D:$D,$H246)&amp;"")="finalized",INDEX('Game Records'!$U:$U,$H246)&lt;&gt;"Subscription",INDEX('Game Records'!$U:$U,$H246)&lt;&gt;"Free Game",INDEX('Game Records'!$U:$U,$H246)&lt;&gt;"Disqualified — Free Game",OR(INDEX('Game Records'!$L:$L,$H246)="",LOWER(INDEX('Game Records'!$L:$L,$H246)&amp;"")="n/a")),"Disqualified Status; ",""))</f>
        <v/>
      </c>
      <c r="G246" s="23" t="str">
        <f t="array" ref="G246">IF($H246="","",IFERROR(INDEX('Game Records'!$M:$M,$H246),""))</f>
        <v/>
      </c>
      <c r="H246" s="3"/>
    </row>
    <row r="247" ht="24.0" customHeight="1">
      <c r="A247" s="18" t="str">
        <f t="shared" si="1"/>
        <v/>
      </c>
      <c r="B247" s="18" t="str">
        <f t="shared" si="2"/>
        <v/>
      </c>
      <c r="C247" s="23" t="str">
        <f t="array" ref="C247">IF($H247="","",IFERROR(INDEX('Game Records'!$A:$A,$H247),""))</f>
        <v/>
      </c>
      <c r="D247" s="23" t="str">
        <f t="array" ref="D247">IF($H247="","",IFERROR(INDEX('Game Records'!$U:$U,$H247),""))</f>
        <v/>
      </c>
      <c r="E247" s="23" t="str">
        <f t="array" ref="E247">IF($H247="","",LET(r,$H247,mode,LOWER(INDEX('Game Records'!$D:$D,r)&amp;""),endDate,INDEX('Game Records'!$C:$C,r),IF(mode="estimate",IF(endDate="","Estimate — End Date missing",IF(NOT(ISNUMBER(endDate)),"Estimate — Check End Date",IF(INT(endDate)&gt;=TODAY(),"In Progress — ends "&amp;TEXT(endDate,"mmm d, yyyy"),"Ready to Finalize"))),IF($F247="","No Highlighted Fields","Highlighted Fields Present"))))</f>
        <v/>
      </c>
      <c r="F247" s="23" t="str">
        <f t="array" ref="F247">IF($H247="","",IF(OR(NOT(_xlfn.ISFORMULA(INDEX('Game Records'!$N:$N,$H247))),NOT(_xlfn.ISFORMULA(INDEX('Game Records'!$O:$O,$H247))),NOT(_xlfn.ISFORMULA(INDEX('Game Records'!$P:$P,$H247))),NOT(_xlfn.ISFORMULA(INDEX('Game Records'!$Q:$Q,$H247))),NOT(_xlfn.ISFORMULA(INDEX('Game Records'!$R:$R,$H247))),NOT(_xlfn.ISFORMULA(INDEX('Game Records'!$S:$S,$H247))),NOT(_xlfn.ISFORMULA(INDEX('Game Records'!$T:$T,$H247))),NOT(_xlfn.ISFORMULA(INDEX('Game Records'!$U:$U,$H247))),NOT(_xlfn.ISFORMULA(INDEX('Game Records'!$V:$V,$H247))),NOT(_xlfn.ISFORMULA(INDEX('Game Records'!$W:$W,$H247))),NOT(_xlfn.ISFORMULA(INDEX('Game Records'!$X:$X,$H247))),NOT(_xlfn.ISFORMULA(INDEX('Game Records'!$Y:$Y,$H247))),NOT(_xlfn.ISFORMULA(INDEX('Game Records'!$Z:$Z,$H247)))),"","")&amp;IF(INDEX('Game Records'!$B:$B,$H247)="","Start Date; ","")&amp;IF(INDEX('Game Records'!$C:$C,$H247)="","End Date; ","")&amp;IF(AND(INDEX('Game Records'!$U:$U,$H247)&lt;&gt;"Subscription",INDEX('Game Records'!$U:$U,$H247)&lt;&gt;"Free Game",INDEX('Game Records'!$U:$U,$H247)&lt;&gt;"Disqualified — Free Game",OR(INDEX('Game Records'!$D:$D,$H247)="",LOWER(INDEX('Game Records'!$D:$D,$H247)&amp;"")="n/a")),"Entry Mode; ","")&amp;IF(AND(INDEX('Game Records'!$U:$U,$H247)&lt;&gt;"Subscription",INDEX('Game Records'!$U:$U,$H247)&lt;&gt;"Free Game",INDEX('Game Records'!$U:$U,$H247)&lt;&gt;"Disqualified — Free Game",OR(INDEX('Game Records'!$E:$E,$H247)="",LOWER(INDEX('Game Records'!$E:$E,$H247)&amp;"")="n/a")),"Game Type; ","")&amp;IF(INDEX('Game Records'!$F:$F,$H247)="","Payment Type; ","")&amp;IF(AND(INDEX('Game Records'!$U:$U,$H247)&lt;&gt;"Subscription",INDEX('Game Records'!$U:$U,$H247)&lt;&gt;"Free Game",INDEX('Game Records'!$U:$U,$H247)&lt;&gt;"Disqualified — Free Game",INDEX('Game Records'!$G:$G,$H247)=""),"Gross Pot; ","")&amp;IF(AND(INDEX('Game Records'!$U:$U,$H247)&lt;&gt;"Free Game",INDEX('Game Records'!$U:$U,$H247)&lt;&gt;"Disqualified — Free Game",INDEX('Game Records'!$H:$H,$H247)=""),"Entry Fee; ","")&amp;IF(AND(INDEX('Game Records'!$U:$U,$H247)&lt;&gt;"Subscription",INDEX('Game Records'!$U:$U,$H247)&lt;&gt;"Free Game",INDEX('Game Records'!$U:$U,$H247)&lt;&gt;"Disqualified — Free Game",INDEX('Game Records'!$I:$I,$H247)=""),"Eligible Players; ","")&amp;IF(AND(INDEX('Game Records'!$U:$U,$H247)&lt;&gt;"Subscription",INDEX('Game Records'!$U:$U,$H247)&lt;&gt;"Free Game",INDEX('Game Records'!$U:$U,$H247)&lt;&gt;"Disqualified — Free Game",INDEX('Game Records'!$J:$J,$H247)=""),"Total Players; ","")&amp;IF(AND(LOWER(INDEX('Game Records'!$D:$D,$H247)&amp;"")="finalized",LOWER(INDEX('Game Records'!$L:$L,$H247)&amp;"")&lt;&gt;"yes",INDEX('Game Records'!$U:$U,$H247)&lt;&gt;"Subscription",INDEX('Game Records'!$U:$U,$H247)&lt;&gt;"Free Game",INDEX('Game Records'!$U:$U,$H247)&lt;&gt;"Disqualified — Free Game",INDEX('Game Records'!$K:$K,$H247)=""),"Final Payout; ","")&amp;IF(AND(LOWER(INDEX('Game Records'!$D:$D,$H247)&amp;"")="finalized",INDEX('Game Records'!$U:$U,$H247)&lt;&gt;"Subscription",INDEX('Game Records'!$U:$U,$H247)&lt;&gt;"Free Game",INDEX('Game Records'!$U:$U,$H247)&lt;&gt;"Disqualified — Free Game",OR(INDEX('Game Records'!$L:$L,$H247)="",LOWER(INDEX('Game Records'!$L:$L,$H247)&amp;"")="n/a")),"Disqualified Status; ",""))</f>
        <v/>
      </c>
      <c r="G247" s="23" t="str">
        <f t="array" ref="G247">IF($H247="","",IFERROR(INDEX('Game Records'!$M:$M,$H247),""))</f>
        <v/>
      </c>
      <c r="H247" s="3"/>
    </row>
    <row r="248" ht="24.0" customHeight="1">
      <c r="A248" s="18" t="str">
        <f t="shared" si="1"/>
        <v/>
      </c>
      <c r="B248" s="18" t="str">
        <f t="shared" si="2"/>
        <v/>
      </c>
      <c r="C248" s="23" t="str">
        <f t="array" ref="C248">IF($H248="","",IFERROR(INDEX('Game Records'!$A:$A,$H248),""))</f>
        <v/>
      </c>
      <c r="D248" s="23" t="str">
        <f t="array" ref="D248">IF($H248="","",IFERROR(INDEX('Game Records'!$U:$U,$H248),""))</f>
        <v/>
      </c>
      <c r="E248" s="23" t="str">
        <f t="array" ref="E248">IF($H248="","",LET(r,$H248,mode,LOWER(INDEX('Game Records'!$D:$D,r)&amp;""),endDate,INDEX('Game Records'!$C:$C,r),IF(mode="estimate",IF(endDate="","Estimate — End Date missing",IF(NOT(ISNUMBER(endDate)),"Estimate — Check End Date",IF(INT(endDate)&gt;=TODAY(),"In Progress — ends "&amp;TEXT(endDate,"mmm d, yyyy"),"Ready to Finalize"))),IF($F248="","No Highlighted Fields","Highlighted Fields Present"))))</f>
        <v/>
      </c>
      <c r="F248" s="23" t="str">
        <f t="array" ref="F248">IF($H248="","",IF(OR(NOT(_xlfn.ISFORMULA(INDEX('Game Records'!$N:$N,$H248))),NOT(_xlfn.ISFORMULA(INDEX('Game Records'!$O:$O,$H248))),NOT(_xlfn.ISFORMULA(INDEX('Game Records'!$P:$P,$H248))),NOT(_xlfn.ISFORMULA(INDEX('Game Records'!$Q:$Q,$H248))),NOT(_xlfn.ISFORMULA(INDEX('Game Records'!$R:$R,$H248))),NOT(_xlfn.ISFORMULA(INDEX('Game Records'!$S:$S,$H248))),NOT(_xlfn.ISFORMULA(INDEX('Game Records'!$T:$T,$H248))),NOT(_xlfn.ISFORMULA(INDEX('Game Records'!$U:$U,$H248))),NOT(_xlfn.ISFORMULA(INDEX('Game Records'!$V:$V,$H248))),NOT(_xlfn.ISFORMULA(INDEX('Game Records'!$W:$W,$H248))),NOT(_xlfn.ISFORMULA(INDEX('Game Records'!$X:$X,$H248))),NOT(_xlfn.ISFORMULA(INDEX('Game Records'!$Y:$Y,$H248))),NOT(_xlfn.ISFORMULA(INDEX('Game Records'!$Z:$Z,$H248)))),"","")&amp;IF(INDEX('Game Records'!$B:$B,$H248)="","Start Date; ","")&amp;IF(INDEX('Game Records'!$C:$C,$H248)="","End Date; ","")&amp;IF(AND(INDEX('Game Records'!$U:$U,$H248)&lt;&gt;"Subscription",INDEX('Game Records'!$U:$U,$H248)&lt;&gt;"Free Game",INDEX('Game Records'!$U:$U,$H248)&lt;&gt;"Disqualified — Free Game",OR(INDEX('Game Records'!$D:$D,$H248)="",LOWER(INDEX('Game Records'!$D:$D,$H248)&amp;"")="n/a")),"Entry Mode; ","")&amp;IF(AND(INDEX('Game Records'!$U:$U,$H248)&lt;&gt;"Subscription",INDEX('Game Records'!$U:$U,$H248)&lt;&gt;"Free Game",INDEX('Game Records'!$U:$U,$H248)&lt;&gt;"Disqualified — Free Game",OR(INDEX('Game Records'!$E:$E,$H248)="",LOWER(INDEX('Game Records'!$E:$E,$H248)&amp;"")="n/a")),"Game Type; ","")&amp;IF(INDEX('Game Records'!$F:$F,$H248)="","Payment Type; ","")&amp;IF(AND(INDEX('Game Records'!$U:$U,$H248)&lt;&gt;"Subscription",INDEX('Game Records'!$U:$U,$H248)&lt;&gt;"Free Game",INDEX('Game Records'!$U:$U,$H248)&lt;&gt;"Disqualified — Free Game",INDEX('Game Records'!$G:$G,$H248)=""),"Gross Pot; ","")&amp;IF(AND(INDEX('Game Records'!$U:$U,$H248)&lt;&gt;"Free Game",INDEX('Game Records'!$U:$U,$H248)&lt;&gt;"Disqualified — Free Game",INDEX('Game Records'!$H:$H,$H248)=""),"Entry Fee; ","")&amp;IF(AND(INDEX('Game Records'!$U:$U,$H248)&lt;&gt;"Subscription",INDEX('Game Records'!$U:$U,$H248)&lt;&gt;"Free Game",INDEX('Game Records'!$U:$U,$H248)&lt;&gt;"Disqualified — Free Game",INDEX('Game Records'!$I:$I,$H248)=""),"Eligible Players; ","")&amp;IF(AND(INDEX('Game Records'!$U:$U,$H248)&lt;&gt;"Subscription",INDEX('Game Records'!$U:$U,$H248)&lt;&gt;"Free Game",INDEX('Game Records'!$U:$U,$H248)&lt;&gt;"Disqualified — Free Game",INDEX('Game Records'!$J:$J,$H248)=""),"Total Players; ","")&amp;IF(AND(LOWER(INDEX('Game Records'!$D:$D,$H248)&amp;"")="finalized",LOWER(INDEX('Game Records'!$L:$L,$H248)&amp;"")&lt;&gt;"yes",INDEX('Game Records'!$U:$U,$H248)&lt;&gt;"Subscription",INDEX('Game Records'!$U:$U,$H248)&lt;&gt;"Free Game",INDEX('Game Records'!$U:$U,$H248)&lt;&gt;"Disqualified — Free Game",INDEX('Game Records'!$K:$K,$H248)=""),"Final Payout; ","")&amp;IF(AND(LOWER(INDEX('Game Records'!$D:$D,$H248)&amp;"")="finalized",INDEX('Game Records'!$U:$U,$H248)&lt;&gt;"Subscription",INDEX('Game Records'!$U:$U,$H248)&lt;&gt;"Free Game",INDEX('Game Records'!$U:$U,$H248)&lt;&gt;"Disqualified — Free Game",OR(INDEX('Game Records'!$L:$L,$H248)="",LOWER(INDEX('Game Records'!$L:$L,$H248)&amp;"")="n/a")),"Disqualified Status; ",""))</f>
        <v/>
      </c>
      <c r="G248" s="23" t="str">
        <f t="array" ref="G248">IF($H248="","",IFERROR(INDEX('Game Records'!$M:$M,$H248),""))</f>
        <v/>
      </c>
      <c r="H248" s="3"/>
    </row>
    <row r="249" ht="24.0" customHeight="1">
      <c r="A249" s="18" t="str">
        <f t="shared" si="1"/>
        <v/>
      </c>
      <c r="B249" s="18" t="str">
        <f t="shared" si="2"/>
        <v/>
      </c>
      <c r="C249" s="23" t="str">
        <f t="array" ref="C249">IF($H249="","",IFERROR(INDEX('Game Records'!$A:$A,$H249),""))</f>
        <v/>
      </c>
      <c r="D249" s="23" t="str">
        <f t="array" ref="D249">IF($H249="","",IFERROR(INDEX('Game Records'!$U:$U,$H249),""))</f>
        <v/>
      </c>
      <c r="E249" s="23" t="str">
        <f t="array" ref="E249">IF($H249="","",LET(r,$H249,mode,LOWER(INDEX('Game Records'!$D:$D,r)&amp;""),endDate,INDEX('Game Records'!$C:$C,r),IF(mode="estimate",IF(endDate="","Estimate — End Date missing",IF(NOT(ISNUMBER(endDate)),"Estimate — Check End Date",IF(INT(endDate)&gt;=TODAY(),"In Progress — ends "&amp;TEXT(endDate,"mmm d, yyyy"),"Ready to Finalize"))),IF($F249="","No Highlighted Fields","Highlighted Fields Present"))))</f>
        <v/>
      </c>
      <c r="F249" s="23" t="str">
        <f t="array" ref="F249">IF($H249="","",IF(OR(NOT(_xlfn.ISFORMULA(INDEX('Game Records'!$N:$N,$H249))),NOT(_xlfn.ISFORMULA(INDEX('Game Records'!$O:$O,$H249))),NOT(_xlfn.ISFORMULA(INDEX('Game Records'!$P:$P,$H249))),NOT(_xlfn.ISFORMULA(INDEX('Game Records'!$Q:$Q,$H249))),NOT(_xlfn.ISFORMULA(INDEX('Game Records'!$R:$R,$H249))),NOT(_xlfn.ISFORMULA(INDEX('Game Records'!$S:$S,$H249))),NOT(_xlfn.ISFORMULA(INDEX('Game Records'!$T:$T,$H249))),NOT(_xlfn.ISFORMULA(INDEX('Game Records'!$U:$U,$H249))),NOT(_xlfn.ISFORMULA(INDEX('Game Records'!$V:$V,$H249))),NOT(_xlfn.ISFORMULA(INDEX('Game Records'!$W:$W,$H249))),NOT(_xlfn.ISFORMULA(INDEX('Game Records'!$X:$X,$H249))),NOT(_xlfn.ISFORMULA(INDEX('Game Records'!$Y:$Y,$H249))),NOT(_xlfn.ISFORMULA(INDEX('Game Records'!$Z:$Z,$H249)))),"","")&amp;IF(INDEX('Game Records'!$B:$B,$H249)="","Start Date; ","")&amp;IF(INDEX('Game Records'!$C:$C,$H249)="","End Date; ","")&amp;IF(AND(INDEX('Game Records'!$U:$U,$H249)&lt;&gt;"Subscription",INDEX('Game Records'!$U:$U,$H249)&lt;&gt;"Free Game",INDEX('Game Records'!$U:$U,$H249)&lt;&gt;"Disqualified — Free Game",OR(INDEX('Game Records'!$D:$D,$H249)="",LOWER(INDEX('Game Records'!$D:$D,$H249)&amp;"")="n/a")),"Entry Mode; ","")&amp;IF(AND(INDEX('Game Records'!$U:$U,$H249)&lt;&gt;"Subscription",INDEX('Game Records'!$U:$U,$H249)&lt;&gt;"Free Game",INDEX('Game Records'!$U:$U,$H249)&lt;&gt;"Disqualified — Free Game",OR(INDEX('Game Records'!$E:$E,$H249)="",LOWER(INDEX('Game Records'!$E:$E,$H249)&amp;"")="n/a")),"Game Type; ","")&amp;IF(INDEX('Game Records'!$F:$F,$H249)="","Payment Type; ","")&amp;IF(AND(INDEX('Game Records'!$U:$U,$H249)&lt;&gt;"Subscription",INDEX('Game Records'!$U:$U,$H249)&lt;&gt;"Free Game",INDEX('Game Records'!$U:$U,$H249)&lt;&gt;"Disqualified — Free Game",INDEX('Game Records'!$G:$G,$H249)=""),"Gross Pot; ","")&amp;IF(AND(INDEX('Game Records'!$U:$U,$H249)&lt;&gt;"Free Game",INDEX('Game Records'!$U:$U,$H249)&lt;&gt;"Disqualified — Free Game",INDEX('Game Records'!$H:$H,$H249)=""),"Entry Fee; ","")&amp;IF(AND(INDEX('Game Records'!$U:$U,$H249)&lt;&gt;"Subscription",INDEX('Game Records'!$U:$U,$H249)&lt;&gt;"Free Game",INDEX('Game Records'!$U:$U,$H249)&lt;&gt;"Disqualified — Free Game",INDEX('Game Records'!$I:$I,$H249)=""),"Eligible Players; ","")&amp;IF(AND(INDEX('Game Records'!$U:$U,$H249)&lt;&gt;"Subscription",INDEX('Game Records'!$U:$U,$H249)&lt;&gt;"Free Game",INDEX('Game Records'!$U:$U,$H249)&lt;&gt;"Disqualified — Free Game",INDEX('Game Records'!$J:$J,$H249)=""),"Total Players; ","")&amp;IF(AND(LOWER(INDEX('Game Records'!$D:$D,$H249)&amp;"")="finalized",LOWER(INDEX('Game Records'!$L:$L,$H249)&amp;"")&lt;&gt;"yes",INDEX('Game Records'!$U:$U,$H249)&lt;&gt;"Subscription",INDEX('Game Records'!$U:$U,$H249)&lt;&gt;"Free Game",INDEX('Game Records'!$U:$U,$H249)&lt;&gt;"Disqualified — Free Game",INDEX('Game Records'!$K:$K,$H249)=""),"Final Payout; ","")&amp;IF(AND(LOWER(INDEX('Game Records'!$D:$D,$H249)&amp;"")="finalized",INDEX('Game Records'!$U:$U,$H249)&lt;&gt;"Subscription",INDEX('Game Records'!$U:$U,$H249)&lt;&gt;"Free Game",INDEX('Game Records'!$U:$U,$H249)&lt;&gt;"Disqualified — Free Game",OR(INDEX('Game Records'!$L:$L,$H249)="",LOWER(INDEX('Game Records'!$L:$L,$H249)&amp;"")="n/a")),"Disqualified Status; ",""))</f>
        <v/>
      </c>
      <c r="G249" s="23" t="str">
        <f t="array" ref="G249">IF($H249="","",IFERROR(INDEX('Game Records'!$M:$M,$H249),""))</f>
        <v/>
      </c>
      <c r="H249" s="3"/>
    </row>
    <row r="250" ht="24.0" customHeight="1">
      <c r="A250" s="18" t="str">
        <f t="shared" si="1"/>
        <v/>
      </c>
      <c r="B250" s="18" t="str">
        <f t="shared" si="2"/>
        <v/>
      </c>
      <c r="C250" s="23" t="str">
        <f t="array" ref="C250">IF($H250="","",IFERROR(INDEX('Game Records'!$A:$A,$H250),""))</f>
        <v/>
      </c>
      <c r="D250" s="23" t="str">
        <f t="array" ref="D250">IF($H250="","",IFERROR(INDEX('Game Records'!$U:$U,$H250),""))</f>
        <v/>
      </c>
      <c r="E250" s="23" t="str">
        <f t="array" ref="E250">IF($H250="","",LET(r,$H250,mode,LOWER(INDEX('Game Records'!$D:$D,r)&amp;""),endDate,INDEX('Game Records'!$C:$C,r),IF(mode="estimate",IF(endDate="","Estimate — End Date missing",IF(NOT(ISNUMBER(endDate)),"Estimate — Check End Date",IF(INT(endDate)&gt;=TODAY(),"In Progress — ends "&amp;TEXT(endDate,"mmm d, yyyy"),"Ready to Finalize"))),IF($F250="","No Highlighted Fields","Highlighted Fields Present"))))</f>
        <v/>
      </c>
      <c r="F250" s="23" t="str">
        <f t="array" ref="F250">IF($H250="","",IF(OR(NOT(_xlfn.ISFORMULA(INDEX('Game Records'!$N:$N,$H250))),NOT(_xlfn.ISFORMULA(INDEX('Game Records'!$O:$O,$H250))),NOT(_xlfn.ISFORMULA(INDEX('Game Records'!$P:$P,$H250))),NOT(_xlfn.ISFORMULA(INDEX('Game Records'!$Q:$Q,$H250))),NOT(_xlfn.ISFORMULA(INDEX('Game Records'!$R:$R,$H250))),NOT(_xlfn.ISFORMULA(INDEX('Game Records'!$S:$S,$H250))),NOT(_xlfn.ISFORMULA(INDEX('Game Records'!$T:$T,$H250))),NOT(_xlfn.ISFORMULA(INDEX('Game Records'!$U:$U,$H250))),NOT(_xlfn.ISFORMULA(INDEX('Game Records'!$V:$V,$H250))),NOT(_xlfn.ISFORMULA(INDEX('Game Records'!$W:$W,$H250))),NOT(_xlfn.ISFORMULA(INDEX('Game Records'!$X:$X,$H250))),NOT(_xlfn.ISFORMULA(INDEX('Game Records'!$Y:$Y,$H250))),NOT(_xlfn.ISFORMULA(INDEX('Game Records'!$Z:$Z,$H250)))),"","")&amp;IF(INDEX('Game Records'!$B:$B,$H250)="","Start Date; ","")&amp;IF(INDEX('Game Records'!$C:$C,$H250)="","End Date; ","")&amp;IF(AND(INDEX('Game Records'!$U:$U,$H250)&lt;&gt;"Subscription",INDEX('Game Records'!$U:$U,$H250)&lt;&gt;"Free Game",INDEX('Game Records'!$U:$U,$H250)&lt;&gt;"Disqualified — Free Game",OR(INDEX('Game Records'!$D:$D,$H250)="",LOWER(INDEX('Game Records'!$D:$D,$H250)&amp;"")="n/a")),"Entry Mode; ","")&amp;IF(AND(INDEX('Game Records'!$U:$U,$H250)&lt;&gt;"Subscription",INDEX('Game Records'!$U:$U,$H250)&lt;&gt;"Free Game",INDEX('Game Records'!$U:$U,$H250)&lt;&gt;"Disqualified — Free Game",OR(INDEX('Game Records'!$E:$E,$H250)="",LOWER(INDEX('Game Records'!$E:$E,$H250)&amp;"")="n/a")),"Game Type; ","")&amp;IF(INDEX('Game Records'!$F:$F,$H250)="","Payment Type; ","")&amp;IF(AND(INDEX('Game Records'!$U:$U,$H250)&lt;&gt;"Subscription",INDEX('Game Records'!$U:$U,$H250)&lt;&gt;"Free Game",INDEX('Game Records'!$U:$U,$H250)&lt;&gt;"Disqualified — Free Game",INDEX('Game Records'!$G:$G,$H250)=""),"Gross Pot; ","")&amp;IF(AND(INDEX('Game Records'!$U:$U,$H250)&lt;&gt;"Free Game",INDEX('Game Records'!$U:$U,$H250)&lt;&gt;"Disqualified — Free Game",INDEX('Game Records'!$H:$H,$H250)=""),"Entry Fee; ","")&amp;IF(AND(INDEX('Game Records'!$U:$U,$H250)&lt;&gt;"Subscription",INDEX('Game Records'!$U:$U,$H250)&lt;&gt;"Free Game",INDEX('Game Records'!$U:$U,$H250)&lt;&gt;"Disqualified — Free Game",INDEX('Game Records'!$I:$I,$H250)=""),"Eligible Players; ","")&amp;IF(AND(INDEX('Game Records'!$U:$U,$H250)&lt;&gt;"Subscription",INDEX('Game Records'!$U:$U,$H250)&lt;&gt;"Free Game",INDEX('Game Records'!$U:$U,$H250)&lt;&gt;"Disqualified — Free Game",INDEX('Game Records'!$J:$J,$H250)=""),"Total Players; ","")&amp;IF(AND(LOWER(INDEX('Game Records'!$D:$D,$H250)&amp;"")="finalized",LOWER(INDEX('Game Records'!$L:$L,$H250)&amp;"")&lt;&gt;"yes",INDEX('Game Records'!$U:$U,$H250)&lt;&gt;"Subscription",INDEX('Game Records'!$U:$U,$H250)&lt;&gt;"Free Game",INDEX('Game Records'!$U:$U,$H250)&lt;&gt;"Disqualified — Free Game",INDEX('Game Records'!$K:$K,$H250)=""),"Final Payout; ","")&amp;IF(AND(LOWER(INDEX('Game Records'!$D:$D,$H250)&amp;"")="finalized",INDEX('Game Records'!$U:$U,$H250)&lt;&gt;"Subscription",INDEX('Game Records'!$U:$U,$H250)&lt;&gt;"Free Game",INDEX('Game Records'!$U:$U,$H250)&lt;&gt;"Disqualified — Free Game",OR(INDEX('Game Records'!$L:$L,$H250)="",LOWER(INDEX('Game Records'!$L:$L,$H250)&amp;"")="n/a")),"Disqualified Status; ",""))</f>
        <v/>
      </c>
      <c r="G250" s="23" t="str">
        <f t="array" ref="G250">IF($H250="","",IFERROR(INDEX('Game Records'!$M:$M,$H250),""))</f>
        <v/>
      </c>
      <c r="H250" s="3"/>
    </row>
    <row r="251" ht="24.0" customHeight="1">
      <c r="A251" s="18" t="str">
        <f t="shared" si="1"/>
        <v/>
      </c>
      <c r="B251" s="18" t="str">
        <f t="shared" si="2"/>
        <v/>
      </c>
      <c r="C251" s="23" t="str">
        <f t="array" ref="C251">IF($H251="","",IFERROR(INDEX('Game Records'!$A:$A,$H251),""))</f>
        <v/>
      </c>
      <c r="D251" s="23" t="str">
        <f t="array" ref="D251">IF($H251="","",IFERROR(INDEX('Game Records'!$U:$U,$H251),""))</f>
        <v/>
      </c>
      <c r="E251" s="23" t="str">
        <f t="array" ref="E251">IF($H251="","",LET(r,$H251,mode,LOWER(INDEX('Game Records'!$D:$D,r)&amp;""),endDate,INDEX('Game Records'!$C:$C,r),IF(mode="estimate",IF(endDate="","Estimate — End Date missing",IF(NOT(ISNUMBER(endDate)),"Estimate — Check End Date",IF(INT(endDate)&gt;=TODAY(),"In Progress — ends "&amp;TEXT(endDate,"mmm d, yyyy"),"Ready to Finalize"))),IF($F251="","No Highlighted Fields","Highlighted Fields Present"))))</f>
        <v/>
      </c>
      <c r="F251" s="23" t="str">
        <f t="array" ref="F251">IF($H251="","",IF(OR(NOT(_xlfn.ISFORMULA(INDEX('Game Records'!$N:$N,$H251))),NOT(_xlfn.ISFORMULA(INDEX('Game Records'!$O:$O,$H251))),NOT(_xlfn.ISFORMULA(INDEX('Game Records'!$P:$P,$H251))),NOT(_xlfn.ISFORMULA(INDEX('Game Records'!$Q:$Q,$H251))),NOT(_xlfn.ISFORMULA(INDEX('Game Records'!$R:$R,$H251))),NOT(_xlfn.ISFORMULA(INDEX('Game Records'!$S:$S,$H251))),NOT(_xlfn.ISFORMULA(INDEX('Game Records'!$T:$T,$H251))),NOT(_xlfn.ISFORMULA(INDEX('Game Records'!$U:$U,$H251))),NOT(_xlfn.ISFORMULA(INDEX('Game Records'!$V:$V,$H251))),NOT(_xlfn.ISFORMULA(INDEX('Game Records'!$W:$W,$H251))),NOT(_xlfn.ISFORMULA(INDEX('Game Records'!$X:$X,$H251))),NOT(_xlfn.ISFORMULA(INDEX('Game Records'!$Y:$Y,$H251))),NOT(_xlfn.ISFORMULA(INDEX('Game Records'!$Z:$Z,$H251)))),"","")&amp;IF(INDEX('Game Records'!$B:$B,$H251)="","Start Date; ","")&amp;IF(INDEX('Game Records'!$C:$C,$H251)="","End Date; ","")&amp;IF(AND(INDEX('Game Records'!$U:$U,$H251)&lt;&gt;"Subscription",INDEX('Game Records'!$U:$U,$H251)&lt;&gt;"Free Game",INDEX('Game Records'!$U:$U,$H251)&lt;&gt;"Disqualified — Free Game",OR(INDEX('Game Records'!$D:$D,$H251)="",LOWER(INDEX('Game Records'!$D:$D,$H251)&amp;"")="n/a")),"Entry Mode; ","")&amp;IF(AND(INDEX('Game Records'!$U:$U,$H251)&lt;&gt;"Subscription",INDEX('Game Records'!$U:$U,$H251)&lt;&gt;"Free Game",INDEX('Game Records'!$U:$U,$H251)&lt;&gt;"Disqualified — Free Game",OR(INDEX('Game Records'!$E:$E,$H251)="",LOWER(INDEX('Game Records'!$E:$E,$H251)&amp;"")="n/a")),"Game Type; ","")&amp;IF(INDEX('Game Records'!$F:$F,$H251)="","Payment Type; ","")&amp;IF(AND(INDEX('Game Records'!$U:$U,$H251)&lt;&gt;"Subscription",INDEX('Game Records'!$U:$U,$H251)&lt;&gt;"Free Game",INDEX('Game Records'!$U:$U,$H251)&lt;&gt;"Disqualified — Free Game",INDEX('Game Records'!$G:$G,$H251)=""),"Gross Pot; ","")&amp;IF(AND(INDEX('Game Records'!$U:$U,$H251)&lt;&gt;"Free Game",INDEX('Game Records'!$U:$U,$H251)&lt;&gt;"Disqualified — Free Game",INDEX('Game Records'!$H:$H,$H251)=""),"Entry Fee; ","")&amp;IF(AND(INDEX('Game Records'!$U:$U,$H251)&lt;&gt;"Subscription",INDEX('Game Records'!$U:$U,$H251)&lt;&gt;"Free Game",INDEX('Game Records'!$U:$U,$H251)&lt;&gt;"Disqualified — Free Game",INDEX('Game Records'!$I:$I,$H251)=""),"Eligible Players; ","")&amp;IF(AND(INDEX('Game Records'!$U:$U,$H251)&lt;&gt;"Subscription",INDEX('Game Records'!$U:$U,$H251)&lt;&gt;"Free Game",INDEX('Game Records'!$U:$U,$H251)&lt;&gt;"Disqualified — Free Game",INDEX('Game Records'!$J:$J,$H251)=""),"Total Players; ","")&amp;IF(AND(LOWER(INDEX('Game Records'!$D:$D,$H251)&amp;"")="finalized",LOWER(INDEX('Game Records'!$L:$L,$H251)&amp;"")&lt;&gt;"yes",INDEX('Game Records'!$U:$U,$H251)&lt;&gt;"Subscription",INDEX('Game Records'!$U:$U,$H251)&lt;&gt;"Free Game",INDEX('Game Records'!$U:$U,$H251)&lt;&gt;"Disqualified — Free Game",INDEX('Game Records'!$K:$K,$H251)=""),"Final Payout; ","")&amp;IF(AND(LOWER(INDEX('Game Records'!$D:$D,$H251)&amp;"")="finalized",INDEX('Game Records'!$U:$U,$H251)&lt;&gt;"Subscription",INDEX('Game Records'!$U:$U,$H251)&lt;&gt;"Free Game",INDEX('Game Records'!$U:$U,$H251)&lt;&gt;"Disqualified — Free Game",OR(INDEX('Game Records'!$L:$L,$H251)="",LOWER(INDEX('Game Records'!$L:$L,$H251)&amp;"")="n/a")),"Disqualified Status; ",""))</f>
        <v/>
      </c>
      <c r="G251" s="23" t="str">
        <f t="array" ref="G251">IF($H251="","",IFERROR(INDEX('Game Records'!$M:$M,$H251),""))</f>
        <v/>
      </c>
      <c r="H251" s="3"/>
    </row>
    <row r="252" ht="24.0" customHeight="1">
      <c r="A252" s="18" t="str">
        <f t="shared" si="1"/>
        <v/>
      </c>
      <c r="B252" s="18" t="str">
        <f t="shared" si="2"/>
        <v/>
      </c>
      <c r="C252" s="23" t="str">
        <f t="array" ref="C252">IF($H252="","",IFERROR(INDEX('Game Records'!$A:$A,$H252),""))</f>
        <v/>
      </c>
      <c r="D252" s="23" t="str">
        <f t="array" ref="D252">IF($H252="","",IFERROR(INDEX('Game Records'!$U:$U,$H252),""))</f>
        <v/>
      </c>
      <c r="E252" s="23" t="str">
        <f t="array" ref="E252">IF($H252="","",LET(r,$H252,mode,LOWER(INDEX('Game Records'!$D:$D,r)&amp;""),endDate,INDEX('Game Records'!$C:$C,r),IF(mode="estimate",IF(endDate="","Estimate — End Date missing",IF(NOT(ISNUMBER(endDate)),"Estimate — Check End Date",IF(INT(endDate)&gt;=TODAY(),"In Progress — ends "&amp;TEXT(endDate,"mmm d, yyyy"),"Ready to Finalize"))),IF($F252="","No Highlighted Fields","Highlighted Fields Present"))))</f>
        <v/>
      </c>
      <c r="F252" s="23" t="str">
        <f t="array" ref="F252">IF($H252="","",IF(OR(NOT(_xlfn.ISFORMULA(INDEX('Game Records'!$N:$N,$H252))),NOT(_xlfn.ISFORMULA(INDEX('Game Records'!$O:$O,$H252))),NOT(_xlfn.ISFORMULA(INDEX('Game Records'!$P:$P,$H252))),NOT(_xlfn.ISFORMULA(INDEX('Game Records'!$Q:$Q,$H252))),NOT(_xlfn.ISFORMULA(INDEX('Game Records'!$R:$R,$H252))),NOT(_xlfn.ISFORMULA(INDEX('Game Records'!$S:$S,$H252))),NOT(_xlfn.ISFORMULA(INDEX('Game Records'!$T:$T,$H252))),NOT(_xlfn.ISFORMULA(INDEX('Game Records'!$U:$U,$H252))),NOT(_xlfn.ISFORMULA(INDEX('Game Records'!$V:$V,$H252))),NOT(_xlfn.ISFORMULA(INDEX('Game Records'!$W:$W,$H252))),NOT(_xlfn.ISFORMULA(INDEX('Game Records'!$X:$X,$H252))),NOT(_xlfn.ISFORMULA(INDEX('Game Records'!$Y:$Y,$H252))),NOT(_xlfn.ISFORMULA(INDEX('Game Records'!$Z:$Z,$H252)))),"","")&amp;IF(INDEX('Game Records'!$B:$B,$H252)="","Start Date; ","")&amp;IF(INDEX('Game Records'!$C:$C,$H252)="","End Date; ","")&amp;IF(AND(INDEX('Game Records'!$U:$U,$H252)&lt;&gt;"Subscription",INDEX('Game Records'!$U:$U,$H252)&lt;&gt;"Free Game",INDEX('Game Records'!$U:$U,$H252)&lt;&gt;"Disqualified — Free Game",OR(INDEX('Game Records'!$D:$D,$H252)="",LOWER(INDEX('Game Records'!$D:$D,$H252)&amp;"")="n/a")),"Entry Mode; ","")&amp;IF(AND(INDEX('Game Records'!$U:$U,$H252)&lt;&gt;"Subscription",INDEX('Game Records'!$U:$U,$H252)&lt;&gt;"Free Game",INDEX('Game Records'!$U:$U,$H252)&lt;&gt;"Disqualified — Free Game",OR(INDEX('Game Records'!$E:$E,$H252)="",LOWER(INDEX('Game Records'!$E:$E,$H252)&amp;"")="n/a")),"Game Type; ","")&amp;IF(INDEX('Game Records'!$F:$F,$H252)="","Payment Type; ","")&amp;IF(AND(INDEX('Game Records'!$U:$U,$H252)&lt;&gt;"Subscription",INDEX('Game Records'!$U:$U,$H252)&lt;&gt;"Free Game",INDEX('Game Records'!$U:$U,$H252)&lt;&gt;"Disqualified — Free Game",INDEX('Game Records'!$G:$G,$H252)=""),"Gross Pot; ","")&amp;IF(AND(INDEX('Game Records'!$U:$U,$H252)&lt;&gt;"Free Game",INDEX('Game Records'!$U:$U,$H252)&lt;&gt;"Disqualified — Free Game",INDEX('Game Records'!$H:$H,$H252)=""),"Entry Fee; ","")&amp;IF(AND(INDEX('Game Records'!$U:$U,$H252)&lt;&gt;"Subscription",INDEX('Game Records'!$U:$U,$H252)&lt;&gt;"Free Game",INDEX('Game Records'!$U:$U,$H252)&lt;&gt;"Disqualified — Free Game",INDEX('Game Records'!$I:$I,$H252)=""),"Eligible Players; ","")&amp;IF(AND(INDEX('Game Records'!$U:$U,$H252)&lt;&gt;"Subscription",INDEX('Game Records'!$U:$U,$H252)&lt;&gt;"Free Game",INDEX('Game Records'!$U:$U,$H252)&lt;&gt;"Disqualified — Free Game",INDEX('Game Records'!$J:$J,$H252)=""),"Total Players; ","")&amp;IF(AND(LOWER(INDEX('Game Records'!$D:$D,$H252)&amp;"")="finalized",LOWER(INDEX('Game Records'!$L:$L,$H252)&amp;"")&lt;&gt;"yes",INDEX('Game Records'!$U:$U,$H252)&lt;&gt;"Subscription",INDEX('Game Records'!$U:$U,$H252)&lt;&gt;"Free Game",INDEX('Game Records'!$U:$U,$H252)&lt;&gt;"Disqualified — Free Game",INDEX('Game Records'!$K:$K,$H252)=""),"Final Payout; ","")&amp;IF(AND(LOWER(INDEX('Game Records'!$D:$D,$H252)&amp;"")="finalized",INDEX('Game Records'!$U:$U,$H252)&lt;&gt;"Subscription",INDEX('Game Records'!$U:$U,$H252)&lt;&gt;"Free Game",INDEX('Game Records'!$U:$U,$H252)&lt;&gt;"Disqualified — Free Game",OR(INDEX('Game Records'!$L:$L,$H252)="",LOWER(INDEX('Game Records'!$L:$L,$H252)&amp;"")="n/a")),"Disqualified Status; ",""))</f>
        <v/>
      </c>
      <c r="G252" s="23" t="str">
        <f t="array" ref="G252">IF($H252="","",IFERROR(INDEX('Game Records'!$M:$M,$H252),""))</f>
        <v/>
      </c>
      <c r="H252" s="3"/>
    </row>
    <row r="253" ht="24.0" customHeight="1">
      <c r="A253" s="18" t="str">
        <f t="shared" si="1"/>
        <v/>
      </c>
      <c r="B253" s="18" t="str">
        <f t="shared" si="2"/>
        <v/>
      </c>
      <c r="C253" s="23" t="str">
        <f t="array" ref="C253">IF($H253="","",IFERROR(INDEX('Game Records'!$A:$A,$H253),""))</f>
        <v/>
      </c>
      <c r="D253" s="23" t="str">
        <f t="array" ref="D253">IF($H253="","",IFERROR(INDEX('Game Records'!$U:$U,$H253),""))</f>
        <v/>
      </c>
      <c r="E253" s="23" t="str">
        <f t="array" ref="E253">IF($H253="","",LET(r,$H253,mode,LOWER(INDEX('Game Records'!$D:$D,r)&amp;""),endDate,INDEX('Game Records'!$C:$C,r),IF(mode="estimate",IF(endDate="","Estimate — End Date missing",IF(NOT(ISNUMBER(endDate)),"Estimate — Check End Date",IF(INT(endDate)&gt;=TODAY(),"In Progress — ends "&amp;TEXT(endDate,"mmm d, yyyy"),"Ready to Finalize"))),IF($F253="","No Highlighted Fields","Highlighted Fields Present"))))</f>
        <v/>
      </c>
      <c r="F253" s="23" t="str">
        <f t="array" ref="F253">IF($H253="","",IF(OR(NOT(_xlfn.ISFORMULA(INDEX('Game Records'!$N:$N,$H253))),NOT(_xlfn.ISFORMULA(INDEX('Game Records'!$O:$O,$H253))),NOT(_xlfn.ISFORMULA(INDEX('Game Records'!$P:$P,$H253))),NOT(_xlfn.ISFORMULA(INDEX('Game Records'!$Q:$Q,$H253))),NOT(_xlfn.ISFORMULA(INDEX('Game Records'!$R:$R,$H253))),NOT(_xlfn.ISFORMULA(INDEX('Game Records'!$S:$S,$H253))),NOT(_xlfn.ISFORMULA(INDEX('Game Records'!$T:$T,$H253))),NOT(_xlfn.ISFORMULA(INDEX('Game Records'!$U:$U,$H253))),NOT(_xlfn.ISFORMULA(INDEX('Game Records'!$V:$V,$H253))),NOT(_xlfn.ISFORMULA(INDEX('Game Records'!$W:$W,$H253))),NOT(_xlfn.ISFORMULA(INDEX('Game Records'!$X:$X,$H253))),NOT(_xlfn.ISFORMULA(INDEX('Game Records'!$Y:$Y,$H253))),NOT(_xlfn.ISFORMULA(INDEX('Game Records'!$Z:$Z,$H253)))),"","")&amp;IF(INDEX('Game Records'!$B:$B,$H253)="","Start Date; ","")&amp;IF(INDEX('Game Records'!$C:$C,$H253)="","End Date; ","")&amp;IF(AND(INDEX('Game Records'!$U:$U,$H253)&lt;&gt;"Subscription",INDEX('Game Records'!$U:$U,$H253)&lt;&gt;"Free Game",INDEX('Game Records'!$U:$U,$H253)&lt;&gt;"Disqualified — Free Game",OR(INDEX('Game Records'!$D:$D,$H253)="",LOWER(INDEX('Game Records'!$D:$D,$H253)&amp;"")="n/a")),"Entry Mode; ","")&amp;IF(AND(INDEX('Game Records'!$U:$U,$H253)&lt;&gt;"Subscription",INDEX('Game Records'!$U:$U,$H253)&lt;&gt;"Free Game",INDEX('Game Records'!$U:$U,$H253)&lt;&gt;"Disqualified — Free Game",OR(INDEX('Game Records'!$E:$E,$H253)="",LOWER(INDEX('Game Records'!$E:$E,$H253)&amp;"")="n/a")),"Game Type; ","")&amp;IF(INDEX('Game Records'!$F:$F,$H253)="","Payment Type; ","")&amp;IF(AND(INDEX('Game Records'!$U:$U,$H253)&lt;&gt;"Subscription",INDEX('Game Records'!$U:$U,$H253)&lt;&gt;"Free Game",INDEX('Game Records'!$U:$U,$H253)&lt;&gt;"Disqualified — Free Game",INDEX('Game Records'!$G:$G,$H253)=""),"Gross Pot; ","")&amp;IF(AND(INDEX('Game Records'!$U:$U,$H253)&lt;&gt;"Free Game",INDEX('Game Records'!$U:$U,$H253)&lt;&gt;"Disqualified — Free Game",INDEX('Game Records'!$H:$H,$H253)=""),"Entry Fee; ","")&amp;IF(AND(INDEX('Game Records'!$U:$U,$H253)&lt;&gt;"Subscription",INDEX('Game Records'!$U:$U,$H253)&lt;&gt;"Free Game",INDEX('Game Records'!$U:$U,$H253)&lt;&gt;"Disqualified — Free Game",INDEX('Game Records'!$I:$I,$H253)=""),"Eligible Players; ","")&amp;IF(AND(INDEX('Game Records'!$U:$U,$H253)&lt;&gt;"Subscription",INDEX('Game Records'!$U:$U,$H253)&lt;&gt;"Free Game",INDEX('Game Records'!$U:$U,$H253)&lt;&gt;"Disqualified — Free Game",INDEX('Game Records'!$J:$J,$H253)=""),"Total Players; ","")&amp;IF(AND(LOWER(INDEX('Game Records'!$D:$D,$H253)&amp;"")="finalized",LOWER(INDEX('Game Records'!$L:$L,$H253)&amp;"")&lt;&gt;"yes",INDEX('Game Records'!$U:$U,$H253)&lt;&gt;"Subscription",INDEX('Game Records'!$U:$U,$H253)&lt;&gt;"Free Game",INDEX('Game Records'!$U:$U,$H253)&lt;&gt;"Disqualified — Free Game",INDEX('Game Records'!$K:$K,$H253)=""),"Final Payout; ","")&amp;IF(AND(LOWER(INDEX('Game Records'!$D:$D,$H253)&amp;"")="finalized",INDEX('Game Records'!$U:$U,$H253)&lt;&gt;"Subscription",INDEX('Game Records'!$U:$U,$H253)&lt;&gt;"Free Game",INDEX('Game Records'!$U:$U,$H253)&lt;&gt;"Disqualified — Free Game",OR(INDEX('Game Records'!$L:$L,$H253)="",LOWER(INDEX('Game Records'!$L:$L,$H253)&amp;"")="n/a")),"Disqualified Status; ",""))</f>
        <v/>
      </c>
      <c r="G253" s="23" t="str">
        <f t="array" ref="G253">IF($H253="","",IFERROR(INDEX('Game Records'!$M:$M,$H253),""))</f>
        <v/>
      </c>
      <c r="H253" s="3"/>
    </row>
    <row r="254" ht="24.0" customHeight="1">
      <c r="A254" s="18" t="str">
        <f t="shared" si="1"/>
        <v/>
      </c>
      <c r="B254" s="18" t="str">
        <f t="shared" si="2"/>
        <v/>
      </c>
      <c r="C254" s="23" t="str">
        <f t="array" ref="C254">IF($H254="","",IFERROR(INDEX('Game Records'!$A:$A,$H254),""))</f>
        <v/>
      </c>
      <c r="D254" s="23" t="str">
        <f t="array" ref="D254">IF($H254="","",IFERROR(INDEX('Game Records'!$U:$U,$H254),""))</f>
        <v/>
      </c>
      <c r="E254" s="23" t="str">
        <f t="array" ref="E254">IF($H254="","",LET(r,$H254,mode,LOWER(INDEX('Game Records'!$D:$D,r)&amp;""),endDate,INDEX('Game Records'!$C:$C,r),IF(mode="estimate",IF(endDate="","Estimate — End Date missing",IF(NOT(ISNUMBER(endDate)),"Estimate — Check End Date",IF(INT(endDate)&gt;=TODAY(),"In Progress — ends "&amp;TEXT(endDate,"mmm d, yyyy"),"Ready to Finalize"))),IF($F254="","No Highlighted Fields","Highlighted Fields Present"))))</f>
        <v/>
      </c>
      <c r="F254" s="23" t="str">
        <f t="array" ref="F254">IF($H254="","",IF(OR(NOT(_xlfn.ISFORMULA(INDEX('Game Records'!$N:$N,$H254))),NOT(_xlfn.ISFORMULA(INDEX('Game Records'!$O:$O,$H254))),NOT(_xlfn.ISFORMULA(INDEX('Game Records'!$P:$P,$H254))),NOT(_xlfn.ISFORMULA(INDEX('Game Records'!$Q:$Q,$H254))),NOT(_xlfn.ISFORMULA(INDEX('Game Records'!$R:$R,$H254))),NOT(_xlfn.ISFORMULA(INDEX('Game Records'!$S:$S,$H254))),NOT(_xlfn.ISFORMULA(INDEX('Game Records'!$T:$T,$H254))),NOT(_xlfn.ISFORMULA(INDEX('Game Records'!$U:$U,$H254))),NOT(_xlfn.ISFORMULA(INDEX('Game Records'!$V:$V,$H254))),NOT(_xlfn.ISFORMULA(INDEX('Game Records'!$W:$W,$H254))),NOT(_xlfn.ISFORMULA(INDEX('Game Records'!$X:$X,$H254))),NOT(_xlfn.ISFORMULA(INDEX('Game Records'!$Y:$Y,$H254))),NOT(_xlfn.ISFORMULA(INDEX('Game Records'!$Z:$Z,$H254)))),"","")&amp;IF(INDEX('Game Records'!$B:$B,$H254)="","Start Date; ","")&amp;IF(INDEX('Game Records'!$C:$C,$H254)="","End Date; ","")&amp;IF(AND(INDEX('Game Records'!$U:$U,$H254)&lt;&gt;"Subscription",INDEX('Game Records'!$U:$U,$H254)&lt;&gt;"Free Game",INDEX('Game Records'!$U:$U,$H254)&lt;&gt;"Disqualified — Free Game",OR(INDEX('Game Records'!$D:$D,$H254)="",LOWER(INDEX('Game Records'!$D:$D,$H254)&amp;"")="n/a")),"Entry Mode; ","")&amp;IF(AND(INDEX('Game Records'!$U:$U,$H254)&lt;&gt;"Subscription",INDEX('Game Records'!$U:$U,$H254)&lt;&gt;"Free Game",INDEX('Game Records'!$U:$U,$H254)&lt;&gt;"Disqualified — Free Game",OR(INDEX('Game Records'!$E:$E,$H254)="",LOWER(INDEX('Game Records'!$E:$E,$H254)&amp;"")="n/a")),"Game Type; ","")&amp;IF(INDEX('Game Records'!$F:$F,$H254)="","Payment Type; ","")&amp;IF(AND(INDEX('Game Records'!$U:$U,$H254)&lt;&gt;"Subscription",INDEX('Game Records'!$U:$U,$H254)&lt;&gt;"Free Game",INDEX('Game Records'!$U:$U,$H254)&lt;&gt;"Disqualified — Free Game",INDEX('Game Records'!$G:$G,$H254)=""),"Gross Pot; ","")&amp;IF(AND(INDEX('Game Records'!$U:$U,$H254)&lt;&gt;"Free Game",INDEX('Game Records'!$U:$U,$H254)&lt;&gt;"Disqualified — Free Game",INDEX('Game Records'!$H:$H,$H254)=""),"Entry Fee; ","")&amp;IF(AND(INDEX('Game Records'!$U:$U,$H254)&lt;&gt;"Subscription",INDEX('Game Records'!$U:$U,$H254)&lt;&gt;"Free Game",INDEX('Game Records'!$U:$U,$H254)&lt;&gt;"Disqualified — Free Game",INDEX('Game Records'!$I:$I,$H254)=""),"Eligible Players; ","")&amp;IF(AND(INDEX('Game Records'!$U:$U,$H254)&lt;&gt;"Subscription",INDEX('Game Records'!$U:$U,$H254)&lt;&gt;"Free Game",INDEX('Game Records'!$U:$U,$H254)&lt;&gt;"Disqualified — Free Game",INDEX('Game Records'!$J:$J,$H254)=""),"Total Players; ","")&amp;IF(AND(LOWER(INDEX('Game Records'!$D:$D,$H254)&amp;"")="finalized",LOWER(INDEX('Game Records'!$L:$L,$H254)&amp;"")&lt;&gt;"yes",INDEX('Game Records'!$U:$U,$H254)&lt;&gt;"Subscription",INDEX('Game Records'!$U:$U,$H254)&lt;&gt;"Free Game",INDEX('Game Records'!$U:$U,$H254)&lt;&gt;"Disqualified — Free Game",INDEX('Game Records'!$K:$K,$H254)=""),"Final Payout; ","")&amp;IF(AND(LOWER(INDEX('Game Records'!$D:$D,$H254)&amp;"")="finalized",INDEX('Game Records'!$U:$U,$H254)&lt;&gt;"Subscription",INDEX('Game Records'!$U:$U,$H254)&lt;&gt;"Free Game",INDEX('Game Records'!$U:$U,$H254)&lt;&gt;"Disqualified — Free Game",OR(INDEX('Game Records'!$L:$L,$H254)="",LOWER(INDEX('Game Records'!$L:$L,$H254)&amp;"")="n/a")),"Disqualified Status; ",""))</f>
        <v/>
      </c>
      <c r="G254" s="23" t="str">
        <f t="array" ref="G254">IF($H254="","",IFERROR(INDEX('Game Records'!$M:$M,$H254),""))</f>
        <v/>
      </c>
      <c r="H254" s="3"/>
    </row>
    <row r="255" ht="24.0" customHeight="1">
      <c r="A255" s="18" t="str">
        <f t="shared" si="1"/>
        <v/>
      </c>
      <c r="B255" s="18" t="str">
        <f t="shared" si="2"/>
        <v/>
      </c>
      <c r="C255" s="23" t="str">
        <f t="array" ref="C255">IF($H255="","",IFERROR(INDEX('Game Records'!$A:$A,$H255),""))</f>
        <v/>
      </c>
      <c r="D255" s="23" t="str">
        <f t="array" ref="D255">IF($H255="","",IFERROR(INDEX('Game Records'!$U:$U,$H255),""))</f>
        <v/>
      </c>
      <c r="E255" s="23" t="str">
        <f t="array" ref="E255">IF($H255="","",LET(r,$H255,mode,LOWER(INDEX('Game Records'!$D:$D,r)&amp;""),endDate,INDEX('Game Records'!$C:$C,r),IF(mode="estimate",IF(endDate="","Estimate — End Date missing",IF(NOT(ISNUMBER(endDate)),"Estimate — Check End Date",IF(INT(endDate)&gt;=TODAY(),"In Progress — ends "&amp;TEXT(endDate,"mmm d, yyyy"),"Ready to Finalize"))),IF($F255="","No Highlighted Fields","Highlighted Fields Present"))))</f>
        <v/>
      </c>
      <c r="F255" s="23" t="str">
        <f t="array" ref="F255">IF($H255="","",IF(OR(NOT(_xlfn.ISFORMULA(INDEX('Game Records'!$N:$N,$H255))),NOT(_xlfn.ISFORMULA(INDEX('Game Records'!$O:$O,$H255))),NOT(_xlfn.ISFORMULA(INDEX('Game Records'!$P:$P,$H255))),NOT(_xlfn.ISFORMULA(INDEX('Game Records'!$Q:$Q,$H255))),NOT(_xlfn.ISFORMULA(INDEX('Game Records'!$R:$R,$H255))),NOT(_xlfn.ISFORMULA(INDEX('Game Records'!$S:$S,$H255))),NOT(_xlfn.ISFORMULA(INDEX('Game Records'!$T:$T,$H255))),NOT(_xlfn.ISFORMULA(INDEX('Game Records'!$U:$U,$H255))),NOT(_xlfn.ISFORMULA(INDEX('Game Records'!$V:$V,$H255))),NOT(_xlfn.ISFORMULA(INDEX('Game Records'!$W:$W,$H255))),NOT(_xlfn.ISFORMULA(INDEX('Game Records'!$X:$X,$H255))),NOT(_xlfn.ISFORMULA(INDEX('Game Records'!$Y:$Y,$H255))),NOT(_xlfn.ISFORMULA(INDEX('Game Records'!$Z:$Z,$H255)))),"","")&amp;IF(INDEX('Game Records'!$B:$B,$H255)="","Start Date; ","")&amp;IF(INDEX('Game Records'!$C:$C,$H255)="","End Date; ","")&amp;IF(AND(INDEX('Game Records'!$U:$U,$H255)&lt;&gt;"Subscription",INDEX('Game Records'!$U:$U,$H255)&lt;&gt;"Free Game",INDEX('Game Records'!$U:$U,$H255)&lt;&gt;"Disqualified — Free Game",OR(INDEX('Game Records'!$D:$D,$H255)="",LOWER(INDEX('Game Records'!$D:$D,$H255)&amp;"")="n/a")),"Entry Mode; ","")&amp;IF(AND(INDEX('Game Records'!$U:$U,$H255)&lt;&gt;"Subscription",INDEX('Game Records'!$U:$U,$H255)&lt;&gt;"Free Game",INDEX('Game Records'!$U:$U,$H255)&lt;&gt;"Disqualified — Free Game",OR(INDEX('Game Records'!$E:$E,$H255)="",LOWER(INDEX('Game Records'!$E:$E,$H255)&amp;"")="n/a")),"Game Type; ","")&amp;IF(INDEX('Game Records'!$F:$F,$H255)="","Payment Type; ","")&amp;IF(AND(INDEX('Game Records'!$U:$U,$H255)&lt;&gt;"Subscription",INDEX('Game Records'!$U:$U,$H255)&lt;&gt;"Free Game",INDEX('Game Records'!$U:$U,$H255)&lt;&gt;"Disqualified — Free Game",INDEX('Game Records'!$G:$G,$H255)=""),"Gross Pot; ","")&amp;IF(AND(INDEX('Game Records'!$U:$U,$H255)&lt;&gt;"Free Game",INDEX('Game Records'!$U:$U,$H255)&lt;&gt;"Disqualified — Free Game",INDEX('Game Records'!$H:$H,$H255)=""),"Entry Fee; ","")&amp;IF(AND(INDEX('Game Records'!$U:$U,$H255)&lt;&gt;"Subscription",INDEX('Game Records'!$U:$U,$H255)&lt;&gt;"Free Game",INDEX('Game Records'!$U:$U,$H255)&lt;&gt;"Disqualified — Free Game",INDEX('Game Records'!$I:$I,$H255)=""),"Eligible Players; ","")&amp;IF(AND(INDEX('Game Records'!$U:$U,$H255)&lt;&gt;"Subscription",INDEX('Game Records'!$U:$U,$H255)&lt;&gt;"Free Game",INDEX('Game Records'!$U:$U,$H255)&lt;&gt;"Disqualified — Free Game",INDEX('Game Records'!$J:$J,$H255)=""),"Total Players; ","")&amp;IF(AND(LOWER(INDEX('Game Records'!$D:$D,$H255)&amp;"")="finalized",LOWER(INDEX('Game Records'!$L:$L,$H255)&amp;"")&lt;&gt;"yes",INDEX('Game Records'!$U:$U,$H255)&lt;&gt;"Subscription",INDEX('Game Records'!$U:$U,$H255)&lt;&gt;"Free Game",INDEX('Game Records'!$U:$U,$H255)&lt;&gt;"Disqualified — Free Game",INDEX('Game Records'!$K:$K,$H255)=""),"Final Payout; ","")&amp;IF(AND(LOWER(INDEX('Game Records'!$D:$D,$H255)&amp;"")="finalized",INDEX('Game Records'!$U:$U,$H255)&lt;&gt;"Subscription",INDEX('Game Records'!$U:$U,$H255)&lt;&gt;"Free Game",INDEX('Game Records'!$U:$U,$H255)&lt;&gt;"Disqualified — Free Game",OR(INDEX('Game Records'!$L:$L,$H255)="",LOWER(INDEX('Game Records'!$L:$L,$H255)&amp;"")="n/a")),"Disqualified Status; ",""))</f>
        <v/>
      </c>
      <c r="G255" s="23" t="str">
        <f t="array" ref="G255">IF($H255="","",IFERROR(INDEX('Game Records'!$M:$M,$H255),""))</f>
        <v/>
      </c>
      <c r="H255" s="3"/>
    </row>
    <row r="256" ht="24.0" customHeight="1">
      <c r="A256" s="18" t="str">
        <f t="shared" si="1"/>
        <v/>
      </c>
      <c r="B256" s="18" t="str">
        <f t="shared" si="2"/>
        <v/>
      </c>
      <c r="C256" s="23" t="str">
        <f t="array" ref="C256">IF($H256="","",IFERROR(INDEX('Game Records'!$A:$A,$H256),""))</f>
        <v/>
      </c>
      <c r="D256" s="23" t="str">
        <f t="array" ref="D256">IF($H256="","",IFERROR(INDEX('Game Records'!$U:$U,$H256),""))</f>
        <v/>
      </c>
      <c r="E256" s="23" t="str">
        <f t="array" ref="E256">IF($H256="","",LET(r,$H256,mode,LOWER(INDEX('Game Records'!$D:$D,r)&amp;""),endDate,INDEX('Game Records'!$C:$C,r),IF(mode="estimate",IF(endDate="","Estimate — End Date missing",IF(NOT(ISNUMBER(endDate)),"Estimate — Check End Date",IF(INT(endDate)&gt;=TODAY(),"In Progress — ends "&amp;TEXT(endDate,"mmm d, yyyy"),"Ready to Finalize"))),IF($F256="","No Highlighted Fields","Highlighted Fields Present"))))</f>
        <v/>
      </c>
      <c r="F256" s="23" t="str">
        <f t="array" ref="F256">IF($H256="","",IF(OR(NOT(_xlfn.ISFORMULA(INDEX('Game Records'!$N:$N,$H256))),NOT(_xlfn.ISFORMULA(INDEX('Game Records'!$O:$O,$H256))),NOT(_xlfn.ISFORMULA(INDEX('Game Records'!$P:$P,$H256))),NOT(_xlfn.ISFORMULA(INDEX('Game Records'!$Q:$Q,$H256))),NOT(_xlfn.ISFORMULA(INDEX('Game Records'!$R:$R,$H256))),NOT(_xlfn.ISFORMULA(INDEX('Game Records'!$S:$S,$H256))),NOT(_xlfn.ISFORMULA(INDEX('Game Records'!$T:$T,$H256))),NOT(_xlfn.ISFORMULA(INDEX('Game Records'!$U:$U,$H256))),NOT(_xlfn.ISFORMULA(INDEX('Game Records'!$V:$V,$H256))),NOT(_xlfn.ISFORMULA(INDEX('Game Records'!$W:$W,$H256))),NOT(_xlfn.ISFORMULA(INDEX('Game Records'!$X:$X,$H256))),NOT(_xlfn.ISFORMULA(INDEX('Game Records'!$Y:$Y,$H256))),NOT(_xlfn.ISFORMULA(INDEX('Game Records'!$Z:$Z,$H256)))),"","")&amp;IF(INDEX('Game Records'!$B:$B,$H256)="","Start Date; ","")&amp;IF(INDEX('Game Records'!$C:$C,$H256)="","End Date; ","")&amp;IF(AND(INDEX('Game Records'!$U:$U,$H256)&lt;&gt;"Subscription",INDEX('Game Records'!$U:$U,$H256)&lt;&gt;"Free Game",INDEX('Game Records'!$U:$U,$H256)&lt;&gt;"Disqualified — Free Game",OR(INDEX('Game Records'!$D:$D,$H256)="",LOWER(INDEX('Game Records'!$D:$D,$H256)&amp;"")="n/a")),"Entry Mode; ","")&amp;IF(AND(INDEX('Game Records'!$U:$U,$H256)&lt;&gt;"Subscription",INDEX('Game Records'!$U:$U,$H256)&lt;&gt;"Free Game",INDEX('Game Records'!$U:$U,$H256)&lt;&gt;"Disqualified — Free Game",OR(INDEX('Game Records'!$E:$E,$H256)="",LOWER(INDEX('Game Records'!$E:$E,$H256)&amp;"")="n/a")),"Game Type; ","")&amp;IF(INDEX('Game Records'!$F:$F,$H256)="","Payment Type; ","")&amp;IF(AND(INDEX('Game Records'!$U:$U,$H256)&lt;&gt;"Subscription",INDEX('Game Records'!$U:$U,$H256)&lt;&gt;"Free Game",INDEX('Game Records'!$U:$U,$H256)&lt;&gt;"Disqualified — Free Game",INDEX('Game Records'!$G:$G,$H256)=""),"Gross Pot; ","")&amp;IF(AND(INDEX('Game Records'!$U:$U,$H256)&lt;&gt;"Free Game",INDEX('Game Records'!$U:$U,$H256)&lt;&gt;"Disqualified — Free Game",INDEX('Game Records'!$H:$H,$H256)=""),"Entry Fee; ","")&amp;IF(AND(INDEX('Game Records'!$U:$U,$H256)&lt;&gt;"Subscription",INDEX('Game Records'!$U:$U,$H256)&lt;&gt;"Free Game",INDEX('Game Records'!$U:$U,$H256)&lt;&gt;"Disqualified — Free Game",INDEX('Game Records'!$I:$I,$H256)=""),"Eligible Players; ","")&amp;IF(AND(INDEX('Game Records'!$U:$U,$H256)&lt;&gt;"Subscription",INDEX('Game Records'!$U:$U,$H256)&lt;&gt;"Free Game",INDEX('Game Records'!$U:$U,$H256)&lt;&gt;"Disqualified — Free Game",INDEX('Game Records'!$J:$J,$H256)=""),"Total Players; ","")&amp;IF(AND(LOWER(INDEX('Game Records'!$D:$D,$H256)&amp;"")="finalized",LOWER(INDEX('Game Records'!$L:$L,$H256)&amp;"")&lt;&gt;"yes",INDEX('Game Records'!$U:$U,$H256)&lt;&gt;"Subscription",INDEX('Game Records'!$U:$U,$H256)&lt;&gt;"Free Game",INDEX('Game Records'!$U:$U,$H256)&lt;&gt;"Disqualified — Free Game",INDEX('Game Records'!$K:$K,$H256)=""),"Final Payout; ","")&amp;IF(AND(LOWER(INDEX('Game Records'!$D:$D,$H256)&amp;"")="finalized",INDEX('Game Records'!$U:$U,$H256)&lt;&gt;"Subscription",INDEX('Game Records'!$U:$U,$H256)&lt;&gt;"Free Game",INDEX('Game Records'!$U:$U,$H256)&lt;&gt;"Disqualified — Free Game",OR(INDEX('Game Records'!$L:$L,$H256)="",LOWER(INDEX('Game Records'!$L:$L,$H256)&amp;"")="n/a")),"Disqualified Status; ",""))</f>
        <v/>
      </c>
      <c r="G256" s="23" t="str">
        <f t="array" ref="G256">IF($H256="","",IFERROR(INDEX('Game Records'!$M:$M,$H256),""))</f>
        <v/>
      </c>
      <c r="H256" s="3"/>
    </row>
    <row r="257" ht="24.0" customHeight="1">
      <c r="A257" s="18" t="str">
        <f t="shared" si="1"/>
        <v/>
      </c>
      <c r="B257" s="18" t="str">
        <f t="shared" si="2"/>
        <v/>
      </c>
      <c r="C257" s="23" t="str">
        <f t="array" ref="C257">IF($H257="","",IFERROR(INDEX('Game Records'!$A:$A,$H257),""))</f>
        <v/>
      </c>
      <c r="D257" s="23" t="str">
        <f t="array" ref="D257">IF($H257="","",IFERROR(INDEX('Game Records'!$U:$U,$H257),""))</f>
        <v/>
      </c>
      <c r="E257" s="23" t="str">
        <f t="array" ref="E257">IF($H257="","",LET(r,$H257,mode,LOWER(INDEX('Game Records'!$D:$D,r)&amp;""),endDate,INDEX('Game Records'!$C:$C,r),IF(mode="estimate",IF(endDate="","Estimate — End Date missing",IF(NOT(ISNUMBER(endDate)),"Estimate — Check End Date",IF(INT(endDate)&gt;=TODAY(),"In Progress — ends "&amp;TEXT(endDate,"mmm d, yyyy"),"Ready to Finalize"))),IF($F257="","No Highlighted Fields","Highlighted Fields Present"))))</f>
        <v/>
      </c>
      <c r="F257" s="23" t="str">
        <f t="array" ref="F257">IF($H257="","",IF(OR(NOT(_xlfn.ISFORMULA(INDEX('Game Records'!$N:$N,$H257))),NOT(_xlfn.ISFORMULA(INDEX('Game Records'!$O:$O,$H257))),NOT(_xlfn.ISFORMULA(INDEX('Game Records'!$P:$P,$H257))),NOT(_xlfn.ISFORMULA(INDEX('Game Records'!$Q:$Q,$H257))),NOT(_xlfn.ISFORMULA(INDEX('Game Records'!$R:$R,$H257))),NOT(_xlfn.ISFORMULA(INDEX('Game Records'!$S:$S,$H257))),NOT(_xlfn.ISFORMULA(INDEX('Game Records'!$T:$T,$H257))),NOT(_xlfn.ISFORMULA(INDEX('Game Records'!$U:$U,$H257))),NOT(_xlfn.ISFORMULA(INDEX('Game Records'!$V:$V,$H257))),NOT(_xlfn.ISFORMULA(INDEX('Game Records'!$W:$W,$H257))),NOT(_xlfn.ISFORMULA(INDEX('Game Records'!$X:$X,$H257))),NOT(_xlfn.ISFORMULA(INDEX('Game Records'!$Y:$Y,$H257))),NOT(_xlfn.ISFORMULA(INDEX('Game Records'!$Z:$Z,$H257)))),"","")&amp;IF(INDEX('Game Records'!$B:$B,$H257)="","Start Date; ","")&amp;IF(INDEX('Game Records'!$C:$C,$H257)="","End Date; ","")&amp;IF(AND(INDEX('Game Records'!$U:$U,$H257)&lt;&gt;"Subscription",INDEX('Game Records'!$U:$U,$H257)&lt;&gt;"Free Game",INDEX('Game Records'!$U:$U,$H257)&lt;&gt;"Disqualified — Free Game",OR(INDEX('Game Records'!$D:$D,$H257)="",LOWER(INDEX('Game Records'!$D:$D,$H257)&amp;"")="n/a")),"Entry Mode; ","")&amp;IF(AND(INDEX('Game Records'!$U:$U,$H257)&lt;&gt;"Subscription",INDEX('Game Records'!$U:$U,$H257)&lt;&gt;"Free Game",INDEX('Game Records'!$U:$U,$H257)&lt;&gt;"Disqualified — Free Game",OR(INDEX('Game Records'!$E:$E,$H257)="",LOWER(INDEX('Game Records'!$E:$E,$H257)&amp;"")="n/a")),"Game Type; ","")&amp;IF(INDEX('Game Records'!$F:$F,$H257)="","Payment Type; ","")&amp;IF(AND(INDEX('Game Records'!$U:$U,$H257)&lt;&gt;"Subscription",INDEX('Game Records'!$U:$U,$H257)&lt;&gt;"Free Game",INDEX('Game Records'!$U:$U,$H257)&lt;&gt;"Disqualified — Free Game",INDEX('Game Records'!$G:$G,$H257)=""),"Gross Pot; ","")&amp;IF(AND(INDEX('Game Records'!$U:$U,$H257)&lt;&gt;"Free Game",INDEX('Game Records'!$U:$U,$H257)&lt;&gt;"Disqualified — Free Game",INDEX('Game Records'!$H:$H,$H257)=""),"Entry Fee; ","")&amp;IF(AND(INDEX('Game Records'!$U:$U,$H257)&lt;&gt;"Subscription",INDEX('Game Records'!$U:$U,$H257)&lt;&gt;"Free Game",INDEX('Game Records'!$U:$U,$H257)&lt;&gt;"Disqualified — Free Game",INDEX('Game Records'!$I:$I,$H257)=""),"Eligible Players; ","")&amp;IF(AND(INDEX('Game Records'!$U:$U,$H257)&lt;&gt;"Subscription",INDEX('Game Records'!$U:$U,$H257)&lt;&gt;"Free Game",INDEX('Game Records'!$U:$U,$H257)&lt;&gt;"Disqualified — Free Game",INDEX('Game Records'!$J:$J,$H257)=""),"Total Players; ","")&amp;IF(AND(LOWER(INDEX('Game Records'!$D:$D,$H257)&amp;"")="finalized",LOWER(INDEX('Game Records'!$L:$L,$H257)&amp;"")&lt;&gt;"yes",INDEX('Game Records'!$U:$U,$H257)&lt;&gt;"Subscription",INDEX('Game Records'!$U:$U,$H257)&lt;&gt;"Free Game",INDEX('Game Records'!$U:$U,$H257)&lt;&gt;"Disqualified — Free Game",INDEX('Game Records'!$K:$K,$H257)=""),"Final Payout; ","")&amp;IF(AND(LOWER(INDEX('Game Records'!$D:$D,$H257)&amp;"")="finalized",INDEX('Game Records'!$U:$U,$H257)&lt;&gt;"Subscription",INDEX('Game Records'!$U:$U,$H257)&lt;&gt;"Free Game",INDEX('Game Records'!$U:$U,$H257)&lt;&gt;"Disqualified — Free Game",OR(INDEX('Game Records'!$L:$L,$H257)="",LOWER(INDEX('Game Records'!$L:$L,$H257)&amp;"")="n/a")),"Disqualified Status; ",""))</f>
        <v/>
      </c>
      <c r="G257" s="23" t="str">
        <f t="array" ref="G257">IF($H257="","",IFERROR(INDEX('Game Records'!$M:$M,$H257),""))</f>
        <v/>
      </c>
      <c r="H257" s="3"/>
    </row>
    <row r="258" ht="24.0" customHeight="1">
      <c r="A258" s="18" t="str">
        <f t="shared" si="1"/>
        <v/>
      </c>
      <c r="B258" s="18" t="str">
        <f t="shared" si="2"/>
        <v/>
      </c>
      <c r="C258" s="23" t="str">
        <f t="array" ref="C258">IF($H258="","",IFERROR(INDEX('Game Records'!$A:$A,$H258),""))</f>
        <v/>
      </c>
      <c r="D258" s="23" t="str">
        <f t="array" ref="D258">IF($H258="","",IFERROR(INDEX('Game Records'!$U:$U,$H258),""))</f>
        <v/>
      </c>
      <c r="E258" s="23" t="str">
        <f t="array" ref="E258">IF($H258="","",LET(r,$H258,mode,LOWER(INDEX('Game Records'!$D:$D,r)&amp;""),endDate,INDEX('Game Records'!$C:$C,r),IF(mode="estimate",IF(endDate="","Estimate — End Date missing",IF(NOT(ISNUMBER(endDate)),"Estimate — Check End Date",IF(INT(endDate)&gt;=TODAY(),"In Progress — ends "&amp;TEXT(endDate,"mmm d, yyyy"),"Ready to Finalize"))),IF($F258="","No Highlighted Fields","Highlighted Fields Present"))))</f>
        <v/>
      </c>
      <c r="F258" s="23" t="str">
        <f t="array" ref="F258">IF($H258="","",IF(OR(NOT(_xlfn.ISFORMULA(INDEX('Game Records'!$N:$N,$H258))),NOT(_xlfn.ISFORMULA(INDEX('Game Records'!$O:$O,$H258))),NOT(_xlfn.ISFORMULA(INDEX('Game Records'!$P:$P,$H258))),NOT(_xlfn.ISFORMULA(INDEX('Game Records'!$Q:$Q,$H258))),NOT(_xlfn.ISFORMULA(INDEX('Game Records'!$R:$R,$H258))),NOT(_xlfn.ISFORMULA(INDEX('Game Records'!$S:$S,$H258))),NOT(_xlfn.ISFORMULA(INDEX('Game Records'!$T:$T,$H258))),NOT(_xlfn.ISFORMULA(INDEX('Game Records'!$U:$U,$H258))),NOT(_xlfn.ISFORMULA(INDEX('Game Records'!$V:$V,$H258))),NOT(_xlfn.ISFORMULA(INDEX('Game Records'!$W:$W,$H258))),NOT(_xlfn.ISFORMULA(INDEX('Game Records'!$X:$X,$H258))),NOT(_xlfn.ISFORMULA(INDEX('Game Records'!$Y:$Y,$H258))),NOT(_xlfn.ISFORMULA(INDEX('Game Records'!$Z:$Z,$H258)))),"","")&amp;IF(INDEX('Game Records'!$B:$B,$H258)="","Start Date; ","")&amp;IF(INDEX('Game Records'!$C:$C,$H258)="","End Date; ","")&amp;IF(AND(INDEX('Game Records'!$U:$U,$H258)&lt;&gt;"Subscription",INDEX('Game Records'!$U:$U,$H258)&lt;&gt;"Free Game",INDEX('Game Records'!$U:$U,$H258)&lt;&gt;"Disqualified — Free Game",OR(INDEX('Game Records'!$D:$D,$H258)="",LOWER(INDEX('Game Records'!$D:$D,$H258)&amp;"")="n/a")),"Entry Mode; ","")&amp;IF(AND(INDEX('Game Records'!$U:$U,$H258)&lt;&gt;"Subscription",INDEX('Game Records'!$U:$U,$H258)&lt;&gt;"Free Game",INDEX('Game Records'!$U:$U,$H258)&lt;&gt;"Disqualified — Free Game",OR(INDEX('Game Records'!$E:$E,$H258)="",LOWER(INDEX('Game Records'!$E:$E,$H258)&amp;"")="n/a")),"Game Type; ","")&amp;IF(INDEX('Game Records'!$F:$F,$H258)="","Payment Type; ","")&amp;IF(AND(INDEX('Game Records'!$U:$U,$H258)&lt;&gt;"Subscription",INDEX('Game Records'!$U:$U,$H258)&lt;&gt;"Free Game",INDEX('Game Records'!$U:$U,$H258)&lt;&gt;"Disqualified — Free Game",INDEX('Game Records'!$G:$G,$H258)=""),"Gross Pot; ","")&amp;IF(AND(INDEX('Game Records'!$U:$U,$H258)&lt;&gt;"Free Game",INDEX('Game Records'!$U:$U,$H258)&lt;&gt;"Disqualified — Free Game",INDEX('Game Records'!$H:$H,$H258)=""),"Entry Fee; ","")&amp;IF(AND(INDEX('Game Records'!$U:$U,$H258)&lt;&gt;"Subscription",INDEX('Game Records'!$U:$U,$H258)&lt;&gt;"Free Game",INDEX('Game Records'!$U:$U,$H258)&lt;&gt;"Disqualified — Free Game",INDEX('Game Records'!$I:$I,$H258)=""),"Eligible Players; ","")&amp;IF(AND(INDEX('Game Records'!$U:$U,$H258)&lt;&gt;"Subscription",INDEX('Game Records'!$U:$U,$H258)&lt;&gt;"Free Game",INDEX('Game Records'!$U:$U,$H258)&lt;&gt;"Disqualified — Free Game",INDEX('Game Records'!$J:$J,$H258)=""),"Total Players; ","")&amp;IF(AND(LOWER(INDEX('Game Records'!$D:$D,$H258)&amp;"")="finalized",LOWER(INDEX('Game Records'!$L:$L,$H258)&amp;"")&lt;&gt;"yes",INDEX('Game Records'!$U:$U,$H258)&lt;&gt;"Subscription",INDEX('Game Records'!$U:$U,$H258)&lt;&gt;"Free Game",INDEX('Game Records'!$U:$U,$H258)&lt;&gt;"Disqualified — Free Game",INDEX('Game Records'!$K:$K,$H258)=""),"Final Payout; ","")&amp;IF(AND(LOWER(INDEX('Game Records'!$D:$D,$H258)&amp;"")="finalized",INDEX('Game Records'!$U:$U,$H258)&lt;&gt;"Subscription",INDEX('Game Records'!$U:$U,$H258)&lt;&gt;"Free Game",INDEX('Game Records'!$U:$U,$H258)&lt;&gt;"Disqualified — Free Game",OR(INDEX('Game Records'!$L:$L,$H258)="",LOWER(INDEX('Game Records'!$L:$L,$H258)&amp;"")="n/a")),"Disqualified Status; ",""))</f>
        <v/>
      </c>
      <c r="G258" s="23" t="str">
        <f t="array" ref="G258">IF($H258="","",IFERROR(INDEX('Game Records'!$M:$M,$H258),""))</f>
        <v/>
      </c>
      <c r="H258" s="3"/>
    </row>
    <row r="259" ht="24.0" customHeight="1">
      <c r="A259" s="18" t="str">
        <f t="shared" si="1"/>
        <v/>
      </c>
      <c r="B259" s="18" t="str">
        <f t="shared" si="2"/>
        <v/>
      </c>
      <c r="C259" s="23" t="str">
        <f t="array" ref="C259">IF($H259="","",IFERROR(INDEX('Game Records'!$A:$A,$H259),""))</f>
        <v/>
      </c>
      <c r="D259" s="23" t="str">
        <f t="array" ref="D259">IF($H259="","",IFERROR(INDEX('Game Records'!$U:$U,$H259),""))</f>
        <v/>
      </c>
      <c r="E259" s="23" t="str">
        <f t="array" ref="E259">IF($H259="","",LET(r,$H259,mode,LOWER(INDEX('Game Records'!$D:$D,r)&amp;""),endDate,INDEX('Game Records'!$C:$C,r),IF(mode="estimate",IF(endDate="","Estimate — End Date missing",IF(NOT(ISNUMBER(endDate)),"Estimate — Check End Date",IF(INT(endDate)&gt;=TODAY(),"In Progress — ends "&amp;TEXT(endDate,"mmm d, yyyy"),"Ready to Finalize"))),IF($F259="","No Highlighted Fields","Highlighted Fields Present"))))</f>
        <v/>
      </c>
      <c r="F259" s="23" t="str">
        <f t="array" ref="F259">IF($H259="","",IF(OR(NOT(_xlfn.ISFORMULA(INDEX('Game Records'!$N:$N,$H259))),NOT(_xlfn.ISFORMULA(INDEX('Game Records'!$O:$O,$H259))),NOT(_xlfn.ISFORMULA(INDEX('Game Records'!$P:$P,$H259))),NOT(_xlfn.ISFORMULA(INDEX('Game Records'!$Q:$Q,$H259))),NOT(_xlfn.ISFORMULA(INDEX('Game Records'!$R:$R,$H259))),NOT(_xlfn.ISFORMULA(INDEX('Game Records'!$S:$S,$H259))),NOT(_xlfn.ISFORMULA(INDEX('Game Records'!$T:$T,$H259))),NOT(_xlfn.ISFORMULA(INDEX('Game Records'!$U:$U,$H259))),NOT(_xlfn.ISFORMULA(INDEX('Game Records'!$V:$V,$H259))),NOT(_xlfn.ISFORMULA(INDEX('Game Records'!$W:$W,$H259))),NOT(_xlfn.ISFORMULA(INDEX('Game Records'!$X:$X,$H259))),NOT(_xlfn.ISFORMULA(INDEX('Game Records'!$Y:$Y,$H259))),NOT(_xlfn.ISFORMULA(INDEX('Game Records'!$Z:$Z,$H259)))),"","")&amp;IF(INDEX('Game Records'!$B:$B,$H259)="","Start Date; ","")&amp;IF(INDEX('Game Records'!$C:$C,$H259)="","End Date; ","")&amp;IF(AND(INDEX('Game Records'!$U:$U,$H259)&lt;&gt;"Subscription",INDEX('Game Records'!$U:$U,$H259)&lt;&gt;"Free Game",INDEX('Game Records'!$U:$U,$H259)&lt;&gt;"Disqualified — Free Game",OR(INDEX('Game Records'!$D:$D,$H259)="",LOWER(INDEX('Game Records'!$D:$D,$H259)&amp;"")="n/a")),"Entry Mode; ","")&amp;IF(AND(INDEX('Game Records'!$U:$U,$H259)&lt;&gt;"Subscription",INDEX('Game Records'!$U:$U,$H259)&lt;&gt;"Free Game",INDEX('Game Records'!$U:$U,$H259)&lt;&gt;"Disqualified — Free Game",OR(INDEX('Game Records'!$E:$E,$H259)="",LOWER(INDEX('Game Records'!$E:$E,$H259)&amp;"")="n/a")),"Game Type; ","")&amp;IF(INDEX('Game Records'!$F:$F,$H259)="","Payment Type; ","")&amp;IF(AND(INDEX('Game Records'!$U:$U,$H259)&lt;&gt;"Subscription",INDEX('Game Records'!$U:$U,$H259)&lt;&gt;"Free Game",INDEX('Game Records'!$U:$U,$H259)&lt;&gt;"Disqualified — Free Game",INDEX('Game Records'!$G:$G,$H259)=""),"Gross Pot; ","")&amp;IF(AND(INDEX('Game Records'!$U:$U,$H259)&lt;&gt;"Free Game",INDEX('Game Records'!$U:$U,$H259)&lt;&gt;"Disqualified — Free Game",INDEX('Game Records'!$H:$H,$H259)=""),"Entry Fee; ","")&amp;IF(AND(INDEX('Game Records'!$U:$U,$H259)&lt;&gt;"Subscription",INDEX('Game Records'!$U:$U,$H259)&lt;&gt;"Free Game",INDEX('Game Records'!$U:$U,$H259)&lt;&gt;"Disqualified — Free Game",INDEX('Game Records'!$I:$I,$H259)=""),"Eligible Players; ","")&amp;IF(AND(INDEX('Game Records'!$U:$U,$H259)&lt;&gt;"Subscription",INDEX('Game Records'!$U:$U,$H259)&lt;&gt;"Free Game",INDEX('Game Records'!$U:$U,$H259)&lt;&gt;"Disqualified — Free Game",INDEX('Game Records'!$J:$J,$H259)=""),"Total Players; ","")&amp;IF(AND(LOWER(INDEX('Game Records'!$D:$D,$H259)&amp;"")="finalized",LOWER(INDEX('Game Records'!$L:$L,$H259)&amp;"")&lt;&gt;"yes",INDEX('Game Records'!$U:$U,$H259)&lt;&gt;"Subscription",INDEX('Game Records'!$U:$U,$H259)&lt;&gt;"Free Game",INDEX('Game Records'!$U:$U,$H259)&lt;&gt;"Disqualified — Free Game",INDEX('Game Records'!$K:$K,$H259)=""),"Final Payout; ","")&amp;IF(AND(LOWER(INDEX('Game Records'!$D:$D,$H259)&amp;"")="finalized",INDEX('Game Records'!$U:$U,$H259)&lt;&gt;"Subscription",INDEX('Game Records'!$U:$U,$H259)&lt;&gt;"Free Game",INDEX('Game Records'!$U:$U,$H259)&lt;&gt;"Disqualified — Free Game",OR(INDEX('Game Records'!$L:$L,$H259)="",LOWER(INDEX('Game Records'!$L:$L,$H259)&amp;"")="n/a")),"Disqualified Status; ",""))</f>
        <v/>
      </c>
      <c r="G259" s="23" t="str">
        <f t="array" ref="G259">IF($H259="","",IFERROR(INDEX('Game Records'!$M:$M,$H259),""))</f>
        <v/>
      </c>
      <c r="H259" s="3"/>
    </row>
    <row r="260" ht="24.0" customHeight="1">
      <c r="A260" s="18" t="str">
        <f t="shared" si="1"/>
        <v/>
      </c>
      <c r="B260" s="18" t="str">
        <f t="shared" si="2"/>
        <v/>
      </c>
      <c r="C260" s="23" t="str">
        <f t="array" ref="C260">IF($H260="","",IFERROR(INDEX('Game Records'!$A:$A,$H260),""))</f>
        <v/>
      </c>
      <c r="D260" s="23" t="str">
        <f t="array" ref="D260">IF($H260="","",IFERROR(INDEX('Game Records'!$U:$U,$H260),""))</f>
        <v/>
      </c>
      <c r="E260" s="23" t="str">
        <f t="array" ref="E260">IF($H260="","",LET(r,$H260,mode,LOWER(INDEX('Game Records'!$D:$D,r)&amp;""),endDate,INDEX('Game Records'!$C:$C,r),IF(mode="estimate",IF(endDate="","Estimate — End Date missing",IF(NOT(ISNUMBER(endDate)),"Estimate — Check End Date",IF(INT(endDate)&gt;=TODAY(),"In Progress — ends "&amp;TEXT(endDate,"mmm d, yyyy"),"Ready to Finalize"))),IF($F260="","No Highlighted Fields","Highlighted Fields Present"))))</f>
        <v/>
      </c>
      <c r="F260" s="23" t="str">
        <f t="array" ref="F260">IF($H260="","",IF(OR(NOT(_xlfn.ISFORMULA(INDEX('Game Records'!$N:$N,$H260))),NOT(_xlfn.ISFORMULA(INDEX('Game Records'!$O:$O,$H260))),NOT(_xlfn.ISFORMULA(INDEX('Game Records'!$P:$P,$H260))),NOT(_xlfn.ISFORMULA(INDEX('Game Records'!$Q:$Q,$H260))),NOT(_xlfn.ISFORMULA(INDEX('Game Records'!$R:$R,$H260))),NOT(_xlfn.ISFORMULA(INDEX('Game Records'!$S:$S,$H260))),NOT(_xlfn.ISFORMULA(INDEX('Game Records'!$T:$T,$H260))),NOT(_xlfn.ISFORMULA(INDEX('Game Records'!$U:$U,$H260))),NOT(_xlfn.ISFORMULA(INDEX('Game Records'!$V:$V,$H260))),NOT(_xlfn.ISFORMULA(INDEX('Game Records'!$W:$W,$H260))),NOT(_xlfn.ISFORMULA(INDEX('Game Records'!$X:$X,$H260))),NOT(_xlfn.ISFORMULA(INDEX('Game Records'!$Y:$Y,$H260))),NOT(_xlfn.ISFORMULA(INDEX('Game Records'!$Z:$Z,$H260)))),"","")&amp;IF(INDEX('Game Records'!$B:$B,$H260)="","Start Date; ","")&amp;IF(INDEX('Game Records'!$C:$C,$H260)="","End Date; ","")&amp;IF(AND(INDEX('Game Records'!$U:$U,$H260)&lt;&gt;"Subscription",INDEX('Game Records'!$U:$U,$H260)&lt;&gt;"Free Game",INDEX('Game Records'!$U:$U,$H260)&lt;&gt;"Disqualified — Free Game",OR(INDEX('Game Records'!$D:$D,$H260)="",LOWER(INDEX('Game Records'!$D:$D,$H260)&amp;"")="n/a")),"Entry Mode; ","")&amp;IF(AND(INDEX('Game Records'!$U:$U,$H260)&lt;&gt;"Subscription",INDEX('Game Records'!$U:$U,$H260)&lt;&gt;"Free Game",INDEX('Game Records'!$U:$U,$H260)&lt;&gt;"Disqualified — Free Game",OR(INDEX('Game Records'!$E:$E,$H260)="",LOWER(INDEX('Game Records'!$E:$E,$H260)&amp;"")="n/a")),"Game Type; ","")&amp;IF(INDEX('Game Records'!$F:$F,$H260)="","Payment Type; ","")&amp;IF(AND(INDEX('Game Records'!$U:$U,$H260)&lt;&gt;"Subscription",INDEX('Game Records'!$U:$U,$H260)&lt;&gt;"Free Game",INDEX('Game Records'!$U:$U,$H260)&lt;&gt;"Disqualified — Free Game",INDEX('Game Records'!$G:$G,$H260)=""),"Gross Pot; ","")&amp;IF(AND(INDEX('Game Records'!$U:$U,$H260)&lt;&gt;"Free Game",INDEX('Game Records'!$U:$U,$H260)&lt;&gt;"Disqualified — Free Game",INDEX('Game Records'!$H:$H,$H260)=""),"Entry Fee; ","")&amp;IF(AND(INDEX('Game Records'!$U:$U,$H260)&lt;&gt;"Subscription",INDEX('Game Records'!$U:$U,$H260)&lt;&gt;"Free Game",INDEX('Game Records'!$U:$U,$H260)&lt;&gt;"Disqualified — Free Game",INDEX('Game Records'!$I:$I,$H260)=""),"Eligible Players; ","")&amp;IF(AND(INDEX('Game Records'!$U:$U,$H260)&lt;&gt;"Subscription",INDEX('Game Records'!$U:$U,$H260)&lt;&gt;"Free Game",INDEX('Game Records'!$U:$U,$H260)&lt;&gt;"Disqualified — Free Game",INDEX('Game Records'!$J:$J,$H260)=""),"Total Players; ","")&amp;IF(AND(LOWER(INDEX('Game Records'!$D:$D,$H260)&amp;"")="finalized",LOWER(INDEX('Game Records'!$L:$L,$H260)&amp;"")&lt;&gt;"yes",INDEX('Game Records'!$U:$U,$H260)&lt;&gt;"Subscription",INDEX('Game Records'!$U:$U,$H260)&lt;&gt;"Free Game",INDEX('Game Records'!$U:$U,$H260)&lt;&gt;"Disqualified — Free Game",INDEX('Game Records'!$K:$K,$H260)=""),"Final Payout; ","")&amp;IF(AND(LOWER(INDEX('Game Records'!$D:$D,$H260)&amp;"")="finalized",INDEX('Game Records'!$U:$U,$H260)&lt;&gt;"Subscription",INDEX('Game Records'!$U:$U,$H260)&lt;&gt;"Free Game",INDEX('Game Records'!$U:$U,$H260)&lt;&gt;"Disqualified — Free Game",OR(INDEX('Game Records'!$L:$L,$H260)="",LOWER(INDEX('Game Records'!$L:$L,$H260)&amp;"")="n/a")),"Disqualified Status; ",""))</f>
        <v/>
      </c>
      <c r="G260" s="23" t="str">
        <f t="array" ref="G260">IF($H260="","",IFERROR(INDEX('Game Records'!$M:$M,$H260),""))</f>
        <v/>
      </c>
      <c r="H260" s="3"/>
    </row>
    <row r="261" ht="24.0" customHeight="1">
      <c r="A261" s="18" t="str">
        <f t="shared" si="1"/>
        <v/>
      </c>
      <c r="B261" s="18" t="str">
        <f t="shared" si="2"/>
        <v/>
      </c>
      <c r="C261" s="23" t="str">
        <f t="array" ref="C261">IF($H261="","",IFERROR(INDEX('Game Records'!$A:$A,$H261),""))</f>
        <v/>
      </c>
      <c r="D261" s="23" t="str">
        <f t="array" ref="D261">IF($H261="","",IFERROR(INDEX('Game Records'!$U:$U,$H261),""))</f>
        <v/>
      </c>
      <c r="E261" s="23" t="str">
        <f t="array" ref="E261">IF($H261="","",LET(r,$H261,mode,LOWER(INDEX('Game Records'!$D:$D,r)&amp;""),endDate,INDEX('Game Records'!$C:$C,r),IF(mode="estimate",IF(endDate="","Estimate — End Date missing",IF(NOT(ISNUMBER(endDate)),"Estimate — Check End Date",IF(INT(endDate)&gt;=TODAY(),"In Progress — ends "&amp;TEXT(endDate,"mmm d, yyyy"),"Ready to Finalize"))),IF($F261="","No Highlighted Fields","Highlighted Fields Present"))))</f>
        <v/>
      </c>
      <c r="F261" s="23" t="str">
        <f t="array" ref="F261">IF($H261="","",IF(OR(NOT(_xlfn.ISFORMULA(INDEX('Game Records'!$N:$N,$H261))),NOT(_xlfn.ISFORMULA(INDEX('Game Records'!$O:$O,$H261))),NOT(_xlfn.ISFORMULA(INDEX('Game Records'!$P:$P,$H261))),NOT(_xlfn.ISFORMULA(INDEX('Game Records'!$Q:$Q,$H261))),NOT(_xlfn.ISFORMULA(INDEX('Game Records'!$R:$R,$H261))),NOT(_xlfn.ISFORMULA(INDEX('Game Records'!$S:$S,$H261))),NOT(_xlfn.ISFORMULA(INDEX('Game Records'!$T:$T,$H261))),NOT(_xlfn.ISFORMULA(INDEX('Game Records'!$U:$U,$H261))),NOT(_xlfn.ISFORMULA(INDEX('Game Records'!$V:$V,$H261))),NOT(_xlfn.ISFORMULA(INDEX('Game Records'!$W:$W,$H261))),NOT(_xlfn.ISFORMULA(INDEX('Game Records'!$X:$X,$H261))),NOT(_xlfn.ISFORMULA(INDEX('Game Records'!$Y:$Y,$H261))),NOT(_xlfn.ISFORMULA(INDEX('Game Records'!$Z:$Z,$H261)))),"","")&amp;IF(INDEX('Game Records'!$B:$B,$H261)="","Start Date; ","")&amp;IF(INDEX('Game Records'!$C:$C,$H261)="","End Date; ","")&amp;IF(AND(INDEX('Game Records'!$U:$U,$H261)&lt;&gt;"Subscription",INDEX('Game Records'!$U:$U,$H261)&lt;&gt;"Free Game",INDEX('Game Records'!$U:$U,$H261)&lt;&gt;"Disqualified — Free Game",OR(INDEX('Game Records'!$D:$D,$H261)="",LOWER(INDEX('Game Records'!$D:$D,$H261)&amp;"")="n/a")),"Entry Mode; ","")&amp;IF(AND(INDEX('Game Records'!$U:$U,$H261)&lt;&gt;"Subscription",INDEX('Game Records'!$U:$U,$H261)&lt;&gt;"Free Game",INDEX('Game Records'!$U:$U,$H261)&lt;&gt;"Disqualified — Free Game",OR(INDEX('Game Records'!$E:$E,$H261)="",LOWER(INDEX('Game Records'!$E:$E,$H261)&amp;"")="n/a")),"Game Type; ","")&amp;IF(INDEX('Game Records'!$F:$F,$H261)="","Payment Type; ","")&amp;IF(AND(INDEX('Game Records'!$U:$U,$H261)&lt;&gt;"Subscription",INDEX('Game Records'!$U:$U,$H261)&lt;&gt;"Free Game",INDEX('Game Records'!$U:$U,$H261)&lt;&gt;"Disqualified — Free Game",INDEX('Game Records'!$G:$G,$H261)=""),"Gross Pot; ","")&amp;IF(AND(INDEX('Game Records'!$U:$U,$H261)&lt;&gt;"Free Game",INDEX('Game Records'!$U:$U,$H261)&lt;&gt;"Disqualified — Free Game",INDEX('Game Records'!$H:$H,$H261)=""),"Entry Fee; ","")&amp;IF(AND(INDEX('Game Records'!$U:$U,$H261)&lt;&gt;"Subscription",INDEX('Game Records'!$U:$U,$H261)&lt;&gt;"Free Game",INDEX('Game Records'!$U:$U,$H261)&lt;&gt;"Disqualified — Free Game",INDEX('Game Records'!$I:$I,$H261)=""),"Eligible Players; ","")&amp;IF(AND(INDEX('Game Records'!$U:$U,$H261)&lt;&gt;"Subscription",INDEX('Game Records'!$U:$U,$H261)&lt;&gt;"Free Game",INDEX('Game Records'!$U:$U,$H261)&lt;&gt;"Disqualified — Free Game",INDEX('Game Records'!$J:$J,$H261)=""),"Total Players; ","")&amp;IF(AND(LOWER(INDEX('Game Records'!$D:$D,$H261)&amp;"")="finalized",LOWER(INDEX('Game Records'!$L:$L,$H261)&amp;"")&lt;&gt;"yes",INDEX('Game Records'!$U:$U,$H261)&lt;&gt;"Subscription",INDEX('Game Records'!$U:$U,$H261)&lt;&gt;"Free Game",INDEX('Game Records'!$U:$U,$H261)&lt;&gt;"Disqualified — Free Game",INDEX('Game Records'!$K:$K,$H261)=""),"Final Payout; ","")&amp;IF(AND(LOWER(INDEX('Game Records'!$D:$D,$H261)&amp;"")="finalized",INDEX('Game Records'!$U:$U,$H261)&lt;&gt;"Subscription",INDEX('Game Records'!$U:$U,$H261)&lt;&gt;"Free Game",INDEX('Game Records'!$U:$U,$H261)&lt;&gt;"Disqualified — Free Game",OR(INDEX('Game Records'!$L:$L,$H261)="",LOWER(INDEX('Game Records'!$L:$L,$H261)&amp;"")="n/a")),"Disqualified Status; ",""))</f>
        <v/>
      </c>
      <c r="G261" s="23" t="str">
        <f t="array" ref="G261">IF($H261="","",IFERROR(INDEX('Game Records'!$M:$M,$H261),""))</f>
        <v/>
      </c>
      <c r="H261" s="3"/>
    </row>
    <row r="262" ht="24.0" customHeight="1">
      <c r="A262" s="18" t="str">
        <f t="shared" si="1"/>
        <v/>
      </c>
      <c r="B262" s="18" t="str">
        <f t="shared" si="2"/>
        <v/>
      </c>
      <c r="C262" s="23" t="str">
        <f t="array" ref="C262">IF($H262="","",IFERROR(INDEX('Game Records'!$A:$A,$H262),""))</f>
        <v/>
      </c>
      <c r="D262" s="23" t="str">
        <f t="array" ref="D262">IF($H262="","",IFERROR(INDEX('Game Records'!$U:$U,$H262),""))</f>
        <v/>
      </c>
      <c r="E262" s="23" t="str">
        <f t="array" ref="E262">IF($H262="","",LET(r,$H262,mode,LOWER(INDEX('Game Records'!$D:$D,r)&amp;""),endDate,INDEX('Game Records'!$C:$C,r),IF(mode="estimate",IF(endDate="","Estimate — End Date missing",IF(NOT(ISNUMBER(endDate)),"Estimate — Check End Date",IF(INT(endDate)&gt;=TODAY(),"In Progress — ends "&amp;TEXT(endDate,"mmm d, yyyy"),"Ready to Finalize"))),IF($F262="","No Highlighted Fields","Highlighted Fields Present"))))</f>
        <v/>
      </c>
      <c r="F262" s="23" t="str">
        <f t="array" ref="F262">IF($H262="","",IF(OR(NOT(_xlfn.ISFORMULA(INDEX('Game Records'!$N:$N,$H262))),NOT(_xlfn.ISFORMULA(INDEX('Game Records'!$O:$O,$H262))),NOT(_xlfn.ISFORMULA(INDEX('Game Records'!$P:$P,$H262))),NOT(_xlfn.ISFORMULA(INDEX('Game Records'!$Q:$Q,$H262))),NOT(_xlfn.ISFORMULA(INDEX('Game Records'!$R:$R,$H262))),NOT(_xlfn.ISFORMULA(INDEX('Game Records'!$S:$S,$H262))),NOT(_xlfn.ISFORMULA(INDEX('Game Records'!$T:$T,$H262))),NOT(_xlfn.ISFORMULA(INDEX('Game Records'!$U:$U,$H262))),NOT(_xlfn.ISFORMULA(INDEX('Game Records'!$V:$V,$H262))),NOT(_xlfn.ISFORMULA(INDEX('Game Records'!$W:$W,$H262))),NOT(_xlfn.ISFORMULA(INDEX('Game Records'!$X:$X,$H262))),NOT(_xlfn.ISFORMULA(INDEX('Game Records'!$Y:$Y,$H262))),NOT(_xlfn.ISFORMULA(INDEX('Game Records'!$Z:$Z,$H262)))),"","")&amp;IF(INDEX('Game Records'!$B:$B,$H262)="","Start Date; ","")&amp;IF(INDEX('Game Records'!$C:$C,$H262)="","End Date; ","")&amp;IF(AND(INDEX('Game Records'!$U:$U,$H262)&lt;&gt;"Subscription",INDEX('Game Records'!$U:$U,$H262)&lt;&gt;"Free Game",INDEX('Game Records'!$U:$U,$H262)&lt;&gt;"Disqualified — Free Game",OR(INDEX('Game Records'!$D:$D,$H262)="",LOWER(INDEX('Game Records'!$D:$D,$H262)&amp;"")="n/a")),"Entry Mode; ","")&amp;IF(AND(INDEX('Game Records'!$U:$U,$H262)&lt;&gt;"Subscription",INDEX('Game Records'!$U:$U,$H262)&lt;&gt;"Free Game",INDEX('Game Records'!$U:$U,$H262)&lt;&gt;"Disqualified — Free Game",OR(INDEX('Game Records'!$E:$E,$H262)="",LOWER(INDEX('Game Records'!$E:$E,$H262)&amp;"")="n/a")),"Game Type; ","")&amp;IF(INDEX('Game Records'!$F:$F,$H262)="","Payment Type; ","")&amp;IF(AND(INDEX('Game Records'!$U:$U,$H262)&lt;&gt;"Subscription",INDEX('Game Records'!$U:$U,$H262)&lt;&gt;"Free Game",INDEX('Game Records'!$U:$U,$H262)&lt;&gt;"Disqualified — Free Game",INDEX('Game Records'!$G:$G,$H262)=""),"Gross Pot; ","")&amp;IF(AND(INDEX('Game Records'!$U:$U,$H262)&lt;&gt;"Free Game",INDEX('Game Records'!$U:$U,$H262)&lt;&gt;"Disqualified — Free Game",INDEX('Game Records'!$H:$H,$H262)=""),"Entry Fee; ","")&amp;IF(AND(INDEX('Game Records'!$U:$U,$H262)&lt;&gt;"Subscription",INDEX('Game Records'!$U:$U,$H262)&lt;&gt;"Free Game",INDEX('Game Records'!$U:$U,$H262)&lt;&gt;"Disqualified — Free Game",INDEX('Game Records'!$I:$I,$H262)=""),"Eligible Players; ","")&amp;IF(AND(INDEX('Game Records'!$U:$U,$H262)&lt;&gt;"Subscription",INDEX('Game Records'!$U:$U,$H262)&lt;&gt;"Free Game",INDEX('Game Records'!$U:$U,$H262)&lt;&gt;"Disqualified — Free Game",INDEX('Game Records'!$J:$J,$H262)=""),"Total Players; ","")&amp;IF(AND(LOWER(INDEX('Game Records'!$D:$D,$H262)&amp;"")="finalized",LOWER(INDEX('Game Records'!$L:$L,$H262)&amp;"")&lt;&gt;"yes",INDEX('Game Records'!$U:$U,$H262)&lt;&gt;"Subscription",INDEX('Game Records'!$U:$U,$H262)&lt;&gt;"Free Game",INDEX('Game Records'!$U:$U,$H262)&lt;&gt;"Disqualified — Free Game",INDEX('Game Records'!$K:$K,$H262)=""),"Final Payout; ","")&amp;IF(AND(LOWER(INDEX('Game Records'!$D:$D,$H262)&amp;"")="finalized",INDEX('Game Records'!$U:$U,$H262)&lt;&gt;"Subscription",INDEX('Game Records'!$U:$U,$H262)&lt;&gt;"Free Game",INDEX('Game Records'!$U:$U,$H262)&lt;&gt;"Disqualified — Free Game",OR(INDEX('Game Records'!$L:$L,$H262)="",LOWER(INDEX('Game Records'!$L:$L,$H262)&amp;"")="n/a")),"Disqualified Status; ",""))</f>
        <v/>
      </c>
      <c r="G262" s="23" t="str">
        <f t="array" ref="G262">IF($H262="","",IFERROR(INDEX('Game Records'!$M:$M,$H262),""))</f>
        <v/>
      </c>
      <c r="H262" s="3"/>
    </row>
    <row r="263" ht="24.0" customHeight="1">
      <c r="A263" s="18" t="str">
        <f t="shared" si="1"/>
        <v/>
      </c>
      <c r="B263" s="18" t="str">
        <f t="shared" si="2"/>
        <v/>
      </c>
      <c r="C263" s="23" t="str">
        <f t="array" ref="C263">IF($H263="","",IFERROR(INDEX('Game Records'!$A:$A,$H263),""))</f>
        <v/>
      </c>
      <c r="D263" s="23" t="str">
        <f t="array" ref="D263">IF($H263="","",IFERROR(INDEX('Game Records'!$U:$U,$H263),""))</f>
        <v/>
      </c>
      <c r="E263" s="23" t="str">
        <f t="array" ref="E263">IF($H263="","",LET(r,$H263,mode,LOWER(INDEX('Game Records'!$D:$D,r)&amp;""),endDate,INDEX('Game Records'!$C:$C,r),IF(mode="estimate",IF(endDate="","Estimate — End Date missing",IF(NOT(ISNUMBER(endDate)),"Estimate — Check End Date",IF(INT(endDate)&gt;=TODAY(),"In Progress — ends "&amp;TEXT(endDate,"mmm d, yyyy"),"Ready to Finalize"))),IF($F263="","No Highlighted Fields","Highlighted Fields Present"))))</f>
        <v/>
      </c>
      <c r="F263" s="23" t="str">
        <f t="array" ref="F263">IF($H263="","",IF(OR(NOT(_xlfn.ISFORMULA(INDEX('Game Records'!$N:$N,$H263))),NOT(_xlfn.ISFORMULA(INDEX('Game Records'!$O:$O,$H263))),NOT(_xlfn.ISFORMULA(INDEX('Game Records'!$P:$P,$H263))),NOT(_xlfn.ISFORMULA(INDEX('Game Records'!$Q:$Q,$H263))),NOT(_xlfn.ISFORMULA(INDEX('Game Records'!$R:$R,$H263))),NOT(_xlfn.ISFORMULA(INDEX('Game Records'!$S:$S,$H263))),NOT(_xlfn.ISFORMULA(INDEX('Game Records'!$T:$T,$H263))),NOT(_xlfn.ISFORMULA(INDEX('Game Records'!$U:$U,$H263))),NOT(_xlfn.ISFORMULA(INDEX('Game Records'!$V:$V,$H263))),NOT(_xlfn.ISFORMULA(INDEX('Game Records'!$W:$W,$H263))),NOT(_xlfn.ISFORMULA(INDEX('Game Records'!$X:$X,$H263))),NOT(_xlfn.ISFORMULA(INDEX('Game Records'!$Y:$Y,$H263))),NOT(_xlfn.ISFORMULA(INDEX('Game Records'!$Z:$Z,$H263)))),"","")&amp;IF(INDEX('Game Records'!$B:$B,$H263)="","Start Date; ","")&amp;IF(INDEX('Game Records'!$C:$C,$H263)="","End Date; ","")&amp;IF(AND(INDEX('Game Records'!$U:$U,$H263)&lt;&gt;"Subscription",INDEX('Game Records'!$U:$U,$H263)&lt;&gt;"Free Game",INDEX('Game Records'!$U:$U,$H263)&lt;&gt;"Disqualified — Free Game",OR(INDEX('Game Records'!$D:$D,$H263)="",LOWER(INDEX('Game Records'!$D:$D,$H263)&amp;"")="n/a")),"Entry Mode; ","")&amp;IF(AND(INDEX('Game Records'!$U:$U,$H263)&lt;&gt;"Subscription",INDEX('Game Records'!$U:$U,$H263)&lt;&gt;"Free Game",INDEX('Game Records'!$U:$U,$H263)&lt;&gt;"Disqualified — Free Game",OR(INDEX('Game Records'!$E:$E,$H263)="",LOWER(INDEX('Game Records'!$E:$E,$H263)&amp;"")="n/a")),"Game Type; ","")&amp;IF(INDEX('Game Records'!$F:$F,$H263)="","Payment Type; ","")&amp;IF(AND(INDEX('Game Records'!$U:$U,$H263)&lt;&gt;"Subscription",INDEX('Game Records'!$U:$U,$H263)&lt;&gt;"Free Game",INDEX('Game Records'!$U:$U,$H263)&lt;&gt;"Disqualified — Free Game",INDEX('Game Records'!$G:$G,$H263)=""),"Gross Pot; ","")&amp;IF(AND(INDEX('Game Records'!$U:$U,$H263)&lt;&gt;"Free Game",INDEX('Game Records'!$U:$U,$H263)&lt;&gt;"Disqualified — Free Game",INDEX('Game Records'!$H:$H,$H263)=""),"Entry Fee; ","")&amp;IF(AND(INDEX('Game Records'!$U:$U,$H263)&lt;&gt;"Subscription",INDEX('Game Records'!$U:$U,$H263)&lt;&gt;"Free Game",INDEX('Game Records'!$U:$U,$H263)&lt;&gt;"Disqualified — Free Game",INDEX('Game Records'!$I:$I,$H263)=""),"Eligible Players; ","")&amp;IF(AND(INDEX('Game Records'!$U:$U,$H263)&lt;&gt;"Subscription",INDEX('Game Records'!$U:$U,$H263)&lt;&gt;"Free Game",INDEX('Game Records'!$U:$U,$H263)&lt;&gt;"Disqualified — Free Game",INDEX('Game Records'!$J:$J,$H263)=""),"Total Players; ","")&amp;IF(AND(LOWER(INDEX('Game Records'!$D:$D,$H263)&amp;"")="finalized",LOWER(INDEX('Game Records'!$L:$L,$H263)&amp;"")&lt;&gt;"yes",INDEX('Game Records'!$U:$U,$H263)&lt;&gt;"Subscription",INDEX('Game Records'!$U:$U,$H263)&lt;&gt;"Free Game",INDEX('Game Records'!$U:$U,$H263)&lt;&gt;"Disqualified — Free Game",INDEX('Game Records'!$K:$K,$H263)=""),"Final Payout; ","")&amp;IF(AND(LOWER(INDEX('Game Records'!$D:$D,$H263)&amp;"")="finalized",INDEX('Game Records'!$U:$U,$H263)&lt;&gt;"Subscription",INDEX('Game Records'!$U:$U,$H263)&lt;&gt;"Free Game",INDEX('Game Records'!$U:$U,$H263)&lt;&gt;"Disqualified — Free Game",OR(INDEX('Game Records'!$L:$L,$H263)="",LOWER(INDEX('Game Records'!$L:$L,$H263)&amp;"")="n/a")),"Disqualified Status; ",""))</f>
        <v/>
      </c>
      <c r="G263" s="23" t="str">
        <f t="array" ref="G263">IF($H263="","",IFERROR(INDEX('Game Records'!$M:$M,$H263),""))</f>
        <v/>
      </c>
      <c r="H263" s="3"/>
    </row>
    <row r="264" ht="24.0" customHeight="1">
      <c r="A264" s="18" t="str">
        <f t="shared" si="1"/>
        <v/>
      </c>
      <c r="B264" s="18" t="str">
        <f t="shared" si="2"/>
        <v/>
      </c>
      <c r="C264" s="23" t="str">
        <f t="array" ref="C264">IF($H264="","",IFERROR(INDEX('Game Records'!$A:$A,$H264),""))</f>
        <v/>
      </c>
      <c r="D264" s="23" t="str">
        <f t="array" ref="D264">IF($H264="","",IFERROR(INDEX('Game Records'!$U:$U,$H264),""))</f>
        <v/>
      </c>
      <c r="E264" s="23" t="str">
        <f t="array" ref="E264">IF($H264="","",LET(r,$H264,mode,LOWER(INDEX('Game Records'!$D:$D,r)&amp;""),endDate,INDEX('Game Records'!$C:$C,r),IF(mode="estimate",IF(endDate="","Estimate — End Date missing",IF(NOT(ISNUMBER(endDate)),"Estimate — Check End Date",IF(INT(endDate)&gt;=TODAY(),"In Progress — ends "&amp;TEXT(endDate,"mmm d, yyyy"),"Ready to Finalize"))),IF($F264="","No Highlighted Fields","Highlighted Fields Present"))))</f>
        <v/>
      </c>
      <c r="F264" s="23" t="str">
        <f t="array" ref="F264">IF($H264="","",IF(OR(NOT(_xlfn.ISFORMULA(INDEX('Game Records'!$N:$N,$H264))),NOT(_xlfn.ISFORMULA(INDEX('Game Records'!$O:$O,$H264))),NOT(_xlfn.ISFORMULA(INDEX('Game Records'!$P:$P,$H264))),NOT(_xlfn.ISFORMULA(INDEX('Game Records'!$Q:$Q,$H264))),NOT(_xlfn.ISFORMULA(INDEX('Game Records'!$R:$R,$H264))),NOT(_xlfn.ISFORMULA(INDEX('Game Records'!$S:$S,$H264))),NOT(_xlfn.ISFORMULA(INDEX('Game Records'!$T:$T,$H264))),NOT(_xlfn.ISFORMULA(INDEX('Game Records'!$U:$U,$H264))),NOT(_xlfn.ISFORMULA(INDEX('Game Records'!$V:$V,$H264))),NOT(_xlfn.ISFORMULA(INDEX('Game Records'!$W:$W,$H264))),NOT(_xlfn.ISFORMULA(INDEX('Game Records'!$X:$X,$H264))),NOT(_xlfn.ISFORMULA(INDEX('Game Records'!$Y:$Y,$H264))),NOT(_xlfn.ISFORMULA(INDEX('Game Records'!$Z:$Z,$H264)))),"","")&amp;IF(INDEX('Game Records'!$B:$B,$H264)="","Start Date; ","")&amp;IF(INDEX('Game Records'!$C:$C,$H264)="","End Date; ","")&amp;IF(AND(INDEX('Game Records'!$U:$U,$H264)&lt;&gt;"Subscription",INDEX('Game Records'!$U:$U,$H264)&lt;&gt;"Free Game",INDEX('Game Records'!$U:$U,$H264)&lt;&gt;"Disqualified — Free Game",OR(INDEX('Game Records'!$D:$D,$H264)="",LOWER(INDEX('Game Records'!$D:$D,$H264)&amp;"")="n/a")),"Entry Mode; ","")&amp;IF(AND(INDEX('Game Records'!$U:$U,$H264)&lt;&gt;"Subscription",INDEX('Game Records'!$U:$U,$H264)&lt;&gt;"Free Game",INDEX('Game Records'!$U:$U,$H264)&lt;&gt;"Disqualified — Free Game",OR(INDEX('Game Records'!$E:$E,$H264)="",LOWER(INDEX('Game Records'!$E:$E,$H264)&amp;"")="n/a")),"Game Type; ","")&amp;IF(INDEX('Game Records'!$F:$F,$H264)="","Payment Type; ","")&amp;IF(AND(INDEX('Game Records'!$U:$U,$H264)&lt;&gt;"Subscription",INDEX('Game Records'!$U:$U,$H264)&lt;&gt;"Free Game",INDEX('Game Records'!$U:$U,$H264)&lt;&gt;"Disqualified — Free Game",INDEX('Game Records'!$G:$G,$H264)=""),"Gross Pot; ","")&amp;IF(AND(INDEX('Game Records'!$U:$U,$H264)&lt;&gt;"Free Game",INDEX('Game Records'!$U:$U,$H264)&lt;&gt;"Disqualified — Free Game",INDEX('Game Records'!$H:$H,$H264)=""),"Entry Fee; ","")&amp;IF(AND(INDEX('Game Records'!$U:$U,$H264)&lt;&gt;"Subscription",INDEX('Game Records'!$U:$U,$H264)&lt;&gt;"Free Game",INDEX('Game Records'!$U:$U,$H264)&lt;&gt;"Disqualified — Free Game",INDEX('Game Records'!$I:$I,$H264)=""),"Eligible Players; ","")&amp;IF(AND(INDEX('Game Records'!$U:$U,$H264)&lt;&gt;"Subscription",INDEX('Game Records'!$U:$U,$H264)&lt;&gt;"Free Game",INDEX('Game Records'!$U:$U,$H264)&lt;&gt;"Disqualified — Free Game",INDEX('Game Records'!$J:$J,$H264)=""),"Total Players; ","")&amp;IF(AND(LOWER(INDEX('Game Records'!$D:$D,$H264)&amp;"")="finalized",LOWER(INDEX('Game Records'!$L:$L,$H264)&amp;"")&lt;&gt;"yes",INDEX('Game Records'!$U:$U,$H264)&lt;&gt;"Subscription",INDEX('Game Records'!$U:$U,$H264)&lt;&gt;"Free Game",INDEX('Game Records'!$U:$U,$H264)&lt;&gt;"Disqualified — Free Game",INDEX('Game Records'!$K:$K,$H264)=""),"Final Payout; ","")&amp;IF(AND(LOWER(INDEX('Game Records'!$D:$D,$H264)&amp;"")="finalized",INDEX('Game Records'!$U:$U,$H264)&lt;&gt;"Subscription",INDEX('Game Records'!$U:$U,$H264)&lt;&gt;"Free Game",INDEX('Game Records'!$U:$U,$H264)&lt;&gt;"Disqualified — Free Game",OR(INDEX('Game Records'!$L:$L,$H264)="",LOWER(INDEX('Game Records'!$L:$L,$H264)&amp;"")="n/a")),"Disqualified Status; ",""))</f>
        <v/>
      </c>
      <c r="G264" s="23" t="str">
        <f t="array" ref="G264">IF($H264="","",IFERROR(INDEX('Game Records'!$M:$M,$H264),""))</f>
        <v/>
      </c>
      <c r="H264" s="3"/>
    </row>
    <row r="265" ht="24.0" customHeight="1">
      <c r="A265" s="18" t="str">
        <f t="shared" si="1"/>
        <v/>
      </c>
      <c r="B265" s="18" t="str">
        <f t="shared" si="2"/>
        <v/>
      </c>
      <c r="C265" s="23" t="str">
        <f t="array" ref="C265">IF($H265="","",IFERROR(INDEX('Game Records'!$A:$A,$H265),""))</f>
        <v/>
      </c>
      <c r="D265" s="23" t="str">
        <f t="array" ref="D265">IF($H265="","",IFERROR(INDEX('Game Records'!$U:$U,$H265),""))</f>
        <v/>
      </c>
      <c r="E265" s="23" t="str">
        <f t="array" ref="E265">IF($H265="","",LET(r,$H265,mode,LOWER(INDEX('Game Records'!$D:$D,r)&amp;""),endDate,INDEX('Game Records'!$C:$C,r),IF(mode="estimate",IF(endDate="","Estimate — End Date missing",IF(NOT(ISNUMBER(endDate)),"Estimate — Check End Date",IF(INT(endDate)&gt;=TODAY(),"In Progress — ends "&amp;TEXT(endDate,"mmm d, yyyy"),"Ready to Finalize"))),IF($F265="","No Highlighted Fields","Highlighted Fields Present"))))</f>
        <v/>
      </c>
      <c r="F265" s="23" t="str">
        <f t="array" ref="F265">IF($H265="","",IF(OR(NOT(_xlfn.ISFORMULA(INDEX('Game Records'!$N:$N,$H265))),NOT(_xlfn.ISFORMULA(INDEX('Game Records'!$O:$O,$H265))),NOT(_xlfn.ISFORMULA(INDEX('Game Records'!$P:$P,$H265))),NOT(_xlfn.ISFORMULA(INDEX('Game Records'!$Q:$Q,$H265))),NOT(_xlfn.ISFORMULA(INDEX('Game Records'!$R:$R,$H265))),NOT(_xlfn.ISFORMULA(INDEX('Game Records'!$S:$S,$H265))),NOT(_xlfn.ISFORMULA(INDEX('Game Records'!$T:$T,$H265))),NOT(_xlfn.ISFORMULA(INDEX('Game Records'!$U:$U,$H265))),NOT(_xlfn.ISFORMULA(INDEX('Game Records'!$V:$V,$H265))),NOT(_xlfn.ISFORMULA(INDEX('Game Records'!$W:$W,$H265))),NOT(_xlfn.ISFORMULA(INDEX('Game Records'!$X:$X,$H265))),NOT(_xlfn.ISFORMULA(INDEX('Game Records'!$Y:$Y,$H265))),NOT(_xlfn.ISFORMULA(INDEX('Game Records'!$Z:$Z,$H265)))),"","")&amp;IF(INDEX('Game Records'!$B:$B,$H265)="","Start Date; ","")&amp;IF(INDEX('Game Records'!$C:$C,$H265)="","End Date; ","")&amp;IF(AND(INDEX('Game Records'!$U:$U,$H265)&lt;&gt;"Subscription",INDEX('Game Records'!$U:$U,$H265)&lt;&gt;"Free Game",INDEX('Game Records'!$U:$U,$H265)&lt;&gt;"Disqualified — Free Game",OR(INDEX('Game Records'!$D:$D,$H265)="",LOWER(INDEX('Game Records'!$D:$D,$H265)&amp;"")="n/a")),"Entry Mode; ","")&amp;IF(AND(INDEX('Game Records'!$U:$U,$H265)&lt;&gt;"Subscription",INDEX('Game Records'!$U:$U,$H265)&lt;&gt;"Free Game",INDEX('Game Records'!$U:$U,$H265)&lt;&gt;"Disqualified — Free Game",OR(INDEX('Game Records'!$E:$E,$H265)="",LOWER(INDEX('Game Records'!$E:$E,$H265)&amp;"")="n/a")),"Game Type; ","")&amp;IF(INDEX('Game Records'!$F:$F,$H265)="","Payment Type; ","")&amp;IF(AND(INDEX('Game Records'!$U:$U,$H265)&lt;&gt;"Subscription",INDEX('Game Records'!$U:$U,$H265)&lt;&gt;"Free Game",INDEX('Game Records'!$U:$U,$H265)&lt;&gt;"Disqualified — Free Game",INDEX('Game Records'!$G:$G,$H265)=""),"Gross Pot; ","")&amp;IF(AND(INDEX('Game Records'!$U:$U,$H265)&lt;&gt;"Free Game",INDEX('Game Records'!$U:$U,$H265)&lt;&gt;"Disqualified — Free Game",INDEX('Game Records'!$H:$H,$H265)=""),"Entry Fee; ","")&amp;IF(AND(INDEX('Game Records'!$U:$U,$H265)&lt;&gt;"Subscription",INDEX('Game Records'!$U:$U,$H265)&lt;&gt;"Free Game",INDEX('Game Records'!$U:$U,$H265)&lt;&gt;"Disqualified — Free Game",INDEX('Game Records'!$I:$I,$H265)=""),"Eligible Players; ","")&amp;IF(AND(INDEX('Game Records'!$U:$U,$H265)&lt;&gt;"Subscription",INDEX('Game Records'!$U:$U,$H265)&lt;&gt;"Free Game",INDEX('Game Records'!$U:$U,$H265)&lt;&gt;"Disqualified — Free Game",INDEX('Game Records'!$J:$J,$H265)=""),"Total Players; ","")&amp;IF(AND(LOWER(INDEX('Game Records'!$D:$D,$H265)&amp;"")="finalized",LOWER(INDEX('Game Records'!$L:$L,$H265)&amp;"")&lt;&gt;"yes",INDEX('Game Records'!$U:$U,$H265)&lt;&gt;"Subscription",INDEX('Game Records'!$U:$U,$H265)&lt;&gt;"Free Game",INDEX('Game Records'!$U:$U,$H265)&lt;&gt;"Disqualified — Free Game",INDEX('Game Records'!$K:$K,$H265)=""),"Final Payout; ","")&amp;IF(AND(LOWER(INDEX('Game Records'!$D:$D,$H265)&amp;"")="finalized",INDEX('Game Records'!$U:$U,$H265)&lt;&gt;"Subscription",INDEX('Game Records'!$U:$U,$H265)&lt;&gt;"Free Game",INDEX('Game Records'!$U:$U,$H265)&lt;&gt;"Disqualified — Free Game",OR(INDEX('Game Records'!$L:$L,$H265)="",LOWER(INDEX('Game Records'!$L:$L,$H265)&amp;"")="n/a")),"Disqualified Status; ",""))</f>
        <v/>
      </c>
      <c r="G265" s="23" t="str">
        <f t="array" ref="G265">IF($H265="","",IFERROR(INDEX('Game Records'!$M:$M,$H265),""))</f>
        <v/>
      </c>
      <c r="H265" s="3"/>
    </row>
    <row r="266" ht="24.0" customHeight="1">
      <c r="A266" s="18" t="str">
        <f t="shared" si="1"/>
        <v/>
      </c>
      <c r="B266" s="18" t="str">
        <f t="shared" si="2"/>
        <v/>
      </c>
      <c r="C266" s="23" t="str">
        <f t="array" ref="C266">IF($H266="","",IFERROR(INDEX('Game Records'!$A:$A,$H266),""))</f>
        <v/>
      </c>
      <c r="D266" s="23" t="str">
        <f t="array" ref="D266">IF($H266="","",IFERROR(INDEX('Game Records'!$U:$U,$H266),""))</f>
        <v/>
      </c>
      <c r="E266" s="23" t="str">
        <f t="array" ref="E266">IF($H266="","",LET(r,$H266,mode,LOWER(INDEX('Game Records'!$D:$D,r)&amp;""),endDate,INDEX('Game Records'!$C:$C,r),IF(mode="estimate",IF(endDate="","Estimate — End Date missing",IF(NOT(ISNUMBER(endDate)),"Estimate — Check End Date",IF(INT(endDate)&gt;=TODAY(),"In Progress — ends "&amp;TEXT(endDate,"mmm d, yyyy"),"Ready to Finalize"))),IF($F266="","No Highlighted Fields","Highlighted Fields Present"))))</f>
        <v/>
      </c>
      <c r="F266" s="23" t="str">
        <f t="array" ref="F266">IF($H266="","",IF(OR(NOT(_xlfn.ISFORMULA(INDEX('Game Records'!$N:$N,$H266))),NOT(_xlfn.ISFORMULA(INDEX('Game Records'!$O:$O,$H266))),NOT(_xlfn.ISFORMULA(INDEX('Game Records'!$P:$P,$H266))),NOT(_xlfn.ISFORMULA(INDEX('Game Records'!$Q:$Q,$H266))),NOT(_xlfn.ISFORMULA(INDEX('Game Records'!$R:$R,$H266))),NOT(_xlfn.ISFORMULA(INDEX('Game Records'!$S:$S,$H266))),NOT(_xlfn.ISFORMULA(INDEX('Game Records'!$T:$T,$H266))),NOT(_xlfn.ISFORMULA(INDEX('Game Records'!$U:$U,$H266))),NOT(_xlfn.ISFORMULA(INDEX('Game Records'!$V:$V,$H266))),NOT(_xlfn.ISFORMULA(INDEX('Game Records'!$W:$W,$H266))),NOT(_xlfn.ISFORMULA(INDEX('Game Records'!$X:$X,$H266))),NOT(_xlfn.ISFORMULA(INDEX('Game Records'!$Y:$Y,$H266))),NOT(_xlfn.ISFORMULA(INDEX('Game Records'!$Z:$Z,$H266)))),"","")&amp;IF(INDEX('Game Records'!$B:$B,$H266)="","Start Date; ","")&amp;IF(INDEX('Game Records'!$C:$C,$H266)="","End Date; ","")&amp;IF(AND(INDEX('Game Records'!$U:$U,$H266)&lt;&gt;"Subscription",INDEX('Game Records'!$U:$U,$H266)&lt;&gt;"Free Game",INDEX('Game Records'!$U:$U,$H266)&lt;&gt;"Disqualified — Free Game",OR(INDEX('Game Records'!$D:$D,$H266)="",LOWER(INDEX('Game Records'!$D:$D,$H266)&amp;"")="n/a")),"Entry Mode; ","")&amp;IF(AND(INDEX('Game Records'!$U:$U,$H266)&lt;&gt;"Subscription",INDEX('Game Records'!$U:$U,$H266)&lt;&gt;"Free Game",INDEX('Game Records'!$U:$U,$H266)&lt;&gt;"Disqualified — Free Game",OR(INDEX('Game Records'!$E:$E,$H266)="",LOWER(INDEX('Game Records'!$E:$E,$H266)&amp;"")="n/a")),"Game Type; ","")&amp;IF(INDEX('Game Records'!$F:$F,$H266)="","Payment Type; ","")&amp;IF(AND(INDEX('Game Records'!$U:$U,$H266)&lt;&gt;"Subscription",INDEX('Game Records'!$U:$U,$H266)&lt;&gt;"Free Game",INDEX('Game Records'!$U:$U,$H266)&lt;&gt;"Disqualified — Free Game",INDEX('Game Records'!$G:$G,$H266)=""),"Gross Pot; ","")&amp;IF(AND(INDEX('Game Records'!$U:$U,$H266)&lt;&gt;"Free Game",INDEX('Game Records'!$U:$U,$H266)&lt;&gt;"Disqualified — Free Game",INDEX('Game Records'!$H:$H,$H266)=""),"Entry Fee; ","")&amp;IF(AND(INDEX('Game Records'!$U:$U,$H266)&lt;&gt;"Subscription",INDEX('Game Records'!$U:$U,$H266)&lt;&gt;"Free Game",INDEX('Game Records'!$U:$U,$H266)&lt;&gt;"Disqualified — Free Game",INDEX('Game Records'!$I:$I,$H266)=""),"Eligible Players; ","")&amp;IF(AND(INDEX('Game Records'!$U:$U,$H266)&lt;&gt;"Subscription",INDEX('Game Records'!$U:$U,$H266)&lt;&gt;"Free Game",INDEX('Game Records'!$U:$U,$H266)&lt;&gt;"Disqualified — Free Game",INDEX('Game Records'!$J:$J,$H266)=""),"Total Players; ","")&amp;IF(AND(LOWER(INDEX('Game Records'!$D:$D,$H266)&amp;"")="finalized",LOWER(INDEX('Game Records'!$L:$L,$H266)&amp;"")&lt;&gt;"yes",INDEX('Game Records'!$U:$U,$H266)&lt;&gt;"Subscription",INDEX('Game Records'!$U:$U,$H266)&lt;&gt;"Free Game",INDEX('Game Records'!$U:$U,$H266)&lt;&gt;"Disqualified — Free Game",INDEX('Game Records'!$K:$K,$H266)=""),"Final Payout; ","")&amp;IF(AND(LOWER(INDEX('Game Records'!$D:$D,$H266)&amp;"")="finalized",INDEX('Game Records'!$U:$U,$H266)&lt;&gt;"Subscription",INDEX('Game Records'!$U:$U,$H266)&lt;&gt;"Free Game",INDEX('Game Records'!$U:$U,$H266)&lt;&gt;"Disqualified — Free Game",OR(INDEX('Game Records'!$L:$L,$H266)="",LOWER(INDEX('Game Records'!$L:$L,$H266)&amp;"")="n/a")),"Disqualified Status; ",""))</f>
        <v/>
      </c>
      <c r="G266" s="23" t="str">
        <f t="array" ref="G266">IF($H266="","",IFERROR(INDEX('Game Records'!$M:$M,$H266),""))</f>
        <v/>
      </c>
      <c r="H266" s="3"/>
    </row>
    <row r="267" ht="24.0" customHeight="1">
      <c r="A267" s="18" t="str">
        <f t="shared" si="1"/>
        <v/>
      </c>
      <c r="B267" s="18" t="str">
        <f t="shared" si="2"/>
        <v/>
      </c>
      <c r="C267" s="23" t="str">
        <f t="array" ref="C267">IF($H267="","",IFERROR(INDEX('Game Records'!$A:$A,$H267),""))</f>
        <v/>
      </c>
      <c r="D267" s="23" t="str">
        <f t="array" ref="D267">IF($H267="","",IFERROR(INDEX('Game Records'!$U:$U,$H267),""))</f>
        <v/>
      </c>
      <c r="E267" s="23" t="str">
        <f t="array" ref="E267">IF($H267="","",LET(r,$H267,mode,LOWER(INDEX('Game Records'!$D:$D,r)&amp;""),endDate,INDEX('Game Records'!$C:$C,r),IF(mode="estimate",IF(endDate="","Estimate — End Date missing",IF(NOT(ISNUMBER(endDate)),"Estimate — Check End Date",IF(INT(endDate)&gt;=TODAY(),"In Progress — ends "&amp;TEXT(endDate,"mmm d, yyyy"),"Ready to Finalize"))),IF($F267="","No Highlighted Fields","Highlighted Fields Present"))))</f>
        <v/>
      </c>
      <c r="F267" s="23" t="str">
        <f t="array" ref="F267">IF($H267="","",IF(OR(NOT(_xlfn.ISFORMULA(INDEX('Game Records'!$N:$N,$H267))),NOT(_xlfn.ISFORMULA(INDEX('Game Records'!$O:$O,$H267))),NOT(_xlfn.ISFORMULA(INDEX('Game Records'!$P:$P,$H267))),NOT(_xlfn.ISFORMULA(INDEX('Game Records'!$Q:$Q,$H267))),NOT(_xlfn.ISFORMULA(INDEX('Game Records'!$R:$R,$H267))),NOT(_xlfn.ISFORMULA(INDEX('Game Records'!$S:$S,$H267))),NOT(_xlfn.ISFORMULA(INDEX('Game Records'!$T:$T,$H267))),NOT(_xlfn.ISFORMULA(INDEX('Game Records'!$U:$U,$H267))),NOT(_xlfn.ISFORMULA(INDEX('Game Records'!$V:$V,$H267))),NOT(_xlfn.ISFORMULA(INDEX('Game Records'!$W:$W,$H267))),NOT(_xlfn.ISFORMULA(INDEX('Game Records'!$X:$X,$H267))),NOT(_xlfn.ISFORMULA(INDEX('Game Records'!$Y:$Y,$H267))),NOT(_xlfn.ISFORMULA(INDEX('Game Records'!$Z:$Z,$H267)))),"","")&amp;IF(INDEX('Game Records'!$B:$B,$H267)="","Start Date; ","")&amp;IF(INDEX('Game Records'!$C:$C,$H267)="","End Date; ","")&amp;IF(AND(INDEX('Game Records'!$U:$U,$H267)&lt;&gt;"Subscription",INDEX('Game Records'!$U:$U,$H267)&lt;&gt;"Free Game",INDEX('Game Records'!$U:$U,$H267)&lt;&gt;"Disqualified — Free Game",OR(INDEX('Game Records'!$D:$D,$H267)="",LOWER(INDEX('Game Records'!$D:$D,$H267)&amp;"")="n/a")),"Entry Mode; ","")&amp;IF(AND(INDEX('Game Records'!$U:$U,$H267)&lt;&gt;"Subscription",INDEX('Game Records'!$U:$U,$H267)&lt;&gt;"Free Game",INDEX('Game Records'!$U:$U,$H267)&lt;&gt;"Disqualified — Free Game",OR(INDEX('Game Records'!$E:$E,$H267)="",LOWER(INDEX('Game Records'!$E:$E,$H267)&amp;"")="n/a")),"Game Type; ","")&amp;IF(INDEX('Game Records'!$F:$F,$H267)="","Payment Type; ","")&amp;IF(AND(INDEX('Game Records'!$U:$U,$H267)&lt;&gt;"Subscription",INDEX('Game Records'!$U:$U,$H267)&lt;&gt;"Free Game",INDEX('Game Records'!$U:$U,$H267)&lt;&gt;"Disqualified — Free Game",INDEX('Game Records'!$G:$G,$H267)=""),"Gross Pot; ","")&amp;IF(AND(INDEX('Game Records'!$U:$U,$H267)&lt;&gt;"Free Game",INDEX('Game Records'!$U:$U,$H267)&lt;&gt;"Disqualified — Free Game",INDEX('Game Records'!$H:$H,$H267)=""),"Entry Fee; ","")&amp;IF(AND(INDEX('Game Records'!$U:$U,$H267)&lt;&gt;"Subscription",INDEX('Game Records'!$U:$U,$H267)&lt;&gt;"Free Game",INDEX('Game Records'!$U:$U,$H267)&lt;&gt;"Disqualified — Free Game",INDEX('Game Records'!$I:$I,$H267)=""),"Eligible Players; ","")&amp;IF(AND(INDEX('Game Records'!$U:$U,$H267)&lt;&gt;"Subscription",INDEX('Game Records'!$U:$U,$H267)&lt;&gt;"Free Game",INDEX('Game Records'!$U:$U,$H267)&lt;&gt;"Disqualified — Free Game",INDEX('Game Records'!$J:$J,$H267)=""),"Total Players; ","")&amp;IF(AND(LOWER(INDEX('Game Records'!$D:$D,$H267)&amp;"")="finalized",LOWER(INDEX('Game Records'!$L:$L,$H267)&amp;"")&lt;&gt;"yes",INDEX('Game Records'!$U:$U,$H267)&lt;&gt;"Subscription",INDEX('Game Records'!$U:$U,$H267)&lt;&gt;"Free Game",INDEX('Game Records'!$U:$U,$H267)&lt;&gt;"Disqualified — Free Game",INDEX('Game Records'!$K:$K,$H267)=""),"Final Payout; ","")&amp;IF(AND(LOWER(INDEX('Game Records'!$D:$D,$H267)&amp;"")="finalized",INDEX('Game Records'!$U:$U,$H267)&lt;&gt;"Subscription",INDEX('Game Records'!$U:$U,$H267)&lt;&gt;"Free Game",INDEX('Game Records'!$U:$U,$H267)&lt;&gt;"Disqualified — Free Game",OR(INDEX('Game Records'!$L:$L,$H267)="",LOWER(INDEX('Game Records'!$L:$L,$H267)&amp;"")="n/a")),"Disqualified Status; ",""))</f>
        <v/>
      </c>
      <c r="G267" s="23" t="str">
        <f t="array" ref="G267">IF($H267="","",IFERROR(INDEX('Game Records'!$M:$M,$H267),""))</f>
        <v/>
      </c>
      <c r="H267" s="3"/>
    </row>
    <row r="268" ht="24.0" customHeight="1">
      <c r="A268" s="18" t="str">
        <f t="shared" si="1"/>
        <v/>
      </c>
      <c r="B268" s="18" t="str">
        <f t="shared" si="2"/>
        <v/>
      </c>
      <c r="C268" s="23" t="str">
        <f t="array" ref="C268">IF($H268="","",IFERROR(INDEX('Game Records'!$A:$A,$H268),""))</f>
        <v/>
      </c>
      <c r="D268" s="23" t="str">
        <f t="array" ref="D268">IF($H268="","",IFERROR(INDEX('Game Records'!$U:$U,$H268),""))</f>
        <v/>
      </c>
      <c r="E268" s="23" t="str">
        <f t="array" ref="E268">IF($H268="","",LET(r,$H268,mode,LOWER(INDEX('Game Records'!$D:$D,r)&amp;""),endDate,INDEX('Game Records'!$C:$C,r),IF(mode="estimate",IF(endDate="","Estimate — End Date missing",IF(NOT(ISNUMBER(endDate)),"Estimate — Check End Date",IF(INT(endDate)&gt;=TODAY(),"In Progress — ends "&amp;TEXT(endDate,"mmm d, yyyy"),"Ready to Finalize"))),IF($F268="","No Highlighted Fields","Highlighted Fields Present"))))</f>
        <v/>
      </c>
      <c r="F268" s="23" t="str">
        <f t="array" ref="F268">IF($H268="","",IF(OR(NOT(_xlfn.ISFORMULA(INDEX('Game Records'!$N:$N,$H268))),NOT(_xlfn.ISFORMULA(INDEX('Game Records'!$O:$O,$H268))),NOT(_xlfn.ISFORMULA(INDEX('Game Records'!$P:$P,$H268))),NOT(_xlfn.ISFORMULA(INDEX('Game Records'!$Q:$Q,$H268))),NOT(_xlfn.ISFORMULA(INDEX('Game Records'!$R:$R,$H268))),NOT(_xlfn.ISFORMULA(INDEX('Game Records'!$S:$S,$H268))),NOT(_xlfn.ISFORMULA(INDEX('Game Records'!$T:$T,$H268))),NOT(_xlfn.ISFORMULA(INDEX('Game Records'!$U:$U,$H268))),NOT(_xlfn.ISFORMULA(INDEX('Game Records'!$V:$V,$H268))),NOT(_xlfn.ISFORMULA(INDEX('Game Records'!$W:$W,$H268))),NOT(_xlfn.ISFORMULA(INDEX('Game Records'!$X:$X,$H268))),NOT(_xlfn.ISFORMULA(INDEX('Game Records'!$Y:$Y,$H268))),NOT(_xlfn.ISFORMULA(INDEX('Game Records'!$Z:$Z,$H268)))),"","")&amp;IF(INDEX('Game Records'!$B:$B,$H268)="","Start Date; ","")&amp;IF(INDEX('Game Records'!$C:$C,$H268)="","End Date; ","")&amp;IF(AND(INDEX('Game Records'!$U:$U,$H268)&lt;&gt;"Subscription",INDEX('Game Records'!$U:$U,$H268)&lt;&gt;"Free Game",INDEX('Game Records'!$U:$U,$H268)&lt;&gt;"Disqualified — Free Game",OR(INDEX('Game Records'!$D:$D,$H268)="",LOWER(INDEX('Game Records'!$D:$D,$H268)&amp;"")="n/a")),"Entry Mode; ","")&amp;IF(AND(INDEX('Game Records'!$U:$U,$H268)&lt;&gt;"Subscription",INDEX('Game Records'!$U:$U,$H268)&lt;&gt;"Free Game",INDEX('Game Records'!$U:$U,$H268)&lt;&gt;"Disqualified — Free Game",OR(INDEX('Game Records'!$E:$E,$H268)="",LOWER(INDEX('Game Records'!$E:$E,$H268)&amp;"")="n/a")),"Game Type; ","")&amp;IF(INDEX('Game Records'!$F:$F,$H268)="","Payment Type; ","")&amp;IF(AND(INDEX('Game Records'!$U:$U,$H268)&lt;&gt;"Subscription",INDEX('Game Records'!$U:$U,$H268)&lt;&gt;"Free Game",INDEX('Game Records'!$U:$U,$H268)&lt;&gt;"Disqualified — Free Game",INDEX('Game Records'!$G:$G,$H268)=""),"Gross Pot; ","")&amp;IF(AND(INDEX('Game Records'!$U:$U,$H268)&lt;&gt;"Free Game",INDEX('Game Records'!$U:$U,$H268)&lt;&gt;"Disqualified — Free Game",INDEX('Game Records'!$H:$H,$H268)=""),"Entry Fee; ","")&amp;IF(AND(INDEX('Game Records'!$U:$U,$H268)&lt;&gt;"Subscription",INDEX('Game Records'!$U:$U,$H268)&lt;&gt;"Free Game",INDEX('Game Records'!$U:$U,$H268)&lt;&gt;"Disqualified — Free Game",INDEX('Game Records'!$I:$I,$H268)=""),"Eligible Players; ","")&amp;IF(AND(INDEX('Game Records'!$U:$U,$H268)&lt;&gt;"Subscription",INDEX('Game Records'!$U:$U,$H268)&lt;&gt;"Free Game",INDEX('Game Records'!$U:$U,$H268)&lt;&gt;"Disqualified — Free Game",INDEX('Game Records'!$J:$J,$H268)=""),"Total Players; ","")&amp;IF(AND(LOWER(INDEX('Game Records'!$D:$D,$H268)&amp;"")="finalized",LOWER(INDEX('Game Records'!$L:$L,$H268)&amp;"")&lt;&gt;"yes",INDEX('Game Records'!$U:$U,$H268)&lt;&gt;"Subscription",INDEX('Game Records'!$U:$U,$H268)&lt;&gt;"Free Game",INDEX('Game Records'!$U:$U,$H268)&lt;&gt;"Disqualified — Free Game",INDEX('Game Records'!$K:$K,$H268)=""),"Final Payout; ","")&amp;IF(AND(LOWER(INDEX('Game Records'!$D:$D,$H268)&amp;"")="finalized",INDEX('Game Records'!$U:$U,$H268)&lt;&gt;"Subscription",INDEX('Game Records'!$U:$U,$H268)&lt;&gt;"Free Game",INDEX('Game Records'!$U:$U,$H268)&lt;&gt;"Disqualified — Free Game",OR(INDEX('Game Records'!$L:$L,$H268)="",LOWER(INDEX('Game Records'!$L:$L,$H268)&amp;"")="n/a")),"Disqualified Status; ",""))</f>
        <v/>
      </c>
      <c r="G268" s="23" t="str">
        <f t="array" ref="G268">IF($H268="","",IFERROR(INDEX('Game Records'!$M:$M,$H268),""))</f>
        <v/>
      </c>
      <c r="H268" s="3"/>
    </row>
    <row r="269" ht="24.0" customHeight="1">
      <c r="A269" s="18" t="str">
        <f t="shared" si="1"/>
        <v/>
      </c>
      <c r="B269" s="18" t="str">
        <f t="shared" si="2"/>
        <v/>
      </c>
      <c r="C269" s="23" t="str">
        <f t="array" ref="C269">IF($H269="","",IFERROR(INDEX('Game Records'!$A:$A,$H269),""))</f>
        <v/>
      </c>
      <c r="D269" s="23" t="str">
        <f t="array" ref="D269">IF($H269="","",IFERROR(INDEX('Game Records'!$U:$U,$H269),""))</f>
        <v/>
      </c>
      <c r="E269" s="23" t="str">
        <f t="array" ref="E269">IF($H269="","",LET(r,$H269,mode,LOWER(INDEX('Game Records'!$D:$D,r)&amp;""),endDate,INDEX('Game Records'!$C:$C,r),IF(mode="estimate",IF(endDate="","Estimate — End Date missing",IF(NOT(ISNUMBER(endDate)),"Estimate — Check End Date",IF(INT(endDate)&gt;=TODAY(),"In Progress — ends "&amp;TEXT(endDate,"mmm d, yyyy"),"Ready to Finalize"))),IF($F269="","No Highlighted Fields","Highlighted Fields Present"))))</f>
        <v/>
      </c>
      <c r="F269" s="23" t="str">
        <f t="array" ref="F269">IF($H269="","",IF(OR(NOT(_xlfn.ISFORMULA(INDEX('Game Records'!$N:$N,$H269))),NOT(_xlfn.ISFORMULA(INDEX('Game Records'!$O:$O,$H269))),NOT(_xlfn.ISFORMULA(INDEX('Game Records'!$P:$P,$H269))),NOT(_xlfn.ISFORMULA(INDEX('Game Records'!$Q:$Q,$H269))),NOT(_xlfn.ISFORMULA(INDEX('Game Records'!$R:$R,$H269))),NOT(_xlfn.ISFORMULA(INDEX('Game Records'!$S:$S,$H269))),NOT(_xlfn.ISFORMULA(INDEX('Game Records'!$T:$T,$H269))),NOT(_xlfn.ISFORMULA(INDEX('Game Records'!$U:$U,$H269))),NOT(_xlfn.ISFORMULA(INDEX('Game Records'!$V:$V,$H269))),NOT(_xlfn.ISFORMULA(INDEX('Game Records'!$W:$W,$H269))),NOT(_xlfn.ISFORMULA(INDEX('Game Records'!$X:$X,$H269))),NOT(_xlfn.ISFORMULA(INDEX('Game Records'!$Y:$Y,$H269))),NOT(_xlfn.ISFORMULA(INDEX('Game Records'!$Z:$Z,$H269)))),"","")&amp;IF(INDEX('Game Records'!$B:$B,$H269)="","Start Date; ","")&amp;IF(INDEX('Game Records'!$C:$C,$H269)="","End Date; ","")&amp;IF(AND(INDEX('Game Records'!$U:$U,$H269)&lt;&gt;"Subscription",INDEX('Game Records'!$U:$U,$H269)&lt;&gt;"Free Game",INDEX('Game Records'!$U:$U,$H269)&lt;&gt;"Disqualified — Free Game",OR(INDEX('Game Records'!$D:$D,$H269)="",LOWER(INDEX('Game Records'!$D:$D,$H269)&amp;"")="n/a")),"Entry Mode; ","")&amp;IF(AND(INDEX('Game Records'!$U:$U,$H269)&lt;&gt;"Subscription",INDEX('Game Records'!$U:$U,$H269)&lt;&gt;"Free Game",INDEX('Game Records'!$U:$U,$H269)&lt;&gt;"Disqualified — Free Game",OR(INDEX('Game Records'!$E:$E,$H269)="",LOWER(INDEX('Game Records'!$E:$E,$H269)&amp;"")="n/a")),"Game Type; ","")&amp;IF(INDEX('Game Records'!$F:$F,$H269)="","Payment Type; ","")&amp;IF(AND(INDEX('Game Records'!$U:$U,$H269)&lt;&gt;"Subscription",INDEX('Game Records'!$U:$U,$H269)&lt;&gt;"Free Game",INDEX('Game Records'!$U:$U,$H269)&lt;&gt;"Disqualified — Free Game",INDEX('Game Records'!$G:$G,$H269)=""),"Gross Pot; ","")&amp;IF(AND(INDEX('Game Records'!$U:$U,$H269)&lt;&gt;"Free Game",INDEX('Game Records'!$U:$U,$H269)&lt;&gt;"Disqualified — Free Game",INDEX('Game Records'!$H:$H,$H269)=""),"Entry Fee; ","")&amp;IF(AND(INDEX('Game Records'!$U:$U,$H269)&lt;&gt;"Subscription",INDEX('Game Records'!$U:$U,$H269)&lt;&gt;"Free Game",INDEX('Game Records'!$U:$U,$H269)&lt;&gt;"Disqualified — Free Game",INDEX('Game Records'!$I:$I,$H269)=""),"Eligible Players; ","")&amp;IF(AND(INDEX('Game Records'!$U:$U,$H269)&lt;&gt;"Subscription",INDEX('Game Records'!$U:$U,$H269)&lt;&gt;"Free Game",INDEX('Game Records'!$U:$U,$H269)&lt;&gt;"Disqualified — Free Game",INDEX('Game Records'!$J:$J,$H269)=""),"Total Players; ","")&amp;IF(AND(LOWER(INDEX('Game Records'!$D:$D,$H269)&amp;"")="finalized",LOWER(INDEX('Game Records'!$L:$L,$H269)&amp;"")&lt;&gt;"yes",INDEX('Game Records'!$U:$U,$H269)&lt;&gt;"Subscription",INDEX('Game Records'!$U:$U,$H269)&lt;&gt;"Free Game",INDEX('Game Records'!$U:$U,$H269)&lt;&gt;"Disqualified — Free Game",INDEX('Game Records'!$K:$K,$H269)=""),"Final Payout; ","")&amp;IF(AND(LOWER(INDEX('Game Records'!$D:$D,$H269)&amp;"")="finalized",INDEX('Game Records'!$U:$U,$H269)&lt;&gt;"Subscription",INDEX('Game Records'!$U:$U,$H269)&lt;&gt;"Free Game",INDEX('Game Records'!$U:$U,$H269)&lt;&gt;"Disqualified — Free Game",OR(INDEX('Game Records'!$L:$L,$H269)="",LOWER(INDEX('Game Records'!$L:$L,$H269)&amp;"")="n/a")),"Disqualified Status; ",""))</f>
        <v/>
      </c>
      <c r="G269" s="23" t="str">
        <f t="array" ref="G269">IF($H269="","",IFERROR(INDEX('Game Records'!$M:$M,$H269),""))</f>
        <v/>
      </c>
      <c r="H269" s="3"/>
    </row>
    <row r="270" ht="24.0" customHeight="1">
      <c r="A270" s="18" t="str">
        <f t="shared" si="1"/>
        <v/>
      </c>
      <c r="B270" s="18" t="str">
        <f t="shared" si="2"/>
        <v/>
      </c>
      <c r="C270" s="23" t="str">
        <f t="array" ref="C270">IF($H270="","",IFERROR(INDEX('Game Records'!$A:$A,$H270),""))</f>
        <v/>
      </c>
      <c r="D270" s="23" t="str">
        <f t="array" ref="D270">IF($H270="","",IFERROR(INDEX('Game Records'!$U:$U,$H270),""))</f>
        <v/>
      </c>
      <c r="E270" s="23" t="str">
        <f t="array" ref="E270">IF($H270="","",LET(r,$H270,mode,LOWER(INDEX('Game Records'!$D:$D,r)&amp;""),endDate,INDEX('Game Records'!$C:$C,r),IF(mode="estimate",IF(endDate="","Estimate — End Date missing",IF(NOT(ISNUMBER(endDate)),"Estimate — Check End Date",IF(INT(endDate)&gt;=TODAY(),"In Progress — ends "&amp;TEXT(endDate,"mmm d, yyyy"),"Ready to Finalize"))),IF($F270="","No Highlighted Fields","Highlighted Fields Present"))))</f>
        <v/>
      </c>
      <c r="F270" s="23" t="str">
        <f t="array" ref="F270">IF($H270="","",IF(OR(NOT(_xlfn.ISFORMULA(INDEX('Game Records'!$N:$N,$H270))),NOT(_xlfn.ISFORMULA(INDEX('Game Records'!$O:$O,$H270))),NOT(_xlfn.ISFORMULA(INDEX('Game Records'!$P:$P,$H270))),NOT(_xlfn.ISFORMULA(INDEX('Game Records'!$Q:$Q,$H270))),NOT(_xlfn.ISFORMULA(INDEX('Game Records'!$R:$R,$H270))),NOT(_xlfn.ISFORMULA(INDEX('Game Records'!$S:$S,$H270))),NOT(_xlfn.ISFORMULA(INDEX('Game Records'!$T:$T,$H270))),NOT(_xlfn.ISFORMULA(INDEX('Game Records'!$U:$U,$H270))),NOT(_xlfn.ISFORMULA(INDEX('Game Records'!$V:$V,$H270))),NOT(_xlfn.ISFORMULA(INDEX('Game Records'!$W:$W,$H270))),NOT(_xlfn.ISFORMULA(INDEX('Game Records'!$X:$X,$H270))),NOT(_xlfn.ISFORMULA(INDEX('Game Records'!$Y:$Y,$H270))),NOT(_xlfn.ISFORMULA(INDEX('Game Records'!$Z:$Z,$H270)))),"","")&amp;IF(INDEX('Game Records'!$B:$B,$H270)="","Start Date; ","")&amp;IF(INDEX('Game Records'!$C:$C,$H270)="","End Date; ","")&amp;IF(AND(INDEX('Game Records'!$U:$U,$H270)&lt;&gt;"Subscription",INDEX('Game Records'!$U:$U,$H270)&lt;&gt;"Free Game",INDEX('Game Records'!$U:$U,$H270)&lt;&gt;"Disqualified — Free Game",OR(INDEX('Game Records'!$D:$D,$H270)="",LOWER(INDEX('Game Records'!$D:$D,$H270)&amp;"")="n/a")),"Entry Mode; ","")&amp;IF(AND(INDEX('Game Records'!$U:$U,$H270)&lt;&gt;"Subscription",INDEX('Game Records'!$U:$U,$H270)&lt;&gt;"Free Game",INDEX('Game Records'!$U:$U,$H270)&lt;&gt;"Disqualified — Free Game",OR(INDEX('Game Records'!$E:$E,$H270)="",LOWER(INDEX('Game Records'!$E:$E,$H270)&amp;"")="n/a")),"Game Type; ","")&amp;IF(INDEX('Game Records'!$F:$F,$H270)="","Payment Type; ","")&amp;IF(AND(INDEX('Game Records'!$U:$U,$H270)&lt;&gt;"Subscription",INDEX('Game Records'!$U:$U,$H270)&lt;&gt;"Free Game",INDEX('Game Records'!$U:$U,$H270)&lt;&gt;"Disqualified — Free Game",INDEX('Game Records'!$G:$G,$H270)=""),"Gross Pot; ","")&amp;IF(AND(INDEX('Game Records'!$U:$U,$H270)&lt;&gt;"Free Game",INDEX('Game Records'!$U:$U,$H270)&lt;&gt;"Disqualified — Free Game",INDEX('Game Records'!$H:$H,$H270)=""),"Entry Fee; ","")&amp;IF(AND(INDEX('Game Records'!$U:$U,$H270)&lt;&gt;"Subscription",INDEX('Game Records'!$U:$U,$H270)&lt;&gt;"Free Game",INDEX('Game Records'!$U:$U,$H270)&lt;&gt;"Disqualified — Free Game",INDEX('Game Records'!$I:$I,$H270)=""),"Eligible Players; ","")&amp;IF(AND(INDEX('Game Records'!$U:$U,$H270)&lt;&gt;"Subscription",INDEX('Game Records'!$U:$U,$H270)&lt;&gt;"Free Game",INDEX('Game Records'!$U:$U,$H270)&lt;&gt;"Disqualified — Free Game",INDEX('Game Records'!$J:$J,$H270)=""),"Total Players; ","")&amp;IF(AND(LOWER(INDEX('Game Records'!$D:$D,$H270)&amp;"")="finalized",LOWER(INDEX('Game Records'!$L:$L,$H270)&amp;"")&lt;&gt;"yes",INDEX('Game Records'!$U:$U,$H270)&lt;&gt;"Subscription",INDEX('Game Records'!$U:$U,$H270)&lt;&gt;"Free Game",INDEX('Game Records'!$U:$U,$H270)&lt;&gt;"Disqualified — Free Game",INDEX('Game Records'!$K:$K,$H270)=""),"Final Payout; ","")&amp;IF(AND(LOWER(INDEX('Game Records'!$D:$D,$H270)&amp;"")="finalized",INDEX('Game Records'!$U:$U,$H270)&lt;&gt;"Subscription",INDEX('Game Records'!$U:$U,$H270)&lt;&gt;"Free Game",INDEX('Game Records'!$U:$U,$H270)&lt;&gt;"Disqualified — Free Game",OR(INDEX('Game Records'!$L:$L,$H270)="",LOWER(INDEX('Game Records'!$L:$L,$H270)&amp;"")="n/a")),"Disqualified Status; ",""))</f>
        <v/>
      </c>
      <c r="G270" s="23" t="str">
        <f t="array" ref="G270">IF($H270="","",IFERROR(INDEX('Game Records'!$M:$M,$H270),""))</f>
        <v/>
      </c>
      <c r="H270" s="3"/>
    </row>
    <row r="271" ht="24.0" customHeight="1">
      <c r="A271" s="18" t="str">
        <f t="shared" si="1"/>
        <v/>
      </c>
      <c r="B271" s="18" t="str">
        <f t="shared" si="2"/>
        <v/>
      </c>
      <c r="C271" s="23" t="str">
        <f t="array" ref="C271">IF($H271="","",IFERROR(INDEX('Game Records'!$A:$A,$H271),""))</f>
        <v/>
      </c>
      <c r="D271" s="23" t="str">
        <f t="array" ref="D271">IF($H271="","",IFERROR(INDEX('Game Records'!$U:$U,$H271),""))</f>
        <v/>
      </c>
      <c r="E271" s="23" t="str">
        <f t="array" ref="E271">IF($H271="","",LET(r,$H271,mode,LOWER(INDEX('Game Records'!$D:$D,r)&amp;""),endDate,INDEX('Game Records'!$C:$C,r),IF(mode="estimate",IF(endDate="","Estimate — End Date missing",IF(NOT(ISNUMBER(endDate)),"Estimate — Check End Date",IF(INT(endDate)&gt;=TODAY(),"In Progress — ends "&amp;TEXT(endDate,"mmm d, yyyy"),"Ready to Finalize"))),IF($F271="","No Highlighted Fields","Highlighted Fields Present"))))</f>
        <v/>
      </c>
      <c r="F271" s="23" t="str">
        <f t="array" ref="F271">IF($H271="","",IF(OR(NOT(_xlfn.ISFORMULA(INDEX('Game Records'!$N:$N,$H271))),NOT(_xlfn.ISFORMULA(INDEX('Game Records'!$O:$O,$H271))),NOT(_xlfn.ISFORMULA(INDEX('Game Records'!$P:$P,$H271))),NOT(_xlfn.ISFORMULA(INDEX('Game Records'!$Q:$Q,$H271))),NOT(_xlfn.ISFORMULA(INDEX('Game Records'!$R:$R,$H271))),NOT(_xlfn.ISFORMULA(INDEX('Game Records'!$S:$S,$H271))),NOT(_xlfn.ISFORMULA(INDEX('Game Records'!$T:$T,$H271))),NOT(_xlfn.ISFORMULA(INDEX('Game Records'!$U:$U,$H271))),NOT(_xlfn.ISFORMULA(INDEX('Game Records'!$V:$V,$H271))),NOT(_xlfn.ISFORMULA(INDEX('Game Records'!$W:$W,$H271))),NOT(_xlfn.ISFORMULA(INDEX('Game Records'!$X:$X,$H271))),NOT(_xlfn.ISFORMULA(INDEX('Game Records'!$Y:$Y,$H271))),NOT(_xlfn.ISFORMULA(INDEX('Game Records'!$Z:$Z,$H271)))),"","")&amp;IF(INDEX('Game Records'!$B:$B,$H271)="","Start Date; ","")&amp;IF(INDEX('Game Records'!$C:$C,$H271)="","End Date; ","")&amp;IF(AND(INDEX('Game Records'!$U:$U,$H271)&lt;&gt;"Subscription",INDEX('Game Records'!$U:$U,$H271)&lt;&gt;"Free Game",INDEX('Game Records'!$U:$U,$H271)&lt;&gt;"Disqualified — Free Game",OR(INDEX('Game Records'!$D:$D,$H271)="",LOWER(INDEX('Game Records'!$D:$D,$H271)&amp;"")="n/a")),"Entry Mode; ","")&amp;IF(AND(INDEX('Game Records'!$U:$U,$H271)&lt;&gt;"Subscription",INDEX('Game Records'!$U:$U,$H271)&lt;&gt;"Free Game",INDEX('Game Records'!$U:$U,$H271)&lt;&gt;"Disqualified — Free Game",OR(INDEX('Game Records'!$E:$E,$H271)="",LOWER(INDEX('Game Records'!$E:$E,$H271)&amp;"")="n/a")),"Game Type; ","")&amp;IF(INDEX('Game Records'!$F:$F,$H271)="","Payment Type; ","")&amp;IF(AND(INDEX('Game Records'!$U:$U,$H271)&lt;&gt;"Subscription",INDEX('Game Records'!$U:$U,$H271)&lt;&gt;"Free Game",INDEX('Game Records'!$U:$U,$H271)&lt;&gt;"Disqualified — Free Game",INDEX('Game Records'!$G:$G,$H271)=""),"Gross Pot; ","")&amp;IF(AND(INDEX('Game Records'!$U:$U,$H271)&lt;&gt;"Free Game",INDEX('Game Records'!$U:$U,$H271)&lt;&gt;"Disqualified — Free Game",INDEX('Game Records'!$H:$H,$H271)=""),"Entry Fee; ","")&amp;IF(AND(INDEX('Game Records'!$U:$U,$H271)&lt;&gt;"Subscription",INDEX('Game Records'!$U:$U,$H271)&lt;&gt;"Free Game",INDEX('Game Records'!$U:$U,$H271)&lt;&gt;"Disqualified — Free Game",INDEX('Game Records'!$I:$I,$H271)=""),"Eligible Players; ","")&amp;IF(AND(INDEX('Game Records'!$U:$U,$H271)&lt;&gt;"Subscription",INDEX('Game Records'!$U:$U,$H271)&lt;&gt;"Free Game",INDEX('Game Records'!$U:$U,$H271)&lt;&gt;"Disqualified — Free Game",INDEX('Game Records'!$J:$J,$H271)=""),"Total Players; ","")&amp;IF(AND(LOWER(INDEX('Game Records'!$D:$D,$H271)&amp;"")="finalized",LOWER(INDEX('Game Records'!$L:$L,$H271)&amp;"")&lt;&gt;"yes",INDEX('Game Records'!$U:$U,$H271)&lt;&gt;"Subscription",INDEX('Game Records'!$U:$U,$H271)&lt;&gt;"Free Game",INDEX('Game Records'!$U:$U,$H271)&lt;&gt;"Disqualified — Free Game",INDEX('Game Records'!$K:$K,$H271)=""),"Final Payout; ","")&amp;IF(AND(LOWER(INDEX('Game Records'!$D:$D,$H271)&amp;"")="finalized",INDEX('Game Records'!$U:$U,$H271)&lt;&gt;"Subscription",INDEX('Game Records'!$U:$U,$H271)&lt;&gt;"Free Game",INDEX('Game Records'!$U:$U,$H271)&lt;&gt;"Disqualified — Free Game",OR(INDEX('Game Records'!$L:$L,$H271)="",LOWER(INDEX('Game Records'!$L:$L,$H271)&amp;"")="n/a")),"Disqualified Status; ",""))</f>
        <v/>
      </c>
      <c r="G271" s="23" t="str">
        <f t="array" ref="G271">IF($H271="","",IFERROR(INDEX('Game Records'!$M:$M,$H271),""))</f>
        <v/>
      </c>
      <c r="H271" s="3"/>
    </row>
    <row r="272" ht="24.0" customHeight="1">
      <c r="A272" s="18" t="str">
        <f t="shared" si="1"/>
        <v/>
      </c>
      <c r="B272" s="18" t="str">
        <f t="shared" si="2"/>
        <v/>
      </c>
      <c r="C272" s="23" t="str">
        <f t="array" ref="C272">IF($H272="","",IFERROR(INDEX('Game Records'!$A:$A,$H272),""))</f>
        <v/>
      </c>
      <c r="D272" s="23" t="str">
        <f t="array" ref="D272">IF($H272="","",IFERROR(INDEX('Game Records'!$U:$U,$H272),""))</f>
        <v/>
      </c>
      <c r="E272" s="23" t="str">
        <f t="array" ref="E272">IF($H272="","",LET(r,$H272,mode,LOWER(INDEX('Game Records'!$D:$D,r)&amp;""),endDate,INDEX('Game Records'!$C:$C,r),IF(mode="estimate",IF(endDate="","Estimate — End Date missing",IF(NOT(ISNUMBER(endDate)),"Estimate — Check End Date",IF(INT(endDate)&gt;=TODAY(),"In Progress — ends "&amp;TEXT(endDate,"mmm d, yyyy"),"Ready to Finalize"))),IF($F272="","No Highlighted Fields","Highlighted Fields Present"))))</f>
        <v/>
      </c>
      <c r="F272" s="23" t="str">
        <f t="array" ref="F272">IF($H272="","",IF(OR(NOT(_xlfn.ISFORMULA(INDEX('Game Records'!$N:$N,$H272))),NOT(_xlfn.ISFORMULA(INDEX('Game Records'!$O:$O,$H272))),NOT(_xlfn.ISFORMULA(INDEX('Game Records'!$P:$P,$H272))),NOT(_xlfn.ISFORMULA(INDEX('Game Records'!$Q:$Q,$H272))),NOT(_xlfn.ISFORMULA(INDEX('Game Records'!$R:$R,$H272))),NOT(_xlfn.ISFORMULA(INDEX('Game Records'!$S:$S,$H272))),NOT(_xlfn.ISFORMULA(INDEX('Game Records'!$T:$T,$H272))),NOT(_xlfn.ISFORMULA(INDEX('Game Records'!$U:$U,$H272))),NOT(_xlfn.ISFORMULA(INDEX('Game Records'!$V:$V,$H272))),NOT(_xlfn.ISFORMULA(INDEX('Game Records'!$W:$W,$H272))),NOT(_xlfn.ISFORMULA(INDEX('Game Records'!$X:$X,$H272))),NOT(_xlfn.ISFORMULA(INDEX('Game Records'!$Y:$Y,$H272))),NOT(_xlfn.ISFORMULA(INDEX('Game Records'!$Z:$Z,$H272)))),"","")&amp;IF(INDEX('Game Records'!$B:$B,$H272)="","Start Date; ","")&amp;IF(INDEX('Game Records'!$C:$C,$H272)="","End Date; ","")&amp;IF(AND(INDEX('Game Records'!$U:$U,$H272)&lt;&gt;"Subscription",INDEX('Game Records'!$U:$U,$H272)&lt;&gt;"Free Game",INDEX('Game Records'!$U:$U,$H272)&lt;&gt;"Disqualified — Free Game",OR(INDEX('Game Records'!$D:$D,$H272)="",LOWER(INDEX('Game Records'!$D:$D,$H272)&amp;"")="n/a")),"Entry Mode; ","")&amp;IF(AND(INDEX('Game Records'!$U:$U,$H272)&lt;&gt;"Subscription",INDEX('Game Records'!$U:$U,$H272)&lt;&gt;"Free Game",INDEX('Game Records'!$U:$U,$H272)&lt;&gt;"Disqualified — Free Game",OR(INDEX('Game Records'!$E:$E,$H272)="",LOWER(INDEX('Game Records'!$E:$E,$H272)&amp;"")="n/a")),"Game Type; ","")&amp;IF(INDEX('Game Records'!$F:$F,$H272)="","Payment Type; ","")&amp;IF(AND(INDEX('Game Records'!$U:$U,$H272)&lt;&gt;"Subscription",INDEX('Game Records'!$U:$U,$H272)&lt;&gt;"Free Game",INDEX('Game Records'!$U:$U,$H272)&lt;&gt;"Disqualified — Free Game",INDEX('Game Records'!$G:$G,$H272)=""),"Gross Pot; ","")&amp;IF(AND(INDEX('Game Records'!$U:$U,$H272)&lt;&gt;"Free Game",INDEX('Game Records'!$U:$U,$H272)&lt;&gt;"Disqualified — Free Game",INDEX('Game Records'!$H:$H,$H272)=""),"Entry Fee; ","")&amp;IF(AND(INDEX('Game Records'!$U:$U,$H272)&lt;&gt;"Subscription",INDEX('Game Records'!$U:$U,$H272)&lt;&gt;"Free Game",INDEX('Game Records'!$U:$U,$H272)&lt;&gt;"Disqualified — Free Game",INDEX('Game Records'!$I:$I,$H272)=""),"Eligible Players; ","")&amp;IF(AND(INDEX('Game Records'!$U:$U,$H272)&lt;&gt;"Subscription",INDEX('Game Records'!$U:$U,$H272)&lt;&gt;"Free Game",INDEX('Game Records'!$U:$U,$H272)&lt;&gt;"Disqualified — Free Game",INDEX('Game Records'!$J:$J,$H272)=""),"Total Players; ","")&amp;IF(AND(LOWER(INDEX('Game Records'!$D:$D,$H272)&amp;"")="finalized",LOWER(INDEX('Game Records'!$L:$L,$H272)&amp;"")&lt;&gt;"yes",INDEX('Game Records'!$U:$U,$H272)&lt;&gt;"Subscription",INDEX('Game Records'!$U:$U,$H272)&lt;&gt;"Free Game",INDEX('Game Records'!$U:$U,$H272)&lt;&gt;"Disqualified — Free Game",INDEX('Game Records'!$K:$K,$H272)=""),"Final Payout; ","")&amp;IF(AND(LOWER(INDEX('Game Records'!$D:$D,$H272)&amp;"")="finalized",INDEX('Game Records'!$U:$U,$H272)&lt;&gt;"Subscription",INDEX('Game Records'!$U:$U,$H272)&lt;&gt;"Free Game",INDEX('Game Records'!$U:$U,$H272)&lt;&gt;"Disqualified — Free Game",OR(INDEX('Game Records'!$L:$L,$H272)="",LOWER(INDEX('Game Records'!$L:$L,$H272)&amp;"")="n/a")),"Disqualified Status; ",""))</f>
        <v/>
      </c>
      <c r="G272" s="23" t="str">
        <f t="array" ref="G272">IF($H272="","",IFERROR(INDEX('Game Records'!$M:$M,$H272),""))</f>
        <v/>
      </c>
      <c r="H272" s="3"/>
    </row>
    <row r="273" ht="24.0" customHeight="1">
      <c r="A273" s="18" t="str">
        <f t="shared" si="1"/>
        <v/>
      </c>
      <c r="B273" s="18" t="str">
        <f t="shared" si="2"/>
        <v/>
      </c>
      <c r="C273" s="23" t="str">
        <f t="array" ref="C273">IF($H273="","",IFERROR(INDEX('Game Records'!$A:$A,$H273),""))</f>
        <v/>
      </c>
      <c r="D273" s="23" t="str">
        <f t="array" ref="D273">IF($H273="","",IFERROR(INDEX('Game Records'!$U:$U,$H273),""))</f>
        <v/>
      </c>
      <c r="E273" s="23" t="str">
        <f t="array" ref="E273">IF($H273="","",LET(r,$H273,mode,LOWER(INDEX('Game Records'!$D:$D,r)&amp;""),endDate,INDEX('Game Records'!$C:$C,r),IF(mode="estimate",IF(endDate="","Estimate — End Date missing",IF(NOT(ISNUMBER(endDate)),"Estimate — Check End Date",IF(INT(endDate)&gt;=TODAY(),"In Progress — ends "&amp;TEXT(endDate,"mmm d, yyyy"),"Ready to Finalize"))),IF($F273="","No Highlighted Fields","Highlighted Fields Present"))))</f>
        <v/>
      </c>
      <c r="F273" s="23" t="str">
        <f t="array" ref="F273">IF($H273="","",IF(OR(NOT(_xlfn.ISFORMULA(INDEX('Game Records'!$N:$N,$H273))),NOT(_xlfn.ISFORMULA(INDEX('Game Records'!$O:$O,$H273))),NOT(_xlfn.ISFORMULA(INDEX('Game Records'!$P:$P,$H273))),NOT(_xlfn.ISFORMULA(INDEX('Game Records'!$Q:$Q,$H273))),NOT(_xlfn.ISFORMULA(INDEX('Game Records'!$R:$R,$H273))),NOT(_xlfn.ISFORMULA(INDEX('Game Records'!$S:$S,$H273))),NOT(_xlfn.ISFORMULA(INDEX('Game Records'!$T:$T,$H273))),NOT(_xlfn.ISFORMULA(INDEX('Game Records'!$U:$U,$H273))),NOT(_xlfn.ISFORMULA(INDEX('Game Records'!$V:$V,$H273))),NOT(_xlfn.ISFORMULA(INDEX('Game Records'!$W:$W,$H273))),NOT(_xlfn.ISFORMULA(INDEX('Game Records'!$X:$X,$H273))),NOT(_xlfn.ISFORMULA(INDEX('Game Records'!$Y:$Y,$H273))),NOT(_xlfn.ISFORMULA(INDEX('Game Records'!$Z:$Z,$H273)))),"","")&amp;IF(INDEX('Game Records'!$B:$B,$H273)="","Start Date; ","")&amp;IF(INDEX('Game Records'!$C:$C,$H273)="","End Date; ","")&amp;IF(AND(INDEX('Game Records'!$U:$U,$H273)&lt;&gt;"Subscription",INDEX('Game Records'!$U:$U,$H273)&lt;&gt;"Free Game",INDEX('Game Records'!$U:$U,$H273)&lt;&gt;"Disqualified — Free Game",OR(INDEX('Game Records'!$D:$D,$H273)="",LOWER(INDEX('Game Records'!$D:$D,$H273)&amp;"")="n/a")),"Entry Mode; ","")&amp;IF(AND(INDEX('Game Records'!$U:$U,$H273)&lt;&gt;"Subscription",INDEX('Game Records'!$U:$U,$H273)&lt;&gt;"Free Game",INDEX('Game Records'!$U:$U,$H273)&lt;&gt;"Disqualified — Free Game",OR(INDEX('Game Records'!$E:$E,$H273)="",LOWER(INDEX('Game Records'!$E:$E,$H273)&amp;"")="n/a")),"Game Type; ","")&amp;IF(INDEX('Game Records'!$F:$F,$H273)="","Payment Type; ","")&amp;IF(AND(INDEX('Game Records'!$U:$U,$H273)&lt;&gt;"Subscription",INDEX('Game Records'!$U:$U,$H273)&lt;&gt;"Free Game",INDEX('Game Records'!$U:$U,$H273)&lt;&gt;"Disqualified — Free Game",INDEX('Game Records'!$G:$G,$H273)=""),"Gross Pot; ","")&amp;IF(AND(INDEX('Game Records'!$U:$U,$H273)&lt;&gt;"Free Game",INDEX('Game Records'!$U:$U,$H273)&lt;&gt;"Disqualified — Free Game",INDEX('Game Records'!$H:$H,$H273)=""),"Entry Fee; ","")&amp;IF(AND(INDEX('Game Records'!$U:$U,$H273)&lt;&gt;"Subscription",INDEX('Game Records'!$U:$U,$H273)&lt;&gt;"Free Game",INDEX('Game Records'!$U:$U,$H273)&lt;&gt;"Disqualified — Free Game",INDEX('Game Records'!$I:$I,$H273)=""),"Eligible Players; ","")&amp;IF(AND(INDEX('Game Records'!$U:$U,$H273)&lt;&gt;"Subscription",INDEX('Game Records'!$U:$U,$H273)&lt;&gt;"Free Game",INDEX('Game Records'!$U:$U,$H273)&lt;&gt;"Disqualified — Free Game",INDEX('Game Records'!$J:$J,$H273)=""),"Total Players; ","")&amp;IF(AND(LOWER(INDEX('Game Records'!$D:$D,$H273)&amp;"")="finalized",LOWER(INDEX('Game Records'!$L:$L,$H273)&amp;"")&lt;&gt;"yes",INDEX('Game Records'!$U:$U,$H273)&lt;&gt;"Subscription",INDEX('Game Records'!$U:$U,$H273)&lt;&gt;"Free Game",INDEX('Game Records'!$U:$U,$H273)&lt;&gt;"Disqualified — Free Game",INDEX('Game Records'!$K:$K,$H273)=""),"Final Payout; ","")&amp;IF(AND(LOWER(INDEX('Game Records'!$D:$D,$H273)&amp;"")="finalized",INDEX('Game Records'!$U:$U,$H273)&lt;&gt;"Subscription",INDEX('Game Records'!$U:$U,$H273)&lt;&gt;"Free Game",INDEX('Game Records'!$U:$U,$H273)&lt;&gt;"Disqualified — Free Game",OR(INDEX('Game Records'!$L:$L,$H273)="",LOWER(INDEX('Game Records'!$L:$L,$H273)&amp;"")="n/a")),"Disqualified Status; ",""))</f>
        <v/>
      </c>
      <c r="G273" s="23" t="str">
        <f t="array" ref="G273">IF($H273="","",IFERROR(INDEX('Game Records'!$M:$M,$H273),""))</f>
        <v/>
      </c>
      <c r="H273" s="3"/>
    </row>
    <row r="274" ht="24.0" customHeight="1">
      <c r="A274" s="18" t="str">
        <f t="shared" si="1"/>
        <v/>
      </c>
      <c r="B274" s="18" t="str">
        <f t="shared" si="2"/>
        <v/>
      </c>
      <c r="C274" s="23" t="str">
        <f t="array" ref="C274">IF($H274="","",IFERROR(INDEX('Game Records'!$A:$A,$H274),""))</f>
        <v/>
      </c>
      <c r="D274" s="23" t="str">
        <f t="array" ref="D274">IF($H274="","",IFERROR(INDEX('Game Records'!$U:$U,$H274),""))</f>
        <v/>
      </c>
      <c r="E274" s="23" t="str">
        <f t="array" ref="E274">IF($H274="","",LET(r,$H274,mode,LOWER(INDEX('Game Records'!$D:$D,r)&amp;""),endDate,INDEX('Game Records'!$C:$C,r),IF(mode="estimate",IF(endDate="","Estimate — End Date missing",IF(NOT(ISNUMBER(endDate)),"Estimate — Check End Date",IF(INT(endDate)&gt;=TODAY(),"In Progress — ends "&amp;TEXT(endDate,"mmm d, yyyy"),"Ready to Finalize"))),IF($F274="","No Highlighted Fields","Highlighted Fields Present"))))</f>
        <v/>
      </c>
      <c r="F274" s="23" t="str">
        <f t="array" ref="F274">IF($H274="","",IF(OR(NOT(_xlfn.ISFORMULA(INDEX('Game Records'!$N:$N,$H274))),NOT(_xlfn.ISFORMULA(INDEX('Game Records'!$O:$O,$H274))),NOT(_xlfn.ISFORMULA(INDEX('Game Records'!$P:$P,$H274))),NOT(_xlfn.ISFORMULA(INDEX('Game Records'!$Q:$Q,$H274))),NOT(_xlfn.ISFORMULA(INDEX('Game Records'!$R:$R,$H274))),NOT(_xlfn.ISFORMULA(INDEX('Game Records'!$S:$S,$H274))),NOT(_xlfn.ISFORMULA(INDEX('Game Records'!$T:$T,$H274))),NOT(_xlfn.ISFORMULA(INDEX('Game Records'!$U:$U,$H274))),NOT(_xlfn.ISFORMULA(INDEX('Game Records'!$V:$V,$H274))),NOT(_xlfn.ISFORMULA(INDEX('Game Records'!$W:$W,$H274))),NOT(_xlfn.ISFORMULA(INDEX('Game Records'!$X:$X,$H274))),NOT(_xlfn.ISFORMULA(INDEX('Game Records'!$Y:$Y,$H274))),NOT(_xlfn.ISFORMULA(INDEX('Game Records'!$Z:$Z,$H274)))),"","")&amp;IF(INDEX('Game Records'!$B:$B,$H274)="","Start Date; ","")&amp;IF(INDEX('Game Records'!$C:$C,$H274)="","End Date; ","")&amp;IF(AND(INDEX('Game Records'!$U:$U,$H274)&lt;&gt;"Subscription",INDEX('Game Records'!$U:$U,$H274)&lt;&gt;"Free Game",INDEX('Game Records'!$U:$U,$H274)&lt;&gt;"Disqualified — Free Game",OR(INDEX('Game Records'!$D:$D,$H274)="",LOWER(INDEX('Game Records'!$D:$D,$H274)&amp;"")="n/a")),"Entry Mode; ","")&amp;IF(AND(INDEX('Game Records'!$U:$U,$H274)&lt;&gt;"Subscription",INDEX('Game Records'!$U:$U,$H274)&lt;&gt;"Free Game",INDEX('Game Records'!$U:$U,$H274)&lt;&gt;"Disqualified — Free Game",OR(INDEX('Game Records'!$E:$E,$H274)="",LOWER(INDEX('Game Records'!$E:$E,$H274)&amp;"")="n/a")),"Game Type; ","")&amp;IF(INDEX('Game Records'!$F:$F,$H274)="","Payment Type; ","")&amp;IF(AND(INDEX('Game Records'!$U:$U,$H274)&lt;&gt;"Subscription",INDEX('Game Records'!$U:$U,$H274)&lt;&gt;"Free Game",INDEX('Game Records'!$U:$U,$H274)&lt;&gt;"Disqualified — Free Game",INDEX('Game Records'!$G:$G,$H274)=""),"Gross Pot; ","")&amp;IF(AND(INDEX('Game Records'!$U:$U,$H274)&lt;&gt;"Free Game",INDEX('Game Records'!$U:$U,$H274)&lt;&gt;"Disqualified — Free Game",INDEX('Game Records'!$H:$H,$H274)=""),"Entry Fee; ","")&amp;IF(AND(INDEX('Game Records'!$U:$U,$H274)&lt;&gt;"Subscription",INDEX('Game Records'!$U:$U,$H274)&lt;&gt;"Free Game",INDEX('Game Records'!$U:$U,$H274)&lt;&gt;"Disqualified — Free Game",INDEX('Game Records'!$I:$I,$H274)=""),"Eligible Players; ","")&amp;IF(AND(INDEX('Game Records'!$U:$U,$H274)&lt;&gt;"Subscription",INDEX('Game Records'!$U:$U,$H274)&lt;&gt;"Free Game",INDEX('Game Records'!$U:$U,$H274)&lt;&gt;"Disqualified — Free Game",INDEX('Game Records'!$J:$J,$H274)=""),"Total Players; ","")&amp;IF(AND(LOWER(INDEX('Game Records'!$D:$D,$H274)&amp;"")="finalized",LOWER(INDEX('Game Records'!$L:$L,$H274)&amp;"")&lt;&gt;"yes",INDEX('Game Records'!$U:$U,$H274)&lt;&gt;"Subscription",INDEX('Game Records'!$U:$U,$H274)&lt;&gt;"Free Game",INDEX('Game Records'!$U:$U,$H274)&lt;&gt;"Disqualified — Free Game",INDEX('Game Records'!$K:$K,$H274)=""),"Final Payout; ","")&amp;IF(AND(LOWER(INDEX('Game Records'!$D:$D,$H274)&amp;"")="finalized",INDEX('Game Records'!$U:$U,$H274)&lt;&gt;"Subscription",INDEX('Game Records'!$U:$U,$H274)&lt;&gt;"Free Game",INDEX('Game Records'!$U:$U,$H274)&lt;&gt;"Disqualified — Free Game",OR(INDEX('Game Records'!$L:$L,$H274)="",LOWER(INDEX('Game Records'!$L:$L,$H274)&amp;"")="n/a")),"Disqualified Status; ",""))</f>
        <v/>
      </c>
      <c r="G274" s="23" t="str">
        <f t="array" ref="G274">IF($H274="","",IFERROR(INDEX('Game Records'!$M:$M,$H274),""))</f>
        <v/>
      </c>
      <c r="H274" s="3"/>
    </row>
    <row r="275" ht="24.0" customHeight="1">
      <c r="A275" s="18" t="str">
        <f t="shared" si="1"/>
        <v/>
      </c>
      <c r="B275" s="18" t="str">
        <f t="shared" si="2"/>
        <v/>
      </c>
      <c r="C275" s="23" t="str">
        <f t="array" ref="C275">IF($H275="","",IFERROR(INDEX('Game Records'!$A:$A,$H275),""))</f>
        <v/>
      </c>
      <c r="D275" s="23" t="str">
        <f t="array" ref="D275">IF($H275="","",IFERROR(INDEX('Game Records'!$U:$U,$H275),""))</f>
        <v/>
      </c>
      <c r="E275" s="23" t="str">
        <f t="array" ref="E275">IF($H275="","",LET(r,$H275,mode,LOWER(INDEX('Game Records'!$D:$D,r)&amp;""),endDate,INDEX('Game Records'!$C:$C,r),IF(mode="estimate",IF(endDate="","Estimate — End Date missing",IF(NOT(ISNUMBER(endDate)),"Estimate — Check End Date",IF(INT(endDate)&gt;=TODAY(),"In Progress — ends "&amp;TEXT(endDate,"mmm d, yyyy"),"Ready to Finalize"))),IF($F275="","No Highlighted Fields","Highlighted Fields Present"))))</f>
        <v/>
      </c>
      <c r="F275" s="23" t="str">
        <f t="array" ref="F275">IF($H275="","",IF(OR(NOT(_xlfn.ISFORMULA(INDEX('Game Records'!$N:$N,$H275))),NOT(_xlfn.ISFORMULA(INDEX('Game Records'!$O:$O,$H275))),NOT(_xlfn.ISFORMULA(INDEX('Game Records'!$P:$P,$H275))),NOT(_xlfn.ISFORMULA(INDEX('Game Records'!$Q:$Q,$H275))),NOT(_xlfn.ISFORMULA(INDEX('Game Records'!$R:$R,$H275))),NOT(_xlfn.ISFORMULA(INDEX('Game Records'!$S:$S,$H275))),NOT(_xlfn.ISFORMULA(INDEX('Game Records'!$T:$T,$H275))),NOT(_xlfn.ISFORMULA(INDEX('Game Records'!$U:$U,$H275))),NOT(_xlfn.ISFORMULA(INDEX('Game Records'!$V:$V,$H275))),NOT(_xlfn.ISFORMULA(INDEX('Game Records'!$W:$W,$H275))),NOT(_xlfn.ISFORMULA(INDEX('Game Records'!$X:$X,$H275))),NOT(_xlfn.ISFORMULA(INDEX('Game Records'!$Y:$Y,$H275))),NOT(_xlfn.ISFORMULA(INDEX('Game Records'!$Z:$Z,$H275)))),"","")&amp;IF(INDEX('Game Records'!$B:$B,$H275)="","Start Date; ","")&amp;IF(INDEX('Game Records'!$C:$C,$H275)="","End Date; ","")&amp;IF(AND(INDEX('Game Records'!$U:$U,$H275)&lt;&gt;"Subscription",INDEX('Game Records'!$U:$U,$H275)&lt;&gt;"Free Game",INDEX('Game Records'!$U:$U,$H275)&lt;&gt;"Disqualified — Free Game",OR(INDEX('Game Records'!$D:$D,$H275)="",LOWER(INDEX('Game Records'!$D:$D,$H275)&amp;"")="n/a")),"Entry Mode; ","")&amp;IF(AND(INDEX('Game Records'!$U:$U,$H275)&lt;&gt;"Subscription",INDEX('Game Records'!$U:$U,$H275)&lt;&gt;"Free Game",INDEX('Game Records'!$U:$U,$H275)&lt;&gt;"Disqualified — Free Game",OR(INDEX('Game Records'!$E:$E,$H275)="",LOWER(INDEX('Game Records'!$E:$E,$H275)&amp;"")="n/a")),"Game Type; ","")&amp;IF(INDEX('Game Records'!$F:$F,$H275)="","Payment Type; ","")&amp;IF(AND(INDEX('Game Records'!$U:$U,$H275)&lt;&gt;"Subscription",INDEX('Game Records'!$U:$U,$H275)&lt;&gt;"Free Game",INDEX('Game Records'!$U:$U,$H275)&lt;&gt;"Disqualified — Free Game",INDEX('Game Records'!$G:$G,$H275)=""),"Gross Pot; ","")&amp;IF(AND(INDEX('Game Records'!$U:$U,$H275)&lt;&gt;"Free Game",INDEX('Game Records'!$U:$U,$H275)&lt;&gt;"Disqualified — Free Game",INDEX('Game Records'!$H:$H,$H275)=""),"Entry Fee; ","")&amp;IF(AND(INDEX('Game Records'!$U:$U,$H275)&lt;&gt;"Subscription",INDEX('Game Records'!$U:$U,$H275)&lt;&gt;"Free Game",INDEX('Game Records'!$U:$U,$H275)&lt;&gt;"Disqualified — Free Game",INDEX('Game Records'!$I:$I,$H275)=""),"Eligible Players; ","")&amp;IF(AND(INDEX('Game Records'!$U:$U,$H275)&lt;&gt;"Subscription",INDEX('Game Records'!$U:$U,$H275)&lt;&gt;"Free Game",INDEX('Game Records'!$U:$U,$H275)&lt;&gt;"Disqualified — Free Game",INDEX('Game Records'!$J:$J,$H275)=""),"Total Players; ","")&amp;IF(AND(LOWER(INDEX('Game Records'!$D:$D,$H275)&amp;"")="finalized",LOWER(INDEX('Game Records'!$L:$L,$H275)&amp;"")&lt;&gt;"yes",INDEX('Game Records'!$U:$U,$H275)&lt;&gt;"Subscription",INDEX('Game Records'!$U:$U,$H275)&lt;&gt;"Free Game",INDEX('Game Records'!$U:$U,$H275)&lt;&gt;"Disqualified — Free Game",INDEX('Game Records'!$K:$K,$H275)=""),"Final Payout; ","")&amp;IF(AND(LOWER(INDEX('Game Records'!$D:$D,$H275)&amp;"")="finalized",INDEX('Game Records'!$U:$U,$H275)&lt;&gt;"Subscription",INDEX('Game Records'!$U:$U,$H275)&lt;&gt;"Free Game",INDEX('Game Records'!$U:$U,$H275)&lt;&gt;"Disqualified — Free Game",OR(INDEX('Game Records'!$L:$L,$H275)="",LOWER(INDEX('Game Records'!$L:$L,$H275)&amp;"")="n/a")),"Disqualified Status; ",""))</f>
        <v/>
      </c>
      <c r="G275" s="23" t="str">
        <f t="array" ref="G275">IF($H275="","",IFERROR(INDEX('Game Records'!$M:$M,$H275),""))</f>
        <v/>
      </c>
      <c r="H275" s="3"/>
    </row>
    <row r="276" ht="24.0" customHeight="1">
      <c r="A276" s="18" t="str">
        <f t="shared" si="1"/>
        <v/>
      </c>
      <c r="B276" s="18" t="str">
        <f t="shared" si="2"/>
        <v/>
      </c>
      <c r="C276" s="23" t="str">
        <f t="array" ref="C276">IF($H276="","",IFERROR(INDEX('Game Records'!$A:$A,$H276),""))</f>
        <v/>
      </c>
      <c r="D276" s="23" t="str">
        <f t="array" ref="D276">IF($H276="","",IFERROR(INDEX('Game Records'!$U:$U,$H276),""))</f>
        <v/>
      </c>
      <c r="E276" s="23" t="str">
        <f t="array" ref="E276">IF($H276="","",LET(r,$H276,mode,LOWER(INDEX('Game Records'!$D:$D,r)&amp;""),endDate,INDEX('Game Records'!$C:$C,r),IF(mode="estimate",IF(endDate="","Estimate — End Date missing",IF(NOT(ISNUMBER(endDate)),"Estimate — Check End Date",IF(INT(endDate)&gt;=TODAY(),"In Progress — ends "&amp;TEXT(endDate,"mmm d, yyyy"),"Ready to Finalize"))),IF($F276="","No Highlighted Fields","Highlighted Fields Present"))))</f>
        <v/>
      </c>
      <c r="F276" s="23" t="str">
        <f t="array" ref="F276">IF($H276="","",IF(OR(NOT(_xlfn.ISFORMULA(INDEX('Game Records'!$N:$N,$H276))),NOT(_xlfn.ISFORMULA(INDEX('Game Records'!$O:$O,$H276))),NOT(_xlfn.ISFORMULA(INDEX('Game Records'!$P:$P,$H276))),NOT(_xlfn.ISFORMULA(INDEX('Game Records'!$Q:$Q,$H276))),NOT(_xlfn.ISFORMULA(INDEX('Game Records'!$R:$R,$H276))),NOT(_xlfn.ISFORMULA(INDEX('Game Records'!$S:$S,$H276))),NOT(_xlfn.ISFORMULA(INDEX('Game Records'!$T:$T,$H276))),NOT(_xlfn.ISFORMULA(INDEX('Game Records'!$U:$U,$H276))),NOT(_xlfn.ISFORMULA(INDEX('Game Records'!$V:$V,$H276))),NOT(_xlfn.ISFORMULA(INDEX('Game Records'!$W:$W,$H276))),NOT(_xlfn.ISFORMULA(INDEX('Game Records'!$X:$X,$H276))),NOT(_xlfn.ISFORMULA(INDEX('Game Records'!$Y:$Y,$H276))),NOT(_xlfn.ISFORMULA(INDEX('Game Records'!$Z:$Z,$H276)))),"","")&amp;IF(INDEX('Game Records'!$B:$B,$H276)="","Start Date; ","")&amp;IF(INDEX('Game Records'!$C:$C,$H276)="","End Date; ","")&amp;IF(AND(INDEX('Game Records'!$U:$U,$H276)&lt;&gt;"Subscription",INDEX('Game Records'!$U:$U,$H276)&lt;&gt;"Free Game",INDEX('Game Records'!$U:$U,$H276)&lt;&gt;"Disqualified — Free Game",OR(INDEX('Game Records'!$D:$D,$H276)="",LOWER(INDEX('Game Records'!$D:$D,$H276)&amp;"")="n/a")),"Entry Mode; ","")&amp;IF(AND(INDEX('Game Records'!$U:$U,$H276)&lt;&gt;"Subscription",INDEX('Game Records'!$U:$U,$H276)&lt;&gt;"Free Game",INDEX('Game Records'!$U:$U,$H276)&lt;&gt;"Disqualified — Free Game",OR(INDEX('Game Records'!$E:$E,$H276)="",LOWER(INDEX('Game Records'!$E:$E,$H276)&amp;"")="n/a")),"Game Type; ","")&amp;IF(INDEX('Game Records'!$F:$F,$H276)="","Payment Type; ","")&amp;IF(AND(INDEX('Game Records'!$U:$U,$H276)&lt;&gt;"Subscription",INDEX('Game Records'!$U:$U,$H276)&lt;&gt;"Free Game",INDEX('Game Records'!$U:$U,$H276)&lt;&gt;"Disqualified — Free Game",INDEX('Game Records'!$G:$G,$H276)=""),"Gross Pot; ","")&amp;IF(AND(INDEX('Game Records'!$U:$U,$H276)&lt;&gt;"Free Game",INDEX('Game Records'!$U:$U,$H276)&lt;&gt;"Disqualified — Free Game",INDEX('Game Records'!$H:$H,$H276)=""),"Entry Fee; ","")&amp;IF(AND(INDEX('Game Records'!$U:$U,$H276)&lt;&gt;"Subscription",INDEX('Game Records'!$U:$U,$H276)&lt;&gt;"Free Game",INDEX('Game Records'!$U:$U,$H276)&lt;&gt;"Disqualified — Free Game",INDEX('Game Records'!$I:$I,$H276)=""),"Eligible Players; ","")&amp;IF(AND(INDEX('Game Records'!$U:$U,$H276)&lt;&gt;"Subscription",INDEX('Game Records'!$U:$U,$H276)&lt;&gt;"Free Game",INDEX('Game Records'!$U:$U,$H276)&lt;&gt;"Disqualified — Free Game",INDEX('Game Records'!$J:$J,$H276)=""),"Total Players; ","")&amp;IF(AND(LOWER(INDEX('Game Records'!$D:$D,$H276)&amp;"")="finalized",LOWER(INDEX('Game Records'!$L:$L,$H276)&amp;"")&lt;&gt;"yes",INDEX('Game Records'!$U:$U,$H276)&lt;&gt;"Subscription",INDEX('Game Records'!$U:$U,$H276)&lt;&gt;"Free Game",INDEX('Game Records'!$U:$U,$H276)&lt;&gt;"Disqualified — Free Game",INDEX('Game Records'!$K:$K,$H276)=""),"Final Payout; ","")&amp;IF(AND(LOWER(INDEX('Game Records'!$D:$D,$H276)&amp;"")="finalized",INDEX('Game Records'!$U:$U,$H276)&lt;&gt;"Subscription",INDEX('Game Records'!$U:$U,$H276)&lt;&gt;"Free Game",INDEX('Game Records'!$U:$U,$H276)&lt;&gt;"Disqualified — Free Game",OR(INDEX('Game Records'!$L:$L,$H276)="",LOWER(INDEX('Game Records'!$L:$L,$H276)&amp;"")="n/a")),"Disqualified Status; ",""))</f>
        <v/>
      </c>
      <c r="G276" s="23" t="str">
        <f t="array" ref="G276">IF($H276="","",IFERROR(INDEX('Game Records'!$M:$M,$H276),""))</f>
        <v/>
      </c>
      <c r="H276" s="3"/>
    </row>
    <row r="277" ht="24.0" customHeight="1">
      <c r="A277" s="18" t="str">
        <f t="shared" si="1"/>
        <v/>
      </c>
      <c r="B277" s="18" t="str">
        <f t="shared" si="2"/>
        <v/>
      </c>
      <c r="C277" s="23" t="str">
        <f t="array" ref="C277">IF($H277="","",IFERROR(INDEX('Game Records'!$A:$A,$H277),""))</f>
        <v/>
      </c>
      <c r="D277" s="23" t="str">
        <f t="array" ref="D277">IF($H277="","",IFERROR(INDEX('Game Records'!$U:$U,$H277),""))</f>
        <v/>
      </c>
      <c r="E277" s="23" t="str">
        <f t="array" ref="E277">IF($H277="","",LET(r,$H277,mode,LOWER(INDEX('Game Records'!$D:$D,r)&amp;""),endDate,INDEX('Game Records'!$C:$C,r),IF(mode="estimate",IF(endDate="","Estimate — End Date missing",IF(NOT(ISNUMBER(endDate)),"Estimate — Check End Date",IF(INT(endDate)&gt;=TODAY(),"In Progress — ends "&amp;TEXT(endDate,"mmm d, yyyy"),"Ready to Finalize"))),IF($F277="","No Highlighted Fields","Highlighted Fields Present"))))</f>
        <v/>
      </c>
      <c r="F277" s="23" t="str">
        <f t="array" ref="F277">IF($H277="","",IF(OR(NOT(_xlfn.ISFORMULA(INDEX('Game Records'!$N:$N,$H277))),NOT(_xlfn.ISFORMULA(INDEX('Game Records'!$O:$O,$H277))),NOT(_xlfn.ISFORMULA(INDEX('Game Records'!$P:$P,$H277))),NOT(_xlfn.ISFORMULA(INDEX('Game Records'!$Q:$Q,$H277))),NOT(_xlfn.ISFORMULA(INDEX('Game Records'!$R:$R,$H277))),NOT(_xlfn.ISFORMULA(INDEX('Game Records'!$S:$S,$H277))),NOT(_xlfn.ISFORMULA(INDEX('Game Records'!$T:$T,$H277))),NOT(_xlfn.ISFORMULA(INDEX('Game Records'!$U:$U,$H277))),NOT(_xlfn.ISFORMULA(INDEX('Game Records'!$V:$V,$H277))),NOT(_xlfn.ISFORMULA(INDEX('Game Records'!$W:$W,$H277))),NOT(_xlfn.ISFORMULA(INDEX('Game Records'!$X:$X,$H277))),NOT(_xlfn.ISFORMULA(INDEX('Game Records'!$Y:$Y,$H277))),NOT(_xlfn.ISFORMULA(INDEX('Game Records'!$Z:$Z,$H277)))),"","")&amp;IF(INDEX('Game Records'!$B:$B,$H277)="","Start Date; ","")&amp;IF(INDEX('Game Records'!$C:$C,$H277)="","End Date; ","")&amp;IF(AND(INDEX('Game Records'!$U:$U,$H277)&lt;&gt;"Subscription",INDEX('Game Records'!$U:$U,$H277)&lt;&gt;"Free Game",INDEX('Game Records'!$U:$U,$H277)&lt;&gt;"Disqualified — Free Game",OR(INDEX('Game Records'!$D:$D,$H277)="",LOWER(INDEX('Game Records'!$D:$D,$H277)&amp;"")="n/a")),"Entry Mode; ","")&amp;IF(AND(INDEX('Game Records'!$U:$U,$H277)&lt;&gt;"Subscription",INDEX('Game Records'!$U:$U,$H277)&lt;&gt;"Free Game",INDEX('Game Records'!$U:$U,$H277)&lt;&gt;"Disqualified — Free Game",OR(INDEX('Game Records'!$E:$E,$H277)="",LOWER(INDEX('Game Records'!$E:$E,$H277)&amp;"")="n/a")),"Game Type; ","")&amp;IF(INDEX('Game Records'!$F:$F,$H277)="","Payment Type; ","")&amp;IF(AND(INDEX('Game Records'!$U:$U,$H277)&lt;&gt;"Subscription",INDEX('Game Records'!$U:$U,$H277)&lt;&gt;"Free Game",INDEX('Game Records'!$U:$U,$H277)&lt;&gt;"Disqualified — Free Game",INDEX('Game Records'!$G:$G,$H277)=""),"Gross Pot; ","")&amp;IF(AND(INDEX('Game Records'!$U:$U,$H277)&lt;&gt;"Free Game",INDEX('Game Records'!$U:$U,$H277)&lt;&gt;"Disqualified — Free Game",INDEX('Game Records'!$H:$H,$H277)=""),"Entry Fee; ","")&amp;IF(AND(INDEX('Game Records'!$U:$U,$H277)&lt;&gt;"Subscription",INDEX('Game Records'!$U:$U,$H277)&lt;&gt;"Free Game",INDEX('Game Records'!$U:$U,$H277)&lt;&gt;"Disqualified — Free Game",INDEX('Game Records'!$I:$I,$H277)=""),"Eligible Players; ","")&amp;IF(AND(INDEX('Game Records'!$U:$U,$H277)&lt;&gt;"Subscription",INDEX('Game Records'!$U:$U,$H277)&lt;&gt;"Free Game",INDEX('Game Records'!$U:$U,$H277)&lt;&gt;"Disqualified — Free Game",INDEX('Game Records'!$J:$J,$H277)=""),"Total Players; ","")&amp;IF(AND(LOWER(INDEX('Game Records'!$D:$D,$H277)&amp;"")="finalized",LOWER(INDEX('Game Records'!$L:$L,$H277)&amp;"")&lt;&gt;"yes",INDEX('Game Records'!$U:$U,$H277)&lt;&gt;"Subscription",INDEX('Game Records'!$U:$U,$H277)&lt;&gt;"Free Game",INDEX('Game Records'!$U:$U,$H277)&lt;&gt;"Disqualified — Free Game",INDEX('Game Records'!$K:$K,$H277)=""),"Final Payout; ","")&amp;IF(AND(LOWER(INDEX('Game Records'!$D:$D,$H277)&amp;"")="finalized",INDEX('Game Records'!$U:$U,$H277)&lt;&gt;"Subscription",INDEX('Game Records'!$U:$U,$H277)&lt;&gt;"Free Game",INDEX('Game Records'!$U:$U,$H277)&lt;&gt;"Disqualified — Free Game",OR(INDEX('Game Records'!$L:$L,$H277)="",LOWER(INDEX('Game Records'!$L:$L,$H277)&amp;"")="n/a")),"Disqualified Status; ",""))</f>
        <v/>
      </c>
      <c r="G277" s="23" t="str">
        <f t="array" ref="G277">IF($H277="","",IFERROR(INDEX('Game Records'!$M:$M,$H277),""))</f>
        <v/>
      </c>
      <c r="H277" s="3"/>
    </row>
    <row r="278" ht="24.0" customHeight="1">
      <c r="A278" s="18" t="str">
        <f t="shared" si="1"/>
        <v/>
      </c>
      <c r="B278" s="18" t="str">
        <f t="shared" si="2"/>
        <v/>
      </c>
      <c r="C278" s="23" t="str">
        <f t="array" ref="C278">IF($H278="","",IFERROR(INDEX('Game Records'!$A:$A,$H278),""))</f>
        <v/>
      </c>
      <c r="D278" s="23" t="str">
        <f t="array" ref="D278">IF($H278="","",IFERROR(INDEX('Game Records'!$U:$U,$H278),""))</f>
        <v/>
      </c>
      <c r="E278" s="23" t="str">
        <f t="array" ref="E278">IF($H278="","",LET(r,$H278,mode,LOWER(INDEX('Game Records'!$D:$D,r)&amp;""),endDate,INDEX('Game Records'!$C:$C,r),IF(mode="estimate",IF(endDate="","Estimate — End Date missing",IF(NOT(ISNUMBER(endDate)),"Estimate — Check End Date",IF(INT(endDate)&gt;=TODAY(),"In Progress — ends "&amp;TEXT(endDate,"mmm d, yyyy"),"Ready to Finalize"))),IF($F278="","No Highlighted Fields","Highlighted Fields Present"))))</f>
        <v/>
      </c>
      <c r="F278" s="23" t="str">
        <f t="array" ref="F278">IF($H278="","",IF(OR(NOT(_xlfn.ISFORMULA(INDEX('Game Records'!$N:$N,$H278))),NOT(_xlfn.ISFORMULA(INDEX('Game Records'!$O:$O,$H278))),NOT(_xlfn.ISFORMULA(INDEX('Game Records'!$P:$P,$H278))),NOT(_xlfn.ISFORMULA(INDEX('Game Records'!$Q:$Q,$H278))),NOT(_xlfn.ISFORMULA(INDEX('Game Records'!$R:$R,$H278))),NOT(_xlfn.ISFORMULA(INDEX('Game Records'!$S:$S,$H278))),NOT(_xlfn.ISFORMULA(INDEX('Game Records'!$T:$T,$H278))),NOT(_xlfn.ISFORMULA(INDEX('Game Records'!$U:$U,$H278))),NOT(_xlfn.ISFORMULA(INDEX('Game Records'!$V:$V,$H278))),NOT(_xlfn.ISFORMULA(INDEX('Game Records'!$W:$W,$H278))),NOT(_xlfn.ISFORMULA(INDEX('Game Records'!$X:$X,$H278))),NOT(_xlfn.ISFORMULA(INDEX('Game Records'!$Y:$Y,$H278))),NOT(_xlfn.ISFORMULA(INDEX('Game Records'!$Z:$Z,$H278)))),"","")&amp;IF(INDEX('Game Records'!$B:$B,$H278)="","Start Date; ","")&amp;IF(INDEX('Game Records'!$C:$C,$H278)="","End Date; ","")&amp;IF(AND(INDEX('Game Records'!$U:$U,$H278)&lt;&gt;"Subscription",INDEX('Game Records'!$U:$U,$H278)&lt;&gt;"Free Game",INDEX('Game Records'!$U:$U,$H278)&lt;&gt;"Disqualified — Free Game",OR(INDEX('Game Records'!$D:$D,$H278)="",LOWER(INDEX('Game Records'!$D:$D,$H278)&amp;"")="n/a")),"Entry Mode; ","")&amp;IF(AND(INDEX('Game Records'!$U:$U,$H278)&lt;&gt;"Subscription",INDEX('Game Records'!$U:$U,$H278)&lt;&gt;"Free Game",INDEX('Game Records'!$U:$U,$H278)&lt;&gt;"Disqualified — Free Game",OR(INDEX('Game Records'!$E:$E,$H278)="",LOWER(INDEX('Game Records'!$E:$E,$H278)&amp;"")="n/a")),"Game Type; ","")&amp;IF(INDEX('Game Records'!$F:$F,$H278)="","Payment Type; ","")&amp;IF(AND(INDEX('Game Records'!$U:$U,$H278)&lt;&gt;"Subscription",INDEX('Game Records'!$U:$U,$H278)&lt;&gt;"Free Game",INDEX('Game Records'!$U:$U,$H278)&lt;&gt;"Disqualified — Free Game",INDEX('Game Records'!$G:$G,$H278)=""),"Gross Pot; ","")&amp;IF(AND(INDEX('Game Records'!$U:$U,$H278)&lt;&gt;"Free Game",INDEX('Game Records'!$U:$U,$H278)&lt;&gt;"Disqualified — Free Game",INDEX('Game Records'!$H:$H,$H278)=""),"Entry Fee; ","")&amp;IF(AND(INDEX('Game Records'!$U:$U,$H278)&lt;&gt;"Subscription",INDEX('Game Records'!$U:$U,$H278)&lt;&gt;"Free Game",INDEX('Game Records'!$U:$U,$H278)&lt;&gt;"Disqualified — Free Game",INDEX('Game Records'!$I:$I,$H278)=""),"Eligible Players; ","")&amp;IF(AND(INDEX('Game Records'!$U:$U,$H278)&lt;&gt;"Subscription",INDEX('Game Records'!$U:$U,$H278)&lt;&gt;"Free Game",INDEX('Game Records'!$U:$U,$H278)&lt;&gt;"Disqualified — Free Game",INDEX('Game Records'!$J:$J,$H278)=""),"Total Players; ","")&amp;IF(AND(LOWER(INDEX('Game Records'!$D:$D,$H278)&amp;"")="finalized",LOWER(INDEX('Game Records'!$L:$L,$H278)&amp;"")&lt;&gt;"yes",INDEX('Game Records'!$U:$U,$H278)&lt;&gt;"Subscription",INDEX('Game Records'!$U:$U,$H278)&lt;&gt;"Free Game",INDEX('Game Records'!$U:$U,$H278)&lt;&gt;"Disqualified — Free Game",INDEX('Game Records'!$K:$K,$H278)=""),"Final Payout; ","")&amp;IF(AND(LOWER(INDEX('Game Records'!$D:$D,$H278)&amp;"")="finalized",INDEX('Game Records'!$U:$U,$H278)&lt;&gt;"Subscription",INDEX('Game Records'!$U:$U,$H278)&lt;&gt;"Free Game",INDEX('Game Records'!$U:$U,$H278)&lt;&gt;"Disqualified — Free Game",OR(INDEX('Game Records'!$L:$L,$H278)="",LOWER(INDEX('Game Records'!$L:$L,$H278)&amp;"")="n/a")),"Disqualified Status; ",""))</f>
        <v/>
      </c>
      <c r="G278" s="23" t="str">
        <f t="array" ref="G278">IF($H278="","",IFERROR(INDEX('Game Records'!$M:$M,$H278),""))</f>
        <v/>
      </c>
      <c r="H278" s="3"/>
    </row>
    <row r="279" ht="24.0" customHeight="1">
      <c r="A279" s="18" t="str">
        <f t="shared" si="1"/>
        <v/>
      </c>
      <c r="B279" s="18" t="str">
        <f t="shared" si="2"/>
        <v/>
      </c>
      <c r="C279" s="23" t="str">
        <f t="array" ref="C279">IF($H279="","",IFERROR(INDEX('Game Records'!$A:$A,$H279),""))</f>
        <v/>
      </c>
      <c r="D279" s="23" t="str">
        <f t="array" ref="D279">IF($H279="","",IFERROR(INDEX('Game Records'!$U:$U,$H279),""))</f>
        <v/>
      </c>
      <c r="E279" s="23" t="str">
        <f t="array" ref="E279">IF($H279="","",LET(r,$H279,mode,LOWER(INDEX('Game Records'!$D:$D,r)&amp;""),endDate,INDEX('Game Records'!$C:$C,r),IF(mode="estimate",IF(endDate="","Estimate — End Date missing",IF(NOT(ISNUMBER(endDate)),"Estimate — Check End Date",IF(INT(endDate)&gt;=TODAY(),"In Progress — ends "&amp;TEXT(endDate,"mmm d, yyyy"),"Ready to Finalize"))),IF($F279="","No Highlighted Fields","Highlighted Fields Present"))))</f>
        <v/>
      </c>
      <c r="F279" s="23" t="str">
        <f t="array" ref="F279">IF($H279="","",IF(OR(NOT(_xlfn.ISFORMULA(INDEX('Game Records'!$N:$N,$H279))),NOT(_xlfn.ISFORMULA(INDEX('Game Records'!$O:$O,$H279))),NOT(_xlfn.ISFORMULA(INDEX('Game Records'!$P:$P,$H279))),NOT(_xlfn.ISFORMULA(INDEX('Game Records'!$Q:$Q,$H279))),NOT(_xlfn.ISFORMULA(INDEX('Game Records'!$R:$R,$H279))),NOT(_xlfn.ISFORMULA(INDEX('Game Records'!$S:$S,$H279))),NOT(_xlfn.ISFORMULA(INDEX('Game Records'!$T:$T,$H279))),NOT(_xlfn.ISFORMULA(INDEX('Game Records'!$U:$U,$H279))),NOT(_xlfn.ISFORMULA(INDEX('Game Records'!$V:$V,$H279))),NOT(_xlfn.ISFORMULA(INDEX('Game Records'!$W:$W,$H279))),NOT(_xlfn.ISFORMULA(INDEX('Game Records'!$X:$X,$H279))),NOT(_xlfn.ISFORMULA(INDEX('Game Records'!$Y:$Y,$H279))),NOT(_xlfn.ISFORMULA(INDEX('Game Records'!$Z:$Z,$H279)))),"","")&amp;IF(INDEX('Game Records'!$B:$B,$H279)="","Start Date; ","")&amp;IF(INDEX('Game Records'!$C:$C,$H279)="","End Date; ","")&amp;IF(AND(INDEX('Game Records'!$U:$U,$H279)&lt;&gt;"Subscription",INDEX('Game Records'!$U:$U,$H279)&lt;&gt;"Free Game",INDEX('Game Records'!$U:$U,$H279)&lt;&gt;"Disqualified — Free Game",OR(INDEX('Game Records'!$D:$D,$H279)="",LOWER(INDEX('Game Records'!$D:$D,$H279)&amp;"")="n/a")),"Entry Mode; ","")&amp;IF(AND(INDEX('Game Records'!$U:$U,$H279)&lt;&gt;"Subscription",INDEX('Game Records'!$U:$U,$H279)&lt;&gt;"Free Game",INDEX('Game Records'!$U:$U,$H279)&lt;&gt;"Disqualified — Free Game",OR(INDEX('Game Records'!$E:$E,$H279)="",LOWER(INDEX('Game Records'!$E:$E,$H279)&amp;"")="n/a")),"Game Type; ","")&amp;IF(INDEX('Game Records'!$F:$F,$H279)="","Payment Type; ","")&amp;IF(AND(INDEX('Game Records'!$U:$U,$H279)&lt;&gt;"Subscription",INDEX('Game Records'!$U:$U,$H279)&lt;&gt;"Free Game",INDEX('Game Records'!$U:$U,$H279)&lt;&gt;"Disqualified — Free Game",INDEX('Game Records'!$G:$G,$H279)=""),"Gross Pot; ","")&amp;IF(AND(INDEX('Game Records'!$U:$U,$H279)&lt;&gt;"Free Game",INDEX('Game Records'!$U:$U,$H279)&lt;&gt;"Disqualified — Free Game",INDEX('Game Records'!$H:$H,$H279)=""),"Entry Fee; ","")&amp;IF(AND(INDEX('Game Records'!$U:$U,$H279)&lt;&gt;"Subscription",INDEX('Game Records'!$U:$U,$H279)&lt;&gt;"Free Game",INDEX('Game Records'!$U:$U,$H279)&lt;&gt;"Disqualified — Free Game",INDEX('Game Records'!$I:$I,$H279)=""),"Eligible Players; ","")&amp;IF(AND(INDEX('Game Records'!$U:$U,$H279)&lt;&gt;"Subscription",INDEX('Game Records'!$U:$U,$H279)&lt;&gt;"Free Game",INDEX('Game Records'!$U:$U,$H279)&lt;&gt;"Disqualified — Free Game",INDEX('Game Records'!$J:$J,$H279)=""),"Total Players; ","")&amp;IF(AND(LOWER(INDEX('Game Records'!$D:$D,$H279)&amp;"")="finalized",LOWER(INDEX('Game Records'!$L:$L,$H279)&amp;"")&lt;&gt;"yes",INDEX('Game Records'!$U:$U,$H279)&lt;&gt;"Subscription",INDEX('Game Records'!$U:$U,$H279)&lt;&gt;"Free Game",INDEX('Game Records'!$U:$U,$H279)&lt;&gt;"Disqualified — Free Game",INDEX('Game Records'!$K:$K,$H279)=""),"Final Payout; ","")&amp;IF(AND(LOWER(INDEX('Game Records'!$D:$D,$H279)&amp;"")="finalized",INDEX('Game Records'!$U:$U,$H279)&lt;&gt;"Subscription",INDEX('Game Records'!$U:$U,$H279)&lt;&gt;"Free Game",INDEX('Game Records'!$U:$U,$H279)&lt;&gt;"Disqualified — Free Game",OR(INDEX('Game Records'!$L:$L,$H279)="",LOWER(INDEX('Game Records'!$L:$L,$H279)&amp;"")="n/a")),"Disqualified Status; ",""))</f>
        <v/>
      </c>
      <c r="G279" s="23" t="str">
        <f t="array" ref="G279">IF($H279="","",IFERROR(INDEX('Game Records'!$M:$M,$H279),""))</f>
        <v/>
      </c>
      <c r="H279" s="3"/>
    </row>
    <row r="280" ht="24.0" customHeight="1">
      <c r="A280" s="18" t="str">
        <f t="shared" si="1"/>
        <v/>
      </c>
      <c r="B280" s="18" t="str">
        <f t="shared" si="2"/>
        <v/>
      </c>
      <c r="C280" s="23" t="str">
        <f t="array" ref="C280">IF($H280="","",IFERROR(INDEX('Game Records'!$A:$A,$H280),""))</f>
        <v/>
      </c>
      <c r="D280" s="23" t="str">
        <f t="array" ref="D280">IF($H280="","",IFERROR(INDEX('Game Records'!$U:$U,$H280),""))</f>
        <v/>
      </c>
      <c r="E280" s="23" t="str">
        <f t="array" ref="E280">IF($H280="","",LET(r,$H280,mode,LOWER(INDEX('Game Records'!$D:$D,r)&amp;""),endDate,INDEX('Game Records'!$C:$C,r),IF(mode="estimate",IF(endDate="","Estimate — End Date missing",IF(NOT(ISNUMBER(endDate)),"Estimate — Check End Date",IF(INT(endDate)&gt;=TODAY(),"In Progress — ends "&amp;TEXT(endDate,"mmm d, yyyy"),"Ready to Finalize"))),IF($F280="","No Highlighted Fields","Highlighted Fields Present"))))</f>
        <v/>
      </c>
      <c r="F280" s="23" t="str">
        <f t="array" ref="F280">IF($H280="","",IF(OR(NOT(_xlfn.ISFORMULA(INDEX('Game Records'!$N:$N,$H280))),NOT(_xlfn.ISFORMULA(INDEX('Game Records'!$O:$O,$H280))),NOT(_xlfn.ISFORMULA(INDEX('Game Records'!$P:$P,$H280))),NOT(_xlfn.ISFORMULA(INDEX('Game Records'!$Q:$Q,$H280))),NOT(_xlfn.ISFORMULA(INDEX('Game Records'!$R:$R,$H280))),NOT(_xlfn.ISFORMULA(INDEX('Game Records'!$S:$S,$H280))),NOT(_xlfn.ISFORMULA(INDEX('Game Records'!$T:$T,$H280))),NOT(_xlfn.ISFORMULA(INDEX('Game Records'!$U:$U,$H280))),NOT(_xlfn.ISFORMULA(INDEX('Game Records'!$V:$V,$H280))),NOT(_xlfn.ISFORMULA(INDEX('Game Records'!$W:$W,$H280))),NOT(_xlfn.ISFORMULA(INDEX('Game Records'!$X:$X,$H280))),NOT(_xlfn.ISFORMULA(INDEX('Game Records'!$Y:$Y,$H280))),NOT(_xlfn.ISFORMULA(INDEX('Game Records'!$Z:$Z,$H280)))),"","")&amp;IF(INDEX('Game Records'!$B:$B,$H280)="","Start Date; ","")&amp;IF(INDEX('Game Records'!$C:$C,$H280)="","End Date; ","")&amp;IF(AND(INDEX('Game Records'!$U:$U,$H280)&lt;&gt;"Subscription",INDEX('Game Records'!$U:$U,$H280)&lt;&gt;"Free Game",INDEX('Game Records'!$U:$U,$H280)&lt;&gt;"Disqualified — Free Game",OR(INDEX('Game Records'!$D:$D,$H280)="",LOWER(INDEX('Game Records'!$D:$D,$H280)&amp;"")="n/a")),"Entry Mode; ","")&amp;IF(AND(INDEX('Game Records'!$U:$U,$H280)&lt;&gt;"Subscription",INDEX('Game Records'!$U:$U,$H280)&lt;&gt;"Free Game",INDEX('Game Records'!$U:$U,$H280)&lt;&gt;"Disqualified — Free Game",OR(INDEX('Game Records'!$E:$E,$H280)="",LOWER(INDEX('Game Records'!$E:$E,$H280)&amp;"")="n/a")),"Game Type; ","")&amp;IF(INDEX('Game Records'!$F:$F,$H280)="","Payment Type; ","")&amp;IF(AND(INDEX('Game Records'!$U:$U,$H280)&lt;&gt;"Subscription",INDEX('Game Records'!$U:$U,$H280)&lt;&gt;"Free Game",INDEX('Game Records'!$U:$U,$H280)&lt;&gt;"Disqualified — Free Game",INDEX('Game Records'!$G:$G,$H280)=""),"Gross Pot; ","")&amp;IF(AND(INDEX('Game Records'!$U:$U,$H280)&lt;&gt;"Free Game",INDEX('Game Records'!$U:$U,$H280)&lt;&gt;"Disqualified — Free Game",INDEX('Game Records'!$H:$H,$H280)=""),"Entry Fee; ","")&amp;IF(AND(INDEX('Game Records'!$U:$U,$H280)&lt;&gt;"Subscription",INDEX('Game Records'!$U:$U,$H280)&lt;&gt;"Free Game",INDEX('Game Records'!$U:$U,$H280)&lt;&gt;"Disqualified — Free Game",INDEX('Game Records'!$I:$I,$H280)=""),"Eligible Players; ","")&amp;IF(AND(INDEX('Game Records'!$U:$U,$H280)&lt;&gt;"Subscription",INDEX('Game Records'!$U:$U,$H280)&lt;&gt;"Free Game",INDEX('Game Records'!$U:$U,$H280)&lt;&gt;"Disqualified — Free Game",INDEX('Game Records'!$J:$J,$H280)=""),"Total Players; ","")&amp;IF(AND(LOWER(INDEX('Game Records'!$D:$D,$H280)&amp;"")="finalized",LOWER(INDEX('Game Records'!$L:$L,$H280)&amp;"")&lt;&gt;"yes",INDEX('Game Records'!$U:$U,$H280)&lt;&gt;"Subscription",INDEX('Game Records'!$U:$U,$H280)&lt;&gt;"Free Game",INDEX('Game Records'!$U:$U,$H280)&lt;&gt;"Disqualified — Free Game",INDEX('Game Records'!$K:$K,$H280)=""),"Final Payout; ","")&amp;IF(AND(LOWER(INDEX('Game Records'!$D:$D,$H280)&amp;"")="finalized",INDEX('Game Records'!$U:$U,$H280)&lt;&gt;"Subscription",INDEX('Game Records'!$U:$U,$H280)&lt;&gt;"Free Game",INDEX('Game Records'!$U:$U,$H280)&lt;&gt;"Disqualified — Free Game",OR(INDEX('Game Records'!$L:$L,$H280)="",LOWER(INDEX('Game Records'!$L:$L,$H280)&amp;"")="n/a")),"Disqualified Status; ",""))</f>
        <v/>
      </c>
      <c r="G280" s="23" t="str">
        <f t="array" ref="G280">IF($H280="","",IFERROR(INDEX('Game Records'!$M:$M,$H280),""))</f>
        <v/>
      </c>
      <c r="H280" s="3"/>
    </row>
    <row r="281" ht="24.0" customHeight="1">
      <c r="A281" s="18" t="str">
        <f t="shared" si="1"/>
        <v/>
      </c>
      <c r="B281" s="18" t="str">
        <f t="shared" si="2"/>
        <v/>
      </c>
      <c r="C281" s="23" t="str">
        <f t="array" ref="C281">IF($H281="","",IFERROR(INDEX('Game Records'!$A:$A,$H281),""))</f>
        <v/>
      </c>
      <c r="D281" s="23" t="str">
        <f t="array" ref="D281">IF($H281="","",IFERROR(INDEX('Game Records'!$U:$U,$H281),""))</f>
        <v/>
      </c>
      <c r="E281" s="23" t="str">
        <f t="array" ref="E281">IF($H281="","",LET(r,$H281,mode,LOWER(INDEX('Game Records'!$D:$D,r)&amp;""),endDate,INDEX('Game Records'!$C:$C,r),IF(mode="estimate",IF(endDate="","Estimate — End Date missing",IF(NOT(ISNUMBER(endDate)),"Estimate — Check End Date",IF(INT(endDate)&gt;=TODAY(),"In Progress — ends "&amp;TEXT(endDate,"mmm d, yyyy"),"Ready to Finalize"))),IF($F281="","No Highlighted Fields","Highlighted Fields Present"))))</f>
        <v/>
      </c>
      <c r="F281" s="23" t="str">
        <f t="array" ref="F281">IF($H281="","",IF(OR(NOT(_xlfn.ISFORMULA(INDEX('Game Records'!$N:$N,$H281))),NOT(_xlfn.ISFORMULA(INDEX('Game Records'!$O:$O,$H281))),NOT(_xlfn.ISFORMULA(INDEX('Game Records'!$P:$P,$H281))),NOT(_xlfn.ISFORMULA(INDEX('Game Records'!$Q:$Q,$H281))),NOT(_xlfn.ISFORMULA(INDEX('Game Records'!$R:$R,$H281))),NOT(_xlfn.ISFORMULA(INDEX('Game Records'!$S:$S,$H281))),NOT(_xlfn.ISFORMULA(INDEX('Game Records'!$T:$T,$H281))),NOT(_xlfn.ISFORMULA(INDEX('Game Records'!$U:$U,$H281))),NOT(_xlfn.ISFORMULA(INDEX('Game Records'!$V:$V,$H281))),NOT(_xlfn.ISFORMULA(INDEX('Game Records'!$W:$W,$H281))),NOT(_xlfn.ISFORMULA(INDEX('Game Records'!$X:$X,$H281))),NOT(_xlfn.ISFORMULA(INDEX('Game Records'!$Y:$Y,$H281))),NOT(_xlfn.ISFORMULA(INDEX('Game Records'!$Z:$Z,$H281)))),"","")&amp;IF(INDEX('Game Records'!$B:$B,$H281)="","Start Date; ","")&amp;IF(INDEX('Game Records'!$C:$C,$H281)="","End Date; ","")&amp;IF(AND(INDEX('Game Records'!$U:$U,$H281)&lt;&gt;"Subscription",INDEX('Game Records'!$U:$U,$H281)&lt;&gt;"Free Game",INDEX('Game Records'!$U:$U,$H281)&lt;&gt;"Disqualified — Free Game",OR(INDEX('Game Records'!$D:$D,$H281)="",LOWER(INDEX('Game Records'!$D:$D,$H281)&amp;"")="n/a")),"Entry Mode; ","")&amp;IF(AND(INDEX('Game Records'!$U:$U,$H281)&lt;&gt;"Subscription",INDEX('Game Records'!$U:$U,$H281)&lt;&gt;"Free Game",INDEX('Game Records'!$U:$U,$H281)&lt;&gt;"Disqualified — Free Game",OR(INDEX('Game Records'!$E:$E,$H281)="",LOWER(INDEX('Game Records'!$E:$E,$H281)&amp;"")="n/a")),"Game Type; ","")&amp;IF(INDEX('Game Records'!$F:$F,$H281)="","Payment Type; ","")&amp;IF(AND(INDEX('Game Records'!$U:$U,$H281)&lt;&gt;"Subscription",INDEX('Game Records'!$U:$U,$H281)&lt;&gt;"Free Game",INDEX('Game Records'!$U:$U,$H281)&lt;&gt;"Disqualified — Free Game",INDEX('Game Records'!$G:$G,$H281)=""),"Gross Pot; ","")&amp;IF(AND(INDEX('Game Records'!$U:$U,$H281)&lt;&gt;"Free Game",INDEX('Game Records'!$U:$U,$H281)&lt;&gt;"Disqualified — Free Game",INDEX('Game Records'!$H:$H,$H281)=""),"Entry Fee; ","")&amp;IF(AND(INDEX('Game Records'!$U:$U,$H281)&lt;&gt;"Subscription",INDEX('Game Records'!$U:$U,$H281)&lt;&gt;"Free Game",INDEX('Game Records'!$U:$U,$H281)&lt;&gt;"Disqualified — Free Game",INDEX('Game Records'!$I:$I,$H281)=""),"Eligible Players; ","")&amp;IF(AND(INDEX('Game Records'!$U:$U,$H281)&lt;&gt;"Subscription",INDEX('Game Records'!$U:$U,$H281)&lt;&gt;"Free Game",INDEX('Game Records'!$U:$U,$H281)&lt;&gt;"Disqualified — Free Game",INDEX('Game Records'!$J:$J,$H281)=""),"Total Players; ","")&amp;IF(AND(LOWER(INDEX('Game Records'!$D:$D,$H281)&amp;"")="finalized",LOWER(INDEX('Game Records'!$L:$L,$H281)&amp;"")&lt;&gt;"yes",INDEX('Game Records'!$U:$U,$H281)&lt;&gt;"Subscription",INDEX('Game Records'!$U:$U,$H281)&lt;&gt;"Free Game",INDEX('Game Records'!$U:$U,$H281)&lt;&gt;"Disqualified — Free Game",INDEX('Game Records'!$K:$K,$H281)=""),"Final Payout; ","")&amp;IF(AND(LOWER(INDEX('Game Records'!$D:$D,$H281)&amp;"")="finalized",INDEX('Game Records'!$U:$U,$H281)&lt;&gt;"Subscription",INDEX('Game Records'!$U:$U,$H281)&lt;&gt;"Free Game",INDEX('Game Records'!$U:$U,$H281)&lt;&gt;"Disqualified — Free Game",OR(INDEX('Game Records'!$L:$L,$H281)="",LOWER(INDEX('Game Records'!$L:$L,$H281)&amp;"")="n/a")),"Disqualified Status; ",""))</f>
        <v/>
      </c>
      <c r="G281" s="23" t="str">
        <f t="array" ref="G281">IF($H281="","",IFERROR(INDEX('Game Records'!$M:$M,$H281),""))</f>
        <v/>
      </c>
      <c r="H281" s="3"/>
    </row>
    <row r="282" ht="24.0" customHeight="1">
      <c r="A282" s="18" t="str">
        <f t="shared" si="1"/>
        <v/>
      </c>
      <c r="B282" s="18" t="str">
        <f t="shared" si="2"/>
        <v/>
      </c>
      <c r="C282" s="23" t="str">
        <f t="array" ref="C282">IF($H282="","",IFERROR(INDEX('Game Records'!$A:$A,$H282),""))</f>
        <v/>
      </c>
      <c r="D282" s="23" t="str">
        <f t="array" ref="D282">IF($H282="","",IFERROR(INDEX('Game Records'!$U:$U,$H282),""))</f>
        <v/>
      </c>
      <c r="E282" s="23" t="str">
        <f t="array" ref="E282">IF($H282="","",LET(r,$H282,mode,LOWER(INDEX('Game Records'!$D:$D,r)&amp;""),endDate,INDEX('Game Records'!$C:$C,r),IF(mode="estimate",IF(endDate="","Estimate — End Date missing",IF(NOT(ISNUMBER(endDate)),"Estimate — Check End Date",IF(INT(endDate)&gt;=TODAY(),"In Progress — ends "&amp;TEXT(endDate,"mmm d, yyyy"),"Ready to Finalize"))),IF($F282="","No Highlighted Fields","Highlighted Fields Present"))))</f>
        <v/>
      </c>
      <c r="F282" s="23" t="str">
        <f t="array" ref="F282">IF($H282="","",IF(OR(NOT(_xlfn.ISFORMULA(INDEX('Game Records'!$N:$N,$H282))),NOT(_xlfn.ISFORMULA(INDEX('Game Records'!$O:$O,$H282))),NOT(_xlfn.ISFORMULA(INDEX('Game Records'!$P:$P,$H282))),NOT(_xlfn.ISFORMULA(INDEX('Game Records'!$Q:$Q,$H282))),NOT(_xlfn.ISFORMULA(INDEX('Game Records'!$R:$R,$H282))),NOT(_xlfn.ISFORMULA(INDEX('Game Records'!$S:$S,$H282))),NOT(_xlfn.ISFORMULA(INDEX('Game Records'!$T:$T,$H282))),NOT(_xlfn.ISFORMULA(INDEX('Game Records'!$U:$U,$H282))),NOT(_xlfn.ISFORMULA(INDEX('Game Records'!$V:$V,$H282))),NOT(_xlfn.ISFORMULA(INDEX('Game Records'!$W:$W,$H282))),NOT(_xlfn.ISFORMULA(INDEX('Game Records'!$X:$X,$H282))),NOT(_xlfn.ISFORMULA(INDEX('Game Records'!$Y:$Y,$H282))),NOT(_xlfn.ISFORMULA(INDEX('Game Records'!$Z:$Z,$H282)))),"","")&amp;IF(INDEX('Game Records'!$B:$B,$H282)="","Start Date; ","")&amp;IF(INDEX('Game Records'!$C:$C,$H282)="","End Date; ","")&amp;IF(AND(INDEX('Game Records'!$U:$U,$H282)&lt;&gt;"Subscription",INDEX('Game Records'!$U:$U,$H282)&lt;&gt;"Free Game",INDEX('Game Records'!$U:$U,$H282)&lt;&gt;"Disqualified — Free Game",OR(INDEX('Game Records'!$D:$D,$H282)="",LOWER(INDEX('Game Records'!$D:$D,$H282)&amp;"")="n/a")),"Entry Mode; ","")&amp;IF(AND(INDEX('Game Records'!$U:$U,$H282)&lt;&gt;"Subscription",INDEX('Game Records'!$U:$U,$H282)&lt;&gt;"Free Game",INDEX('Game Records'!$U:$U,$H282)&lt;&gt;"Disqualified — Free Game",OR(INDEX('Game Records'!$E:$E,$H282)="",LOWER(INDEX('Game Records'!$E:$E,$H282)&amp;"")="n/a")),"Game Type; ","")&amp;IF(INDEX('Game Records'!$F:$F,$H282)="","Payment Type; ","")&amp;IF(AND(INDEX('Game Records'!$U:$U,$H282)&lt;&gt;"Subscription",INDEX('Game Records'!$U:$U,$H282)&lt;&gt;"Free Game",INDEX('Game Records'!$U:$U,$H282)&lt;&gt;"Disqualified — Free Game",INDEX('Game Records'!$G:$G,$H282)=""),"Gross Pot; ","")&amp;IF(AND(INDEX('Game Records'!$U:$U,$H282)&lt;&gt;"Free Game",INDEX('Game Records'!$U:$U,$H282)&lt;&gt;"Disqualified — Free Game",INDEX('Game Records'!$H:$H,$H282)=""),"Entry Fee; ","")&amp;IF(AND(INDEX('Game Records'!$U:$U,$H282)&lt;&gt;"Subscription",INDEX('Game Records'!$U:$U,$H282)&lt;&gt;"Free Game",INDEX('Game Records'!$U:$U,$H282)&lt;&gt;"Disqualified — Free Game",INDEX('Game Records'!$I:$I,$H282)=""),"Eligible Players; ","")&amp;IF(AND(INDEX('Game Records'!$U:$U,$H282)&lt;&gt;"Subscription",INDEX('Game Records'!$U:$U,$H282)&lt;&gt;"Free Game",INDEX('Game Records'!$U:$U,$H282)&lt;&gt;"Disqualified — Free Game",INDEX('Game Records'!$J:$J,$H282)=""),"Total Players; ","")&amp;IF(AND(LOWER(INDEX('Game Records'!$D:$D,$H282)&amp;"")="finalized",LOWER(INDEX('Game Records'!$L:$L,$H282)&amp;"")&lt;&gt;"yes",INDEX('Game Records'!$U:$U,$H282)&lt;&gt;"Subscription",INDEX('Game Records'!$U:$U,$H282)&lt;&gt;"Free Game",INDEX('Game Records'!$U:$U,$H282)&lt;&gt;"Disqualified — Free Game",INDEX('Game Records'!$K:$K,$H282)=""),"Final Payout; ","")&amp;IF(AND(LOWER(INDEX('Game Records'!$D:$D,$H282)&amp;"")="finalized",INDEX('Game Records'!$U:$U,$H282)&lt;&gt;"Subscription",INDEX('Game Records'!$U:$U,$H282)&lt;&gt;"Free Game",INDEX('Game Records'!$U:$U,$H282)&lt;&gt;"Disqualified — Free Game",OR(INDEX('Game Records'!$L:$L,$H282)="",LOWER(INDEX('Game Records'!$L:$L,$H282)&amp;"")="n/a")),"Disqualified Status; ",""))</f>
        <v/>
      </c>
      <c r="G282" s="23" t="str">
        <f t="array" ref="G282">IF($H282="","",IFERROR(INDEX('Game Records'!$M:$M,$H282),""))</f>
        <v/>
      </c>
      <c r="H282" s="3"/>
    </row>
    <row r="283" ht="24.0" customHeight="1">
      <c r="A283" s="18" t="str">
        <f t="shared" si="1"/>
        <v/>
      </c>
      <c r="B283" s="18" t="str">
        <f t="shared" si="2"/>
        <v/>
      </c>
      <c r="C283" s="23" t="str">
        <f t="array" ref="C283">IF($H283="","",IFERROR(INDEX('Game Records'!$A:$A,$H283),""))</f>
        <v/>
      </c>
      <c r="D283" s="23" t="str">
        <f t="array" ref="D283">IF($H283="","",IFERROR(INDEX('Game Records'!$U:$U,$H283),""))</f>
        <v/>
      </c>
      <c r="E283" s="23" t="str">
        <f t="array" ref="E283">IF($H283="","",LET(r,$H283,mode,LOWER(INDEX('Game Records'!$D:$D,r)&amp;""),endDate,INDEX('Game Records'!$C:$C,r),IF(mode="estimate",IF(endDate="","Estimate — End Date missing",IF(NOT(ISNUMBER(endDate)),"Estimate — Check End Date",IF(INT(endDate)&gt;=TODAY(),"In Progress — ends "&amp;TEXT(endDate,"mmm d, yyyy"),"Ready to Finalize"))),IF($F283="","No Highlighted Fields","Highlighted Fields Present"))))</f>
        <v/>
      </c>
      <c r="F283" s="23" t="str">
        <f t="array" ref="F283">IF($H283="","",IF(OR(NOT(_xlfn.ISFORMULA(INDEX('Game Records'!$N:$N,$H283))),NOT(_xlfn.ISFORMULA(INDEX('Game Records'!$O:$O,$H283))),NOT(_xlfn.ISFORMULA(INDEX('Game Records'!$P:$P,$H283))),NOT(_xlfn.ISFORMULA(INDEX('Game Records'!$Q:$Q,$H283))),NOT(_xlfn.ISFORMULA(INDEX('Game Records'!$R:$R,$H283))),NOT(_xlfn.ISFORMULA(INDEX('Game Records'!$S:$S,$H283))),NOT(_xlfn.ISFORMULA(INDEX('Game Records'!$T:$T,$H283))),NOT(_xlfn.ISFORMULA(INDEX('Game Records'!$U:$U,$H283))),NOT(_xlfn.ISFORMULA(INDEX('Game Records'!$V:$V,$H283))),NOT(_xlfn.ISFORMULA(INDEX('Game Records'!$W:$W,$H283))),NOT(_xlfn.ISFORMULA(INDEX('Game Records'!$X:$X,$H283))),NOT(_xlfn.ISFORMULA(INDEX('Game Records'!$Y:$Y,$H283))),NOT(_xlfn.ISFORMULA(INDEX('Game Records'!$Z:$Z,$H283)))),"","")&amp;IF(INDEX('Game Records'!$B:$B,$H283)="","Start Date; ","")&amp;IF(INDEX('Game Records'!$C:$C,$H283)="","End Date; ","")&amp;IF(AND(INDEX('Game Records'!$U:$U,$H283)&lt;&gt;"Subscription",INDEX('Game Records'!$U:$U,$H283)&lt;&gt;"Free Game",INDEX('Game Records'!$U:$U,$H283)&lt;&gt;"Disqualified — Free Game",OR(INDEX('Game Records'!$D:$D,$H283)="",LOWER(INDEX('Game Records'!$D:$D,$H283)&amp;"")="n/a")),"Entry Mode; ","")&amp;IF(AND(INDEX('Game Records'!$U:$U,$H283)&lt;&gt;"Subscription",INDEX('Game Records'!$U:$U,$H283)&lt;&gt;"Free Game",INDEX('Game Records'!$U:$U,$H283)&lt;&gt;"Disqualified — Free Game",OR(INDEX('Game Records'!$E:$E,$H283)="",LOWER(INDEX('Game Records'!$E:$E,$H283)&amp;"")="n/a")),"Game Type; ","")&amp;IF(INDEX('Game Records'!$F:$F,$H283)="","Payment Type; ","")&amp;IF(AND(INDEX('Game Records'!$U:$U,$H283)&lt;&gt;"Subscription",INDEX('Game Records'!$U:$U,$H283)&lt;&gt;"Free Game",INDEX('Game Records'!$U:$U,$H283)&lt;&gt;"Disqualified — Free Game",INDEX('Game Records'!$G:$G,$H283)=""),"Gross Pot; ","")&amp;IF(AND(INDEX('Game Records'!$U:$U,$H283)&lt;&gt;"Free Game",INDEX('Game Records'!$U:$U,$H283)&lt;&gt;"Disqualified — Free Game",INDEX('Game Records'!$H:$H,$H283)=""),"Entry Fee; ","")&amp;IF(AND(INDEX('Game Records'!$U:$U,$H283)&lt;&gt;"Subscription",INDEX('Game Records'!$U:$U,$H283)&lt;&gt;"Free Game",INDEX('Game Records'!$U:$U,$H283)&lt;&gt;"Disqualified — Free Game",INDEX('Game Records'!$I:$I,$H283)=""),"Eligible Players; ","")&amp;IF(AND(INDEX('Game Records'!$U:$U,$H283)&lt;&gt;"Subscription",INDEX('Game Records'!$U:$U,$H283)&lt;&gt;"Free Game",INDEX('Game Records'!$U:$U,$H283)&lt;&gt;"Disqualified — Free Game",INDEX('Game Records'!$J:$J,$H283)=""),"Total Players; ","")&amp;IF(AND(LOWER(INDEX('Game Records'!$D:$D,$H283)&amp;"")="finalized",LOWER(INDEX('Game Records'!$L:$L,$H283)&amp;"")&lt;&gt;"yes",INDEX('Game Records'!$U:$U,$H283)&lt;&gt;"Subscription",INDEX('Game Records'!$U:$U,$H283)&lt;&gt;"Free Game",INDEX('Game Records'!$U:$U,$H283)&lt;&gt;"Disqualified — Free Game",INDEX('Game Records'!$K:$K,$H283)=""),"Final Payout; ","")&amp;IF(AND(LOWER(INDEX('Game Records'!$D:$D,$H283)&amp;"")="finalized",INDEX('Game Records'!$U:$U,$H283)&lt;&gt;"Subscription",INDEX('Game Records'!$U:$U,$H283)&lt;&gt;"Free Game",INDEX('Game Records'!$U:$U,$H283)&lt;&gt;"Disqualified — Free Game",OR(INDEX('Game Records'!$L:$L,$H283)="",LOWER(INDEX('Game Records'!$L:$L,$H283)&amp;"")="n/a")),"Disqualified Status; ",""))</f>
        <v/>
      </c>
      <c r="G283" s="23" t="str">
        <f t="array" ref="G283">IF($H283="","",IFERROR(INDEX('Game Records'!$M:$M,$H283),""))</f>
        <v/>
      </c>
      <c r="H283" s="3"/>
    </row>
    <row r="284" ht="24.0" customHeight="1">
      <c r="A284" s="18" t="str">
        <f t="shared" si="1"/>
        <v/>
      </c>
      <c r="B284" s="18" t="str">
        <f t="shared" si="2"/>
        <v/>
      </c>
      <c r="C284" s="23" t="str">
        <f t="array" ref="C284">IF($H284="","",IFERROR(INDEX('Game Records'!$A:$A,$H284),""))</f>
        <v/>
      </c>
      <c r="D284" s="23" t="str">
        <f t="array" ref="D284">IF($H284="","",IFERROR(INDEX('Game Records'!$U:$U,$H284),""))</f>
        <v/>
      </c>
      <c r="E284" s="23" t="str">
        <f t="array" ref="E284">IF($H284="","",LET(r,$H284,mode,LOWER(INDEX('Game Records'!$D:$D,r)&amp;""),endDate,INDEX('Game Records'!$C:$C,r),IF(mode="estimate",IF(endDate="","Estimate — End Date missing",IF(NOT(ISNUMBER(endDate)),"Estimate — Check End Date",IF(INT(endDate)&gt;=TODAY(),"In Progress — ends "&amp;TEXT(endDate,"mmm d, yyyy"),"Ready to Finalize"))),IF($F284="","No Highlighted Fields","Highlighted Fields Present"))))</f>
        <v/>
      </c>
      <c r="F284" s="23" t="str">
        <f t="array" ref="F284">IF($H284="","",IF(OR(NOT(_xlfn.ISFORMULA(INDEX('Game Records'!$N:$N,$H284))),NOT(_xlfn.ISFORMULA(INDEX('Game Records'!$O:$O,$H284))),NOT(_xlfn.ISFORMULA(INDEX('Game Records'!$P:$P,$H284))),NOT(_xlfn.ISFORMULA(INDEX('Game Records'!$Q:$Q,$H284))),NOT(_xlfn.ISFORMULA(INDEX('Game Records'!$R:$R,$H284))),NOT(_xlfn.ISFORMULA(INDEX('Game Records'!$S:$S,$H284))),NOT(_xlfn.ISFORMULA(INDEX('Game Records'!$T:$T,$H284))),NOT(_xlfn.ISFORMULA(INDEX('Game Records'!$U:$U,$H284))),NOT(_xlfn.ISFORMULA(INDEX('Game Records'!$V:$V,$H284))),NOT(_xlfn.ISFORMULA(INDEX('Game Records'!$W:$W,$H284))),NOT(_xlfn.ISFORMULA(INDEX('Game Records'!$X:$X,$H284))),NOT(_xlfn.ISFORMULA(INDEX('Game Records'!$Y:$Y,$H284))),NOT(_xlfn.ISFORMULA(INDEX('Game Records'!$Z:$Z,$H284)))),"","")&amp;IF(INDEX('Game Records'!$B:$B,$H284)="","Start Date; ","")&amp;IF(INDEX('Game Records'!$C:$C,$H284)="","End Date; ","")&amp;IF(AND(INDEX('Game Records'!$U:$U,$H284)&lt;&gt;"Subscription",INDEX('Game Records'!$U:$U,$H284)&lt;&gt;"Free Game",INDEX('Game Records'!$U:$U,$H284)&lt;&gt;"Disqualified — Free Game",OR(INDEX('Game Records'!$D:$D,$H284)="",LOWER(INDEX('Game Records'!$D:$D,$H284)&amp;"")="n/a")),"Entry Mode; ","")&amp;IF(AND(INDEX('Game Records'!$U:$U,$H284)&lt;&gt;"Subscription",INDEX('Game Records'!$U:$U,$H284)&lt;&gt;"Free Game",INDEX('Game Records'!$U:$U,$H284)&lt;&gt;"Disqualified — Free Game",OR(INDEX('Game Records'!$E:$E,$H284)="",LOWER(INDEX('Game Records'!$E:$E,$H284)&amp;"")="n/a")),"Game Type; ","")&amp;IF(INDEX('Game Records'!$F:$F,$H284)="","Payment Type; ","")&amp;IF(AND(INDEX('Game Records'!$U:$U,$H284)&lt;&gt;"Subscription",INDEX('Game Records'!$U:$U,$H284)&lt;&gt;"Free Game",INDEX('Game Records'!$U:$U,$H284)&lt;&gt;"Disqualified — Free Game",INDEX('Game Records'!$G:$G,$H284)=""),"Gross Pot; ","")&amp;IF(AND(INDEX('Game Records'!$U:$U,$H284)&lt;&gt;"Free Game",INDEX('Game Records'!$U:$U,$H284)&lt;&gt;"Disqualified — Free Game",INDEX('Game Records'!$H:$H,$H284)=""),"Entry Fee; ","")&amp;IF(AND(INDEX('Game Records'!$U:$U,$H284)&lt;&gt;"Subscription",INDEX('Game Records'!$U:$U,$H284)&lt;&gt;"Free Game",INDEX('Game Records'!$U:$U,$H284)&lt;&gt;"Disqualified — Free Game",INDEX('Game Records'!$I:$I,$H284)=""),"Eligible Players; ","")&amp;IF(AND(INDEX('Game Records'!$U:$U,$H284)&lt;&gt;"Subscription",INDEX('Game Records'!$U:$U,$H284)&lt;&gt;"Free Game",INDEX('Game Records'!$U:$U,$H284)&lt;&gt;"Disqualified — Free Game",INDEX('Game Records'!$J:$J,$H284)=""),"Total Players; ","")&amp;IF(AND(LOWER(INDEX('Game Records'!$D:$D,$H284)&amp;"")="finalized",LOWER(INDEX('Game Records'!$L:$L,$H284)&amp;"")&lt;&gt;"yes",INDEX('Game Records'!$U:$U,$H284)&lt;&gt;"Subscription",INDEX('Game Records'!$U:$U,$H284)&lt;&gt;"Free Game",INDEX('Game Records'!$U:$U,$H284)&lt;&gt;"Disqualified — Free Game",INDEX('Game Records'!$K:$K,$H284)=""),"Final Payout; ","")&amp;IF(AND(LOWER(INDEX('Game Records'!$D:$D,$H284)&amp;"")="finalized",INDEX('Game Records'!$U:$U,$H284)&lt;&gt;"Subscription",INDEX('Game Records'!$U:$U,$H284)&lt;&gt;"Free Game",INDEX('Game Records'!$U:$U,$H284)&lt;&gt;"Disqualified — Free Game",OR(INDEX('Game Records'!$L:$L,$H284)="",LOWER(INDEX('Game Records'!$L:$L,$H284)&amp;"")="n/a")),"Disqualified Status; ",""))</f>
        <v/>
      </c>
      <c r="G284" s="23" t="str">
        <f t="array" ref="G284">IF($H284="","",IFERROR(INDEX('Game Records'!$M:$M,$H284),""))</f>
        <v/>
      </c>
      <c r="H284" s="3"/>
    </row>
    <row r="285" ht="24.0" customHeight="1">
      <c r="A285" s="18" t="str">
        <f t="shared" si="1"/>
        <v/>
      </c>
      <c r="B285" s="18" t="str">
        <f t="shared" si="2"/>
        <v/>
      </c>
      <c r="C285" s="23" t="str">
        <f t="array" ref="C285">IF($H285="","",IFERROR(INDEX('Game Records'!$A:$A,$H285),""))</f>
        <v/>
      </c>
      <c r="D285" s="23" t="str">
        <f t="array" ref="D285">IF($H285="","",IFERROR(INDEX('Game Records'!$U:$U,$H285),""))</f>
        <v/>
      </c>
      <c r="E285" s="23" t="str">
        <f t="array" ref="E285">IF($H285="","",LET(r,$H285,mode,LOWER(INDEX('Game Records'!$D:$D,r)&amp;""),endDate,INDEX('Game Records'!$C:$C,r),IF(mode="estimate",IF(endDate="","Estimate — End Date missing",IF(NOT(ISNUMBER(endDate)),"Estimate — Check End Date",IF(INT(endDate)&gt;=TODAY(),"In Progress — ends "&amp;TEXT(endDate,"mmm d, yyyy"),"Ready to Finalize"))),IF($F285="","No Highlighted Fields","Highlighted Fields Present"))))</f>
        <v/>
      </c>
      <c r="F285" s="23" t="str">
        <f t="array" ref="F285">IF($H285="","",IF(OR(NOT(_xlfn.ISFORMULA(INDEX('Game Records'!$N:$N,$H285))),NOT(_xlfn.ISFORMULA(INDEX('Game Records'!$O:$O,$H285))),NOT(_xlfn.ISFORMULA(INDEX('Game Records'!$P:$P,$H285))),NOT(_xlfn.ISFORMULA(INDEX('Game Records'!$Q:$Q,$H285))),NOT(_xlfn.ISFORMULA(INDEX('Game Records'!$R:$R,$H285))),NOT(_xlfn.ISFORMULA(INDEX('Game Records'!$S:$S,$H285))),NOT(_xlfn.ISFORMULA(INDEX('Game Records'!$T:$T,$H285))),NOT(_xlfn.ISFORMULA(INDEX('Game Records'!$U:$U,$H285))),NOT(_xlfn.ISFORMULA(INDEX('Game Records'!$V:$V,$H285))),NOT(_xlfn.ISFORMULA(INDEX('Game Records'!$W:$W,$H285))),NOT(_xlfn.ISFORMULA(INDEX('Game Records'!$X:$X,$H285))),NOT(_xlfn.ISFORMULA(INDEX('Game Records'!$Y:$Y,$H285))),NOT(_xlfn.ISFORMULA(INDEX('Game Records'!$Z:$Z,$H285)))),"","")&amp;IF(INDEX('Game Records'!$B:$B,$H285)="","Start Date; ","")&amp;IF(INDEX('Game Records'!$C:$C,$H285)="","End Date; ","")&amp;IF(AND(INDEX('Game Records'!$U:$U,$H285)&lt;&gt;"Subscription",INDEX('Game Records'!$U:$U,$H285)&lt;&gt;"Free Game",INDEX('Game Records'!$U:$U,$H285)&lt;&gt;"Disqualified — Free Game",OR(INDEX('Game Records'!$D:$D,$H285)="",LOWER(INDEX('Game Records'!$D:$D,$H285)&amp;"")="n/a")),"Entry Mode; ","")&amp;IF(AND(INDEX('Game Records'!$U:$U,$H285)&lt;&gt;"Subscription",INDEX('Game Records'!$U:$U,$H285)&lt;&gt;"Free Game",INDEX('Game Records'!$U:$U,$H285)&lt;&gt;"Disqualified — Free Game",OR(INDEX('Game Records'!$E:$E,$H285)="",LOWER(INDEX('Game Records'!$E:$E,$H285)&amp;"")="n/a")),"Game Type; ","")&amp;IF(INDEX('Game Records'!$F:$F,$H285)="","Payment Type; ","")&amp;IF(AND(INDEX('Game Records'!$U:$U,$H285)&lt;&gt;"Subscription",INDEX('Game Records'!$U:$U,$H285)&lt;&gt;"Free Game",INDEX('Game Records'!$U:$U,$H285)&lt;&gt;"Disqualified — Free Game",INDEX('Game Records'!$G:$G,$H285)=""),"Gross Pot; ","")&amp;IF(AND(INDEX('Game Records'!$U:$U,$H285)&lt;&gt;"Free Game",INDEX('Game Records'!$U:$U,$H285)&lt;&gt;"Disqualified — Free Game",INDEX('Game Records'!$H:$H,$H285)=""),"Entry Fee; ","")&amp;IF(AND(INDEX('Game Records'!$U:$U,$H285)&lt;&gt;"Subscription",INDEX('Game Records'!$U:$U,$H285)&lt;&gt;"Free Game",INDEX('Game Records'!$U:$U,$H285)&lt;&gt;"Disqualified — Free Game",INDEX('Game Records'!$I:$I,$H285)=""),"Eligible Players; ","")&amp;IF(AND(INDEX('Game Records'!$U:$U,$H285)&lt;&gt;"Subscription",INDEX('Game Records'!$U:$U,$H285)&lt;&gt;"Free Game",INDEX('Game Records'!$U:$U,$H285)&lt;&gt;"Disqualified — Free Game",INDEX('Game Records'!$J:$J,$H285)=""),"Total Players; ","")&amp;IF(AND(LOWER(INDEX('Game Records'!$D:$D,$H285)&amp;"")="finalized",LOWER(INDEX('Game Records'!$L:$L,$H285)&amp;"")&lt;&gt;"yes",INDEX('Game Records'!$U:$U,$H285)&lt;&gt;"Subscription",INDEX('Game Records'!$U:$U,$H285)&lt;&gt;"Free Game",INDEX('Game Records'!$U:$U,$H285)&lt;&gt;"Disqualified — Free Game",INDEX('Game Records'!$K:$K,$H285)=""),"Final Payout; ","")&amp;IF(AND(LOWER(INDEX('Game Records'!$D:$D,$H285)&amp;"")="finalized",INDEX('Game Records'!$U:$U,$H285)&lt;&gt;"Subscription",INDEX('Game Records'!$U:$U,$H285)&lt;&gt;"Free Game",INDEX('Game Records'!$U:$U,$H285)&lt;&gt;"Disqualified — Free Game",OR(INDEX('Game Records'!$L:$L,$H285)="",LOWER(INDEX('Game Records'!$L:$L,$H285)&amp;"")="n/a")),"Disqualified Status; ",""))</f>
        <v/>
      </c>
      <c r="G285" s="23" t="str">
        <f t="array" ref="G285">IF($H285="","",IFERROR(INDEX('Game Records'!$M:$M,$H285),""))</f>
        <v/>
      </c>
      <c r="H285" s="3"/>
    </row>
    <row r="286" ht="24.0" customHeight="1">
      <c r="A286" s="18" t="str">
        <f t="shared" si="1"/>
        <v/>
      </c>
      <c r="B286" s="18" t="str">
        <f t="shared" si="2"/>
        <v/>
      </c>
      <c r="C286" s="23" t="str">
        <f t="array" ref="C286">IF($H286="","",IFERROR(INDEX('Game Records'!$A:$A,$H286),""))</f>
        <v/>
      </c>
      <c r="D286" s="23" t="str">
        <f t="array" ref="D286">IF($H286="","",IFERROR(INDEX('Game Records'!$U:$U,$H286),""))</f>
        <v/>
      </c>
      <c r="E286" s="23" t="str">
        <f t="array" ref="E286">IF($H286="","",LET(r,$H286,mode,LOWER(INDEX('Game Records'!$D:$D,r)&amp;""),endDate,INDEX('Game Records'!$C:$C,r),IF(mode="estimate",IF(endDate="","Estimate — End Date missing",IF(NOT(ISNUMBER(endDate)),"Estimate — Check End Date",IF(INT(endDate)&gt;=TODAY(),"In Progress — ends "&amp;TEXT(endDate,"mmm d, yyyy"),"Ready to Finalize"))),IF($F286="","No Highlighted Fields","Highlighted Fields Present"))))</f>
        <v/>
      </c>
      <c r="F286" s="23" t="str">
        <f t="array" ref="F286">IF($H286="","",IF(OR(NOT(_xlfn.ISFORMULA(INDEX('Game Records'!$N:$N,$H286))),NOT(_xlfn.ISFORMULA(INDEX('Game Records'!$O:$O,$H286))),NOT(_xlfn.ISFORMULA(INDEX('Game Records'!$P:$P,$H286))),NOT(_xlfn.ISFORMULA(INDEX('Game Records'!$Q:$Q,$H286))),NOT(_xlfn.ISFORMULA(INDEX('Game Records'!$R:$R,$H286))),NOT(_xlfn.ISFORMULA(INDEX('Game Records'!$S:$S,$H286))),NOT(_xlfn.ISFORMULA(INDEX('Game Records'!$T:$T,$H286))),NOT(_xlfn.ISFORMULA(INDEX('Game Records'!$U:$U,$H286))),NOT(_xlfn.ISFORMULA(INDEX('Game Records'!$V:$V,$H286))),NOT(_xlfn.ISFORMULA(INDEX('Game Records'!$W:$W,$H286))),NOT(_xlfn.ISFORMULA(INDEX('Game Records'!$X:$X,$H286))),NOT(_xlfn.ISFORMULA(INDEX('Game Records'!$Y:$Y,$H286))),NOT(_xlfn.ISFORMULA(INDEX('Game Records'!$Z:$Z,$H286)))),"","")&amp;IF(INDEX('Game Records'!$B:$B,$H286)="","Start Date; ","")&amp;IF(INDEX('Game Records'!$C:$C,$H286)="","End Date; ","")&amp;IF(AND(INDEX('Game Records'!$U:$U,$H286)&lt;&gt;"Subscription",INDEX('Game Records'!$U:$U,$H286)&lt;&gt;"Free Game",INDEX('Game Records'!$U:$U,$H286)&lt;&gt;"Disqualified — Free Game",OR(INDEX('Game Records'!$D:$D,$H286)="",LOWER(INDEX('Game Records'!$D:$D,$H286)&amp;"")="n/a")),"Entry Mode; ","")&amp;IF(AND(INDEX('Game Records'!$U:$U,$H286)&lt;&gt;"Subscription",INDEX('Game Records'!$U:$U,$H286)&lt;&gt;"Free Game",INDEX('Game Records'!$U:$U,$H286)&lt;&gt;"Disqualified — Free Game",OR(INDEX('Game Records'!$E:$E,$H286)="",LOWER(INDEX('Game Records'!$E:$E,$H286)&amp;"")="n/a")),"Game Type; ","")&amp;IF(INDEX('Game Records'!$F:$F,$H286)="","Payment Type; ","")&amp;IF(AND(INDEX('Game Records'!$U:$U,$H286)&lt;&gt;"Subscription",INDEX('Game Records'!$U:$U,$H286)&lt;&gt;"Free Game",INDEX('Game Records'!$U:$U,$H286)&lt;&gt;"Disqualified — Free Game",INDEX('Game Records'!$G:$G,$H286)=""),"Gross Pot; ","")&amp;IF(AND(INDEX('Game Records'!$U:$U,$H286)&lt;&gt;"Free Game",INDEX('Game Records'!$U:$U,$H286)&lt;&gt;"Disqualified — Free Game",INDEX('Game Records'!$H:$H,$H286)=""),"Entry Fee; ","")&amp;IF(AND(INDEX('Game Records'!$U:$U,$H286)&lt;&gt;"Subscription",INDEX('Game Records'!$U:$U,$H286)&lt;&gt;"Free Game",INDEX('Game Records'!$U:$U,$H286)&lt;&gt;"Disqualified — Free Game",INDEX('Game Records'!$I:$I,$H286)=""),"Eligible Players; ","")&amp;IF(AND(INDEX('Game Records'!$U:$U,$H286)&lt;&gt;"Subscription",INDEX('Game Records'!$U:$U,$H286)&lt;&gt;"Free Game",INDEX('Game Records'!$U:$U,$H286)&lt;&gt;"Disqualified — Free Game",INDEX('Game Records'!$J:$J,$H286)=""),"Total Players; ","")&amp;IF(AND(LOWER(INDEX('Game Records'!$D:$D,$H286)&amp;"")="finalized",LOWER(INDEX('Game Records'!$L:$L,$H286)&amp;"")&lt;&gt;"yes",INDEX('Game Records'!$U:$U,$H286)&lt;&gt;"Subscription",INDEX('Game Records'!$U:$U,$H286)&lt;&gt;"Free Game",INDEX('Game Records'!$U:$U,$H286)&lt;&gt;"Disqualified — Free Game",INDEX('Game Records'!$K:$K,$H286)=""),"Final Payout; ","")&amp;IF(AND(LOWER(INDEX('Game Records'!$D:$D,$H286)&amp;"")="finalized",INDEX('Game Records'!$U:$U,$H286)&lt;&gt;"Subscription",INDEX('Game Records'!$U:$U,$H286)&lt;&gt;"Free Game",INDEX('Game Records'!$U:$U,$H286)&lt;&gt;"Disqualified — Free Game",OR(INDEX('Game Records'!$L:$L,$H286)="",LOWER(INDEX('Game Records'!$L:$L,$H286)&amp;"")="n/a")),"Disqualified Status; ",""))</f>
        <v/>
      </c>
      <c r="G286" s="23" t="str">
        <f t="array" ref="G286">IF($H286="","",IFERROR(INDEX('Game Records'!$M:$M,$H286),""))</f>
        <v/>
      </c>
      <c r="H286" s="3"/>
    </row>
    <row r="287" ht="24.0" customHeight="1">
      <c r="A287" s="18" t="str">
        <f t="shared" si="1"/>
        <v/>
      </c>
      <c r="B287" s="18" t="str">
        <f t="shared" si="2"/>
        <v/>
      </c>
      <c r="C287" s="23" t="str">
        <f t="array" ref="C287">IF($H287="","",IFERROR(INDEX('Game Records'!$A:$A,$H287),""))</f>
        <v/>
      </c>
      <c r="D287" s="23" t="str">
        <f t="array" ref="D287">IF($H287="","",IFERROR(INDEX('Game Records'!$U:$U,$H287),""))</f>
        <v/>
      </c>
      <c r="E287" s="23" t="str">
        <f t="array" ref="E287">IF($H287="","",LET(r,$H287,mode,LOWER(INDEX('Game Records'!$D:$D,r)&amp;""),endDate,INDEX('Game Records'!$C:$C,r),IF(mode="estimate",IF(endDate="","Estimate — End Date missing",IF(NOT(ISNUMBER(endDate)),"Estimate — Check End Date",IF(INT(endDate)&gt;=TODAY(),"In Progress — ends "&amp;TEXT(endDate,"mmm d, yyyy"),"Ready to Finalize"))),IF($F287="","No Highlighted Fields","Highlighted Fields Present"))))</f>
        <v/>
      </c>
      <c r="F287" s="23" t="str">
        <f t="array" ref="F287">IF($H287="","",IF(OR(NOT(_xlfn.ISFORMULA(INDEX('Game Records'!$N:$N,$H287))),NOT(_xlfn.ISFORMULA(INDEX('Game Records'!$O:$O,$H287))),NOT(_xlfn.ISFORMULA(INDEX('Game Records'!$P:$P,$H287))),NOT(_xlfn.ISFORMULA(INDEX('Game Records'!$Q:$Q,$H287))),NOT(_xlfn.ISFORMULA(INDEX('Game Records'!$R:$R,$H287))),NOT(_xlfn.ISFORMULA(INDEX('Game Records'!$S:$S,$H287))),NOT(_xlfn.ISFORMULA(INDEX('Game Records'!$T:$T,$H287))),NOT(_xlfn.ISFORMULA(INDEX('Game Records'!$U:$U,$H287))),NOT(_xlfn.ISFORMULA(INDEX('Game Records'!$V:$V,$H287))),NOT(_xlfn.ISFORMULA(INDEX('Game Records'!$W:$W,$H287))),NOT(_xlfn.ISFORMULA(INDEX('Game Records'!$X:$X,$H287))),NOT(_xlfn.ISFORMULA(INDEX('Game Records'!$Y:$Y,$H287))),NOT(_xlfn.ISFORMULA(INDEX('Game Records'!$Z:$Z,$H287)))),"","")&amp;IF(INDEX('Game Records'!$B:$B,$H287)="","Start Date; ","")&amp;IF(INDEX('Game Records'!$C:$C,$H287)="","End Date; ","")&amp;IF(AND(INDEX('Game Records'!$U:$U,$H287)&lt;&gt;"Subscription",INDEX('Game Records'!$U:$U,$H287)&lt;&gt;"Free Game",INDEX('Game Records'!$U:$U,$H287)&lt;&gt;"Disqualified — Free Game",OR(INDEX('Game Records'!$D:$D,$H287)="",LOWER(INDEX('Game Records'!$D:$D,$H287)&amp;"")="n/a")),"Entry Mode; ","")&amp;IF(AND(INDEX('Game Records'!$U:$U,$H287)&lt;&gt;"Subscription",INDEX('Game Records'!$U:$U,$H287)&lt;&gt;"Free Game",INDEX('Game Records'!$U:$U,$H287)&lt;&gt;"Disqualified — Free Game",OR(INDEX('Game Records'!$E:$E,$H287)="",LOWER(INDEX('Game Records'!$E:$E,$H287)&amp;"")="n/a")),"Game Type; ","")&amp;IF(INDEX('Game Records'!$F:$F,$H287)="","Payment Type; ","")&amp;IF(AND(INDEX('Game Records'!$U:$U,$H287)&lt;&gt;"Subscription",INDEX('Game Records'!$U:$U,$H287)&lt;&gt;"Free Game",INDEX('Game Records'!$U:$U,$H287)&lt;&gt;"Disqualified — Free Game",INDEX('Game Records'!$G:$G,$H287)=""),"Gross Pot; ","")&amp;IF(AND(INDEX('Game Records'!$U:$U,$H287)&lt;&gt;"Free Game",INDEX('Game Records'!$U:$U,$H287)&lt;&gt;"Disqualified — Free Game",INDEX('Game Records'!$H:$H,$H287)=""),"Entry Fee; ","")&amp;IF(AND(INDEX('Game Records'!$U:$U,$H287)&lt;&gt;"Subscription",INDEX('Game Records'!$U:$U,$H287)&lt;&gt;"Free Game",INDEX('Game Records'!$U:$U,$H287)&lt;&gt;"Disqualified — Free Game",INDEX('Game Records'!$I:$I,$H287)=""),"Eligible Players; ","")&amp;IF(AND(INDEX('Game Records'!$U:$U,$H287)&lt;&gt;"Subscription",INDEX('Game Records'!$U:$U,$H287)&lt;&gt;"Free Game",INDEX('Game Records'!$U:$U,$H287)&lt;&gt;"Disqualified — Free Game",INDEX('Game Records'!$J:$J,$H287)=""),"Total Players; ","")&amp;IF(AND(LOWER(INDEX('Game Records'!$D:$D,$H287)&amp;"")="finalized",LOWER(INDEX('Game Records'!$L:$L,$H287)&amp;"")&lt;&gt;"yes",INDEX('Game Records'!$U:$U,$H287)&lt;&gt;"Subscription",INDEX('Game Records'!$U:$U,$H287)&lt;&gt;"Free Game",INDEX('Game Records'!$U:$U,$H287)&lt;&gt;"Disqualified — Free Game",INDEX('Game Records'!$K:$K,$H287)=""),"Final Payout; ","")&amp;IF(AND(LOWER(INDEX('Game Records'!$D:$D,$H287)&amp;"")="finalized",INDEX('Game Records'!$U:$U,$H287)&lt;&gt;"Subscription",INDEX('Game Records'!$U:$U,$H287)&lt;&gt;"Free Game",INDEX('Game Records'!$U:$U,$H287)&lt;&gt;"Disqualified — Free Game",OR(INDEX('Game Records'!$L:$L,$H287)="",LOWER(INDEX('Game Records'!$L:$L,$H287)&amp;"")="n/a")),"Disqualified Status; ",""))</f>
        <v/>
      </c>
      <c r="G287" s="23" t="str">
        <f t="array" ref="G287">IF($H287="","",IFERROR(INDEX('Game Records'!$M:$M,$H287),""))</f>
        <v/>
      </c>
      <c r="H287" s="3"/>
    </row>
    <row r="288" ht="24.0" customHeight="1">
      <c r="A288" s="18" t="str">
        <f t="shared" si="1"/>
        <v/>
      </c>
      <c r="B288" s="18" t="str">
        <f t="shared" si="2"/>
        <v/>
      </c>
      <c r="C288" s="23" t="str">
        <f t="array" ref="C288">IF($H288="","",IFERROR(INDEX('Game Records'!$A:$A,$H288),""))</f>
        <v/>
      </c>
      <c r="D288" s="23" t="str">
        <f t="array" ref="D288">IF($H288="","",IFERROR(INDEX('Game Records'!$U:$U,$H288),""))</f>
        <v/>
      </c>
      <c r="E288" s="23" t="str">
        <f t="array" ref="E288">IF($H288="","",LET(r,$H288,mode,LOWER(INDEX('Game Records'!$D:$D,r)&amp;""),endDate,INDEX('Game Records'!$C:$C,r),IF(mode="estimate",IF(endDate="","Estimate — End Date missing",IF(NOT(ISNUMBER(endDate)),"Estimate — Check End Date",IF(INT(endDate)&gt;=TODAY(),"In Progress — ends "&amp;TEXT(endDate,"mmm d, yyyy"),"Ready to Finalize"))),IF($F288="","No Highlighted Fields","Highlighted Fields Present"))))</f>
        <v/>
      </c>
      <c r="F288" s="23" t="str">
        <f t="array" ref="F288">IF($H288="","",IF(OR(NOT(_xlfn.ISFORMULA(INDEX('Game Records'!$N:$N,$H288))),NOT(_xlfn.ISFORMULA(INDEX('Game Records'!$O:$O,$H288))),NOT(_xlfn.ISFORMULA(INDEX('Game Records'!$P:$P,$H288))),NOT(_xlfn.ISFORMULA(INDEX('Game Records'!$Q:$Q,$H288))),NOT(_xlfn.ISFORMULA(INDEX('Game Records'!$R:$R,$H288))),NOT(_xlfn.ISFORMULA(INDEX('Game Records'!$S:$S,$H288))),NOT(_xlfn.ISFORMULA(INDEX('Game Records'!$T:$T,$H288))),NOT(_xlfn.ISFORMULA(INDEX('Game Records'!$U:$U,$H288))),NOT(_xlfn.ISFORMULA(INDEX('Game Records'!$V:$V,$H288))),NOT(_xlfn.ISFORMULA(INDEX('Game Records'!$W:$W,$H288))),NOT(_xlfn.ISFORMULA(INDEX('Game Records'!$X:$X,$H288))),NOT(_xlfn.ISFORMULA(INDEX('Game Records'!$Y:$Y,$H288))),NOT(_xlfn.ISFORMULA(INDEX('Game Records'!$Z:$Z,$H288)))),"","")&amp;IF(INDEX('Game Records'!$B:$B,$H288)="","Start Date; ","")&amp;IF(INDEX('Game Records'!$C:$C,$H288)="","End Date; ","")&amp;IF(AND(INDEX('Game Records'!$U:$U,$H288)&lt;&gt;"Subscription",INDEX('Game Records'!$U:$U,$H288)&lt;&gt;"Free Game",INDEX('Game Records'!$U:$U,$H288)&lt;&gt;"Disqualified — Free Game",OR(INDEX('Game Records'!$D:$D,$H288)="",LOWER(INDEX('Game Records'!$D:$D,$H288)&amp;"")="n/a")),"Entry Mode; ","")&amp;IF(AND(INDEX('Game Records'!$U:$U,$H288)&lt;&gt;"Subscription",INDEX('Game Records'!$U:$U,$H288)&lt;&gt;"Free Game",INDEX('Game Records'!$U:$U,$H288)&lt;&gt;"Disqualified — Free Game",OR(INDEX('Game Records'!$E:$E,$H288)="",LOWER(INDEX('Game Records'!$E:$E,$H288)&amp;"")="n/a")),"Game Type; ","")&amp;IF(INDEX('Game Records'!$F:$F,$H288)="","Payment Type; ","")&amp;IF(AND(INDEX('Game Records'!$U:$U,$H288)&lt;&gt;"Subscription",INDEX('Game Records'!$U:$U,$H288)&lt;&gt;"Free Game",INDEX('Game Records'!$U:$U,$H288)&lt;&gt;"Disqualified — Free Game",INDEX('Game Records'!$G:$G,$H288)=""),"Gross Pot; ","")&amp;IF(AND(INDEX('Game Records'!$U:$U,$H288)&lt;&gt;"Free Game",INDEX('Game Records'!$U:$U,$H288)&lt;&gt;"Disqualified — Free Game",INDEX('Game Records'!$H:$H,$H288)=""),"Entry Fee; ","")&amp;IF(AND(INDEX('Game Records'!$U:$U,$H288)&lt;&gt;"Subscription",INDEX('Game Records'!$U:$U,$H288)&lt;&gt;"Free Game",INDEX('Game Records'!$U:$U,$H288)&lt;&gt;"Disqualified — Free Game",INDEX('Game Records'!$I:$I,$H288)=""),"Eligible Players; ","")&amp;IF(AND(INDEX('Game Records'!$U:$U,$H288)&lt;&gt;"Subscription",INDEX('Game Records'!$U:$U,$H288)&lt;&gt;"Free Game",INDEX('Game Records'!$U:$U,$H288)&lt;&gt;"Disqualified — Free Game",INDEX('Game Records'!$J:$J,$H288)=""),"Total Players; ","")&amp;IF(AND(LOWER(INDEX('Game Records'!$D:$D,$H288)&amp;"")="finalized",LOWER(INDEX('Game Records'!$L:$L,$H288)&amp;"")&lt;&gt;"yes",INDEX('Game Records'!$U:$U,$H288)&lt;&gt;"Subscription",INDEX('Game Records'!$U:$U,$H288)&lt;&gt;"Free Game",INDEX('Game Records'!$U:$U,$H288)&lt;&gt;"Disqualified — Free Game",INDEX('Game Records'!$K:$K,$H288)=""),"Final Payout; ","")&amp;IF(AND(LOWER(INDEX('Game Records'!$D:$D,$H288)&amp;"")="finalized",INDEX('Game Records'!$U:$U,$H288)&lt;&gt;"Subscription",INDEX('Game Records'!$U:$U,$H288)&lt;&gt;"Free Game",INDEX('Game Records'!$U:$U,$H288)&lt;&gt;"Disqualified — Free Game",OR(INDEX('Game Records'!$L:$L,$H288)="",LOWER(INDEX('Game Records'!$L:$L,$H288)&amp;"")="n/a")),"Disqualified Status; ",""))</f>
        <v/>
      </c>
      <c r="G288" s="23" t="str">
        <f t="array" ref="G288">IF($H288="","",IFERROR(INDEX('Game Records'!$M:$M,$H288),""))</f>
        <v/>
      </c>
      <c r="H288" s="3"/>
    </row>
    <row r="289" ht="24.0" customHeight="1">
      <c r="A289" s="18" t="str">
        <f t="shared" si="1"/>
        <v/>
      </c>
      <c r="B289" s="18" t="str">
        <f t="shared" si="2"/>
        <v/>
      </c>
      <c r="C289" s="23" t="str">
        <f t="array" ref="C289">IF($H289="","",IFERROR(INDEX('Game Records'!$A:$A,$H289),""))</f>
        <v/>
      </c>
      <c r="D289" s="23" t="str">
        <f t="array" ref="D289">IF($H289="","",IFERROR(INDEX('Game Records'!$U:$U,$H289),""))</f>
        <v/>
      </c>
      <c r="E289" s="23" t="str">
        <f t="array" ref="E289">IF($H289="","",LET(r,$H289,mode,LOWER(INDEX('Game Records'!$D:$D,r)&amp;""),endDate,INDEX('Game Records'!$C:$C,r),IF(mode="estimate",IF(endDate="","Estimate — End Date missing",IF(NOT(ISNUMBER(endDate)),"Estimate — Check End Date",IF(INT(endDate)&gt;=TODAY(),"In Progress — ends "&amp;TEXT(endDate,"mmm d, yyyy"),"Ready to Finalize"))),IF($F289="","No Highlighted Fields","Highlighted Fields Present"))))</f>
        <v/>
      </c>
      <c r="F289" s="23" t="str">
        <f t="array" ref="F289">IF($H289="","",IF(OR(NOT(_xlfn.ISFORMULA(INDEX('Game Records'!$N:$N,$H289))),NOT(_xlfn.ISFORMULA(INDEX('Game Records'!$O:$O,$H289))),NOT(_xlfn.ISFORMULA(INDEX('Game Records'!$P:$P,$H289))),NOT(_xlfn.ISFORMULA(INDEX('Game Records'!$Q:$Q,$H289))),NOT(_xlfn.ISFORMULA(INDEX('Game Records'!$R:$R,$H289))),NOT(_xlfn.ISFORMULA(INDEX('Game Records'!$S:$S,$H289))),NOT(_xlfn.ISFORMULA(INDEX('Game Records'!$T:$T,$H289))),NOT(_xlfn.ISFORMULA(INDEX('Game Records'!$U:$U,$H289))),NOT(_xlfn.ISFORMULA(INDEX('Game Records'!$V:$V,$H289))),NOT(_xlfn.ISFORMULA(INDEX('Game Records'!$W:$W,$H289))),NOT(_xlfn.ISFORMULA(INDEX('Game Records'!$X:$X,$H289))),NOT(_xlfn.ISFORMULA(INDEX('Game Records'!$Y:$Y,$H289))),NOT(_xlfn.ISFORMULA(INDEX('Game Records'!$Z:$Z,$H289)))),"","")&amp;IF(INDEX('Game Records'!$B:$B,$H289)="","Start Date; ","")&amp;IF(INDEX('Game Records'!$C:$C,$H289)="","End Date; ","")&amp;IF(AND(INDEX('Game Records'!$U:$U,$H289)&lt;&gt;"Subscription",INDEX('Game Records'!$U:$U,$H289)&lt;&gt;"Free Game",INDEX('Game Records'!$U:$U,$H289)&lt;&gt;"Disqualified — Free Game",OR(INDEX('Game Records'!$D:$D,$H289)="",LOWER(INDEX('Game Records'!$D:$D,$H289)&amp;"")="n/a")),"Entry Mode; ","")&amp;IF(AND(INDEX('Game Records'!$U:$U,$H289)&lt;&gt;"Subscription",INDEX('Game Records'!$U:$U,$H289)&lt;&gt;"Free Game",INDEX('Game Records'!$U:$U,$H289)&lt;&gt;"Disqualified — Free Game",OR(INDEX('Game Records'!$E:$E,$H289)="",LOWER(INDEX('Game Records'!$E:$E,$H289)&amp;"")="n/a")),"Game Type; ","")&amp;IF(INDEX('Game Records'!$F:$F,$H289)="","Payment Type; ","")&amp;IF(AND(INDEX('Game Records'!$U:$U,$H289)&lt;&gt;"Subscription",INDEX('Game Records'!$U:$U,$H289)&lt;&gt;"Free Game",INDEX('Game Records'!$U:$U,$H289)&lt;&gt;"Disqualified — Free Game",INDEX('Game Records'!$G:$G,$H289)=""),"Gross Pot; ","")&amp;IF(AND(INDEX('Game Records'!$U:$U,$H289)&lt;&gt;"Free Game",INDEX('Game Records'!$U:$U,$H289)&lt;&gt;"Disqualified — Free Game",INDEX('Game Records'!$H:$H,$H289)=""),"Entry Fee; ","")&amp;IF(AND(INDEX('Game Records'!$U:$U,$H289)&lt;&gt;"Subscription",INDEX('Game Records'!$U:$U,$H289)&lt;&gt;"Free Game",INDEX('Game Records'!$U:$U,$H289)&lt;&gt;"Disqualified — Free Game",INDEX('Game Records'!$I:$I,$H289)=""),"Eligible Players; ","")&amp;IF(AND(INDEX('Game Records'!$U:$U,$H289)&lt;&gt;"Subscription",INDEX('Game Records'!$U:$U,$H289)&lt;&gt;"Free Game",INDEX('Game Records'!$U:$U,$H289)&lt;&gt;"Disqualified — Free Game",INDEX('Game Records'!$J:$J,$H289)=""),"Total Players; ","")&amp;IF(AND(LOWER(INDEX('Game Records'!$D:$D,$H289)&amp;"")="finalized",LOWER(INDEX('Game Records'!$L:$L,$H289)&amp;"")&lt;&gt;"yes",INDEX('Game Records'!$U:$U,$H289)&lt;&gt;"Subscription",INDEX('Game Records'!$U:$U,$H289)&lt;&gt;"Free Game",INDEX('Game Records'!$U:$U,$H289)&lt;&gt;"Disqualified — Free Game",INDEX('Game Records'!$K:$K,$H289)=""),"Final Payout; ","")&amp;IF(AND(LOWER(INDEX('Game Records'!$D:$D,$H289)&amp;"")="finalized",INDEX('Game Records'!$U:$U,$H289)&lt;&gt;"Subscription",INDEX('Game Records'!$U:$U,$H289)&lt;&gt;"Free Game",INDEX('Game Records'!$U:$U,$H289)&lt;&gt;"Disqualified — Free Game",OR(INDEX('Game Records'!$L:$L,$H289)="",LOWER(INDEX('Game Records'!$L:$L,$H289)&amp;"")="n/a")),"Disqualified Status; ",""))</f>
        <v/>
      </c>
      <c r="G289" s="23" t="str">
        <f t="array" ref="G289">IF($H289="","",IFERROR(INDEX('Game Records'!$M:$M,$H289),""))</f>
        <v/>
      </c>
      <c r="H289" s="3"/>
    </row>
    <row r="290" ht="24.0" customHeight="1">
      <c r="A290" s="18" t="str">
        <f t="shared" si="1"/>
        <v/>
      </c>
      <c r="B290" s="18" t="str">
        <f t="shared" si="2"/>
        <v/>
      </c>
      <c r="C290" s="23" t="str">
        <f t="array" ref="C290">IF($H290="","",IFERROR(INDEX('Game Records'!$A:$A,$H290),""))</f>
        <v/>
      </c>
      <c r="D290" s="23" t="str">
        <f t="array" ref="D290">IF($H290="","",IFERROR(INDEX('Game Records'!$U:$U,$H290),""))</f>
        <v/>
      </c>
      <c r="E290" s="23" t="str">
        <f t="array" ref="E290">IF($H290="","",LET(r,$H290,mode,LOWER(INDEX('Game Records'!$D:$D,r)&amp;""),endDate,INDEX('Game Records'!$C:$C,r),IF(mode="estimate",IF(endDate="","Estimate — End Date missing",IF(NOT(ISNUMBER(endDate)),"Estimate — Check End Date",IF(INT(endDate)&gt;=TODAY(),"In Progress — ends "&amp;TEXT(endDate,"mmm d, yyyy"),"Ready to Finalize"))),IF($F290="","No Highlighted Fields","Highlighted Fields Present"))))</f>
        <v/>
      </c>
      <c r="F290" s="23" t="str">
        <f t="array" ref="F290">IF($H290="","",IF(OR(NOT(_xlfn.ISFORMULA(INDEX('Game Records'!$N:$N,$H290))),NOT(_xlfn.ISFORMULA(INDEX('Game Records'!$O:$O,$H290))),NOT(_xlfn.ISFORMULA(INDEX('Game Records'!$P:$P,$H290))),NOT(_xlfn.ISFORMULA(INDEX('Game Records'!$Q:$Q,$H290))),NOT(_xlfn.ISFORMULA(INDEX('Game Records'!$R:$R,$H290))),NOT(_xlfn.ISFORMULA(INDEX('Game Records'!$S:$S,$H290))),NOT(_xlfn.ISFORMULA(INDEX('Game Records'!$T:$T,$H290))),NOT(_xlfn.ISFORMULA(INDEX('Game Records'!$U:$U,$H290))),NOT(_xlfn.ISFORMULA(INDEX('Game Records'!$V:$V,$H290))),NOT(_xlfn.ISFORMULA(INDEX('Game Records'!$W:$W,$H290))),NOT(_xlfn.ISFORMULA(INDEX('Game Records'!$X:$X,$H290))),NOT(_xlfn.ISFORMULA(INDEX('Game Records'!$Y:$Y,$H290))),NOT(_xlfn.ISFORMULA(INDEX('Game Records'!$Z:$Z,$H290)))),"","")&amp;IF(INDEX('Game Records'!$B:$B,$H290)="","Start Date; ","")&amp;IF(INDEX('Game Records'!$C:$C,$H290)="","End Date; ","")&amp;IF(AND(INDEX('Game Records'!$U:$U,$H290)&lt;&gt;"Subscription",INDEX('Game Records'!$U:$U,$H290)&lt;&gt;"Free Game",INDEX('Game Records'!$U:$U,$H290)&lt;&gt;"Disqualified — Free Game",OR(INDEX('Game Records'!$D:$D,$H290)="",LOWER(INDEX('Game Records'!$D:$D,$H290)&amp;"")="n/a")),"Entry Mode; ","")&amp;IF(AND(INDEX('Game Records'!$U:$U,$H290)&lt;&gt;"Subscription",INDEX('Game Records'!$U:$U,$H290)&lt;&gt;"Free Game",INDEX('Game Records'!$U:$U,$H290)&lt;&gt;"Disqualified — Free Game",OR(INDEX('Game Records'!$E:$E,$H290)="",LOWER(INDEX('Game Records'!$E:$E,$H290)&amp;"")="n/a")),"Game Type; ","")&amp;IF(INDEX('Game Records'!$F:$F,$H290)="","Payment Type; ","")&amp;IF(AND(INDEX('Game Records'!$U:$U,$H290)&lt;&gt;"Subscription",INDEX('Game Records'!$U:$U,$H290)&lt;&gt;"Free Game",INDEX('Game Records'!$U:$U,$H290)&lt;&gt;"Disqualified — Free Game",INDEX('Game Records'!$G:$G,$H290)=""),"Gross Pot; ","")&amp;IF(AND(INDEX('Game Records'!$U:$U,$H290)&lt;&gt;"Free Game",INDEX('Game Records'!$U:$U,$H290)&lt;&gt;"Disqualified — Free Game",INDEX('Game Records'!$H:$H,$H290)=""),"Entry Fee; ","")&amp;IF(AND(INDEX('Game Records'!$U:$U,$H290)&lt;&gt;"Subscription",INDEX('Game Records'!$U:$U,$H290)&lt;&gt;"Free Game",INDEX('Game Records'!$U:$U,$H290)&lt;&gt;"Disqualified — Free Game",INDEX('Game Records'!$I:$I,$H290)=""),"Eligible Players; ","")&amp;IF(AND(INDEX('Game Records'!$U:$U,$H290)&lt;&gt;"Subscription",INDEX('Game Records'!$U:$U,$H290)&lt;&gt;"Free Game",INDEX('Game Records'!$U:$U,$H290)&lt;&gt;"Disqualified — Free Game",INDEX('Game Records'!$J:$J,$H290)=""),"Total Players; ","")&amp;IF(AND(LOWER(INDEX('Game Records'!$D:$D,$H290)&amp;"")="finalized",LOWER(INDEX('Game Records'!$L:$L,$H290)&amp;"")&lt;&gt;"yes",INDEX('Game Records'!$U:$U,$H290)&lt;&gt;"Subscription",INDEX('Game Records'!$U:$U,$H290)&lt;&gt;"Free Game",INDEX('Game Records'!$U:$U,$H290)&lt;&gt;"Disqualified — Free Game",INDEX('Game Records'!$K:$K,$H290)=""),"Final Payout; ","")&amp;IF(AND(LOWER(INDEX('Game Records'!$D:$D,$H290)&amp;"")="finalized",INDEX('Game Records'!$U:$U,$H290)&lt;&gt;"Subscription",INDEX('Game Records'!$U:$U,$H290)&lt;&gt;"Free Game",INDEX('Game Records'!$U:$U,$H290)&lt;&gt;"Disqualified — Free Game",OR(INDEX('Game Records'!$L:$L,$H290)="",LOWER(INDEX('Game Records'!$L:$L,$H290)&amp;"")="n/a")),"Disqualified Status; ",""))</f>
        <v/>
      </c>
      <c r="G290" s="23" t="str">
        <f t="array" ref="G290">IF($H290="","",IFERROR(INDEX('Game Records'!$M:$M,$H290),""))</f>
        <v/>
      </c>
      <c r="H290" s="3"/>
    </row>
    <row r="291" ht="24.0" customHeight="1">
      <c r="A291" s="18" t="str">
        <f t="shared" si="1"/>
        <v/>
      </c>
      <c r="B291" s="18" t="str">
        <f t="shared" si="2"/>
        <v/>
      </c>
      <c r="C291" s="23" t="str">
        <f t="array" ref="C291">IF($H291="","",IFERROR(INDEX('Game Records'!$A:$A,$H291),""))</f>
        <v/>
      </c>
      <c r="D291" s="23" t="str">
        <f t="array" ref="D291">IF($H291="","",IFERROR(INDEX('Game Records'!$U:$U,$H291),""))</f>
        <v/>
      </c>
      <c r="E291" s="23" t="str">
        <f t="array" ref="E291">IF($H291="","",LET(r,$H291,mode,LOWER(INDEX('Game Records'!$D:$D,r)&amp;""),endDate,INDEX('Game Records'!$C:$C,r),IF(mode="estimate",IF(endDate="","Estimate — End Date missing",IF(NOT(ISNUMBER(endDate)),"Estimate — Check End Date",IF(INT(endDate)&gt;=TODAY(),"In Progress — ends "&amp;TEXT(endDate,"mmm d, yyyy"),"Ready to Finalize"))),IF($F291="","No Highlighted Fields","Highlighted Fields Present"))))</f>
        <v/>
      </c>
      <c r="F291" s="23" t="str">
        <f t="array" ref="F291">IF($H291="","",IF(OR(NOT(_xlfn.ISFORMULA(INDEX('Game Records'!$N:$N,$H291))),NOT(_xlfn.ISFORMULA(INDEX('Game Records'!$O:$O,$H291))),NOT(_xlfn.ISFORMULA(INDEX('Game Records'!$P:$P,$H291))),NOT(_xlfn.ISFORMULA(INDEX('Game Records'!$Q:$Q,$H291))),NOT(_xlfn.ISFORMULA(INDEX('Game Records'!$R:$R,$H291))),NOT(_xlfn.ISFORMULA(INDEX('Game Records'!$S:$S,$H291))),NOT(_xlfn.ISFORMULA(INDEX('Game Records'!$T:$T,$H291))),NOT(_xlfn.ISFORMULA(INDEX('Game Records'!$U:$U,$H291))),NOT(_xlfn.ISFORMULA(INDEX('Game Records'!$V:$V,$H291))),NOT(_xlfn.ISFORMULA(INDEX('Game Records'!$W:$W,$H291))),NOT(_xlfn.ISFORMULA(INDEX('Game Records'!$X:$X,$H291))),NOT(_xlfn.ISFORMULA(INDEX('Game Records'!$Y:$Y,$H291))),NOT(_xlfn.ISFORMULA(INDEX('Game Records'!$Z:$Z,$H291)))),"","")&amp;IF(INDEX('Game Records'!$B:$B,$H291)="","Start Date; ","")&amp;IF(INDEX('Game Records'!$C:$C,$H291)="","End Date; ","")&amp;IF(AND(INDEX('Game Records'!$U:$U,$H291)&lt;&gt;"Subscription",INDEX('Game Records'!$U:$U,$H291)&lt;&gt;"Free Game",INDEX('Game Records'!$U:$U,$H291)&lt;&gt;"Disqualified — Free Game",OR(INDEX('Game Records'!$D:$D,$H291)="",LOWER(INDEX('Game Records'!$D:$D,$H291)&amp;"")="n/a")),"Entry Mode; ","")&amp;IF(AND(INDEX('Game Records'!$U:$U,$H291)&lt;&gt;"Subscription",INDEX('Game Records'!$U:$U,$H291)&lt;&gt;"Free Game",INDEX('Game Records'!$U:$U,$H291)&lt;&gt;"Disqualified — Free Game",OR(INDEX('Game Records'!$E:$E,$H291)="",LOWER(INDEX('Game Records'!$E:$E,$H291)&amp;"")="n/a")),"Game Type; ","")&amp;IF(INDEX('Game Records'!$F:$F,$H291)="","Payment Type; ","")&amp;IF(AND(INDEX('Game Records'!$U:$U,$H291)&lt;&gt;"Subscription",INDEX('Game Records'!$U:$U,$H291)&lt;&gt;"Free Game",INDEX('Game Records'!$U:$U,$H291)&lt;&gt;"Disqualified — Free Game",INDEX('Game Records'!$G:$G,$H291)=""),"Gross Pot; ","")&amp;IF(AND(INDEX('Game Records'!$U:$U,$H291)&lt;&gt;"Free Game",INDEX('Game Records'!$U:$U,$H291)&lt;&gt;"Disqualified — Free Game",INDEX('Game Records'!$H:$H,$H291)=""),"Entry Fee; ","")&amp;IF(AND(INDEX('Game Records'!$U:$U,$H291)&lt;&gt;"Subscription",INDEX('Game Records'!$U:$U,$H291)&lt;&gt;"Free Game",INDEX('Game Records'!$U:$U,$H291)&lt;&gt;"Disqualified — Free Game",INDEX('Game Records'!$I:$I,$H291)=""),"Eligible Players; ","")&amp;IF(AND(INDEX('Game Records'!$U:$U,$H291)&lt;&gt;"Subscription",INDEX('Game Records'!$U:$U,$H291)&lt;&gt;"Free Game",INDEX('Game Records'!$U:$U,$H291)&lt;&gt;"Disqualified — Free Game",INDEX('Game Records'!$J:$J,$H291)=""),"Total Players; ","")&amp;IF(AND(LOWER(INDEX('Game Records'!$D:$D,$H291)&amp;"")="finalized",LOWER(INDEX('Game Records'!$L:$L,$H291)&amp;"")&lt;&gt;"yes",INDEX('Game Records'!$U:$U,$H291)&lt;&gt;"Subscription",INDEX('Game Records'!$U:$U,$H291)&lt;&gt;"Free Game",INDEX('Game Records'!$U:$U,$H291)&lt;&gt;"Disqualified — Free Game",INDEX('Game Records'!$K:$K,$H291)=""),"Final Payout; ","")&amp;IF(AND(LOWER(INDEX('Game Records'!$D:$D,$H291)&amp;"")="finalized",INDEX('Game Records'!$U:$U,$H291)&lt;&gt;"Subscription",INDEX('Game Records'!$U:$U,$H291)&lt;&gt;"Free Game",INDEX('Game Records'!$U:$U,$H291)&lt;&gt;"Disqualified — Free Game",OR(INDEX('Game Records'!$L:$L,$H291)="",LOWER(INDEX('Game Records'!$L:$L,$H291)&amp;"")="n/a")),"Disqualified Status; ",""))</f>
        <v/>
      </c>
      <c r="G291" s="23" t="str">
        <f t="array" ref="G291">IF($H291="","",IFERROR(INDEX('Game Records'!$M:$M,$H291),""))</f>
        <v/>
      </c>
      <c r="H291" s="3"/>
    </row>
    <row r="292" ht="24.0" customHeight="1">
      <c r="A292" s="18" t="str">
        <f t="shared" si="1"/>
        <v/>
      </c>
      <c r="B292" s="18" t="str">
        <f t="shared" si="2"/>
        <v/>
      </c>
      <c r="C292" s="23" t="str">
        <f t="array" ref="C292">IF($H292="","",IFERROR(INDEX('Game Records'!$A:$A,$H292),""))</f>
        <v/>
      </c>
      <c r="D292" s="23" t="str">
        <f t="array" ref="D292">IF($H292="","",IFERROR(INDEX('Game Records'!$U:$U,$H292),""))</f>
        <v/>
      </c>
      <c r="E292" s="23" t="str">
        <f t="array" ref="E292">IF($H292="","",LET(r,$H292,mode,LOWER(INDEX('Game Records'!$D:$D,r)&amp;""),endDate,INDEX('Game Records'!$C:$C,r),IF(mode="estimate",IF(endDate="","Estimate — End Date missing",IF(NOT(ISNUMBER(endDate)),"Estimate — Check End Date",IF(INT(endDate)&gt;=TODAY(),"In Progress — ends "&amp;TEXT(endDate,"mmm d, yyyy"),"Ready to Finalize"))),IF($F292="","No Highlighted Fields","Highlighted Fields Present"))))</f>
        <v/>
      </c>
      <c r="F292" s="23" t="str">
        <f t="array" ref="F292">IF($H292="","",IF(OR(NOT(_xlfn.ISFORMULA(INDEX('Game Records'!$N:$N,$H292))),NOT(_xlfn.ISFORMULA(INDEX('Game Records'!$O:$O,$H292))),NOT(_xlfn.ISFORMULA(INDEX('Game Records'!$P:$P,$H292))),NOT(_xlfn.ISFORMULA(INDEX('Game Records'!$Q:$Q,$H292))),NOT(_xlfn.ISFORMULA(INDEX('Game Records'!$R:$R,$H292))),NOT(_xlfn.ISFORMULA(INDEX('Game Records'!$S:$S,$H292))),NOT(_xlfn.ISFORMULA(INDEX('Game Records'!$T:$T,$H292))),NOT(_xlfn.ISFORMULA(INDEX('Game Records'!$U:$U,$H292))),NOT(_xlfn.ISFORMULA(INDEX('Game Records'!$V:$V,$H292))),NOT(_xlfn.ISFORMULA(INDEX('Game Records'!$W:$W,$H292))),NOT(_xlfn.ISFORMULA(INDEX('Game Records'!$X:$X,$H292))),NOT(_xlfn.ISFORMULA(INDEX('Game Records'!$Y:$Y,$H292))),NOT(_xlfn.ISFORMULA(INDEX('Game Records'!$Z:$Z,$H292)))),"","")&amp;IF(INDEX('Game Records'!$B:$B,$H292)="","Start Date; ","")&amp;IF(INDEX('Game Records'!$C:$C,$H292)="","End Date; ","")&amp;IF(AND(INDEX('Game Records'!$U:$U,$H292)&lt;&gt;"Subscription",INDEX('Game Records'!$U:$U,$H292)&lt;&gt;"Free Game",INDEX('Game Records'!$U:$U,$H292)&lt;&gt;"Disqualified — Free Game",OR(INDEX('Game Records'!$D:$D,$H292)="",LOWER(INDEX('Game Records'!$D:$D,$H292)&amp;"")="n/a")),"Entry Mode; ","")&amp;IF(AND(INDEX('Game Records'!$U:$U,$H292)&lt;&gt;"Subscription",INDEX('Game Records'!$U:$U,$H292)&lt;&gt;"Free Game",INDEX('Game Records'!$U:$U,$H292)&lt;&gt;"Disqualified — Free Game",OR(INDEX('Game Records'!$E:$E,$H292)="",LOWER(INDEX('Game Records'!$E:$E,$H292)&amp;"")="n/a")),"Game Type; ","")&amp;IF(INDEX('Game Records'!$F:$F,$H292)="","Payment Type; ","")&amp;IF(AND(INDEX('Game Records'!$U:$U,$H292)&lt;&gt;"Subscription",INDEX('Game Records'!$U:$U,$H292)&lt;&gt;"Free Game",INDEX('Game Records'!$U:$U,$H292)&lt;&gt;"Disqualified — Free Game",INDEX('Game Records'!$G:$G,$H292)=""),"Gross Pot; ","")&amp;IF(AND(INDEX('Game Records'!$U:$U,$H292)&lt;&gt;"Free Game",INDEX('Game Records'!$U:$U,$H292)&lt;&gt;"Disqualified — Free Game",INDEX('Game Records'!$H:$H,$H292)=""),"Entry Fee; ","")&amp;IF(AND(INDEX('Game Records'!$U:$U,$H292)&lt;&gt;"Subscription",INDEX('Game Records'!$U:$U,$H292)&lt;&gt;"Free Game",INDEX('Game Records'!$U:$U,$H292)&lt;&gt;"Disqualified — Free Game",INDEX('Game Records'!$I:$I,$H292)=""),"Eligible Players; ","")&amp;IF(AND(INDEX('Game Records'!$U:$U,$H292)&lt;&gt;"Subscription",INDEX('Game Records'!$U:$U,$H292)&lt;&gt;"Free Game",INDEX('Game Records'!$U:$U,$H292)&lt;&gt;"Disqualified — Free Game",INDEX('Game Records'!$J:$J,$H292)=""),"Total Players; ","")&amp;IF(AND(LOWER(INDEX('Game Records'!$D:$D,$H292)&amp;"")="finalized",LOWER(INDEX('Game Records'!$L:$L,$H292)&amp;"")&lt;&gt;"yes",INDEX('Game Records'!$U:$U,$H292)&lt;&gt;"Subscription",INDEX('Game Records'!$U:$U,$H292)&lt;&gt;"Free Game",INDEX('Game Records'!$U:$U,$H292)&lt;&gt;"Disqualified — Free Game",INDEX('Game Records'!$K:$K,$H292)=""),"Final Payout; ","")&amp;IF(AND(LOWER(INDEX('Game Records'!$D:$D,$H292)&amp;"")="finalized",INDEX('Game Records'!$U:$U,$H292)&lt;&gt;"Subscription",INDEX('Game Records'!$U:$U,$H292)&lt;&gt;"Free Game",INDEX('Game Records'!$U:$U,$H292)&lt;&gt;"Disqualified — Free Game",OR(INDEX('Game Records'!$L:$L,$H292)="",LOWER(INDEX('Game Records'!$L:$L,$H292)&amp;"")="n/a")),"Disqualified Status; ",""))</f>
        <v/>
      </c>
      <c r="G292" s="23" t="str">
        <f t="array" ref="G292">IF($H292="","",IFERROR(INDEX('Game Records'!$M:$M,$H292),""))</f>
        <v/>
      </c>
      <c r="H292" s="3"/>
    </row>
    <row r="293" ht="24.0" customHeight="1">
      <c r="A293" s="18" t="str">
        <f t="shared" si="1"/>
        <v/>
      </c>
      <c r="B293" s="18" t="str">
        <f t="shared" si="2"/>
        <v/>
      </c>
      <c r="C293" s="23" t="str">
        <f t="array" ref="C293">IF($H293="","",IFERROR(INDEX('Game Records'!$A:$A,$H293),""))</f>
        <v/>
      </c>
      <c r="D293" s="23" t="str">
        <f t="array" ref="D293">IF($H293="","",IFERROR(INDEX('Game Records'!$U:$U,$H293),""))</f>
        <v/>
      </c>
      <c r="E293" s="23" t="str">
        <f t="array" ref="E293">IF($H293="","",LET(r,$H293,mode,LOWER(INDEX('Game Records'!$D:$D,r)&amp;""),endDate,INDEX('Game Records'!$C:$C,r),IF(mode="estimate",IF(endDate="","Estimate — End Date missing",IF(NOT(ISNUMBER(endDate)),"Estimate — Check End Date",IF(INT(endDate)&gt;=TODAY(),"In Progress — ends "&amp;TEXT(endDate,"mmm d, yyyy"),"Ready to Finalize"))),IF($F293="","No Highlighted Fields","Highlighted Fields Present"))))</f>
        <v/>
      </c>
      <c r="F293" s="23" t="str">
        <f t="array" ref="F293">IF($H293="","",IF(OR(NOT(_xlfn.ISFORMULA(INDEX('Game Records'!$N:$N,$H293))),NOT(_xlfn.ISFORMULA(INDEX('Game Records'!$O:$O,$H293))),NOT(_xlfn.ISFORMULA(INDEX('Game Records'!$P:$P,$H293))),NOT(_xlfn.ISFORMULA(INDEX('Game Records'!$Q:$Q,$H293))),NOT(_xlfn.ISFORMULA(INDEX('Game Records'!$R:$R,$H293))),NOT(_xlfn.ISFORMULA(INDEX('Game Records'!$S:$S,$H293))),NOT(_xlfn.ISFORMULA(INDEX('Game Records'!$T:$T,$H293))),NOT(_xlfn.ISFORMULA(INDEX('Game Records'!$U:$U,$H293))),NOT(_xlfn.ISFORMULA(INDEX('Game Records'!$V:$V,$H293))),NOT(_xlfn.ISFORMULA(INDEX('Game Records'!$W:$W,$H293))),NOT(_xlfn.ISFORMULA(INDEX('Game Records'!$X:$X,$H293))),NOT(_xlfn.ISFORMULA(INDEX('Game Records'!$Y:$Y,$H293))),NOT(_xlfn.ISFORMULA(INDEX('Game Records'!$Z:$Z,$H293)))),"","")&amp;IF(INDEX('Game Records'!$B:$B,$H293)="","Start Date; ","")&amp;IF(INDEX('Game Records'!$C:$C,$H293)="","End Date; ","")&amp;IF(AND(INDEX('Game Records'!$U:$U,$H293)&lt;&gt;"Subscription",INDEX('Game Records'!$U:$U,$H293)&lt;&gt;"Free Game",INDEX('Game Records'!$U:$U,$H293)&lt;&gt;"Disqualified — Free Game",OR(INDEX('Game Records'!$D:$D,$H293)="",LOWER(INDEX('Game Records'!$D:$D,$H293)&amp;"")="n/a")),"Entry Mode; ","")&amp;IF(AND(INDEX('Game Records'!$U:$U,$H293)&lt;&gt;"Subscription",INDEX('Game Records'!$U:$U,$H293)&lt;&gt;"Free Game",INDEX('Game Records'!$U:$U,$H293)&lt;&gt;"Disqualified — Free Game",OR(INDEX('Game Records'!$E:$E,$H293)="",LOWER(INDEX('Game Records'!$E:$E,$H293)&amp;"")="n/a")),"Game Type; ","")&amp;IF(INDEX('Game Records'!$F:$F,$H293)="","Payment Type; ","")&amp;IF(AND(INDEX('Game Records'!$U:$U,$H293)&lt;&gt;"Subscription",INDEX('Game Records'!$U:$U,$H293)&lt;&gt;"Free Game",INDEX('Game Records'!$U:$U,$H293)&lt;&gt;"Disqualified — Free Game",INDEX('Game Records'!$G:$G,$H293)=""),"Gross Pot; ","")&amp;IF(AND(INDEX('Game Records'!$U:$U,$H293)&lt;&gt;"Free Game",INDEX('Game Records'!$U:$U,$H293)&lt;&gt;"Disqualified — Free Game",INDEX('Game Records'!$H:$H,$H293)=""),"Entry Fee; ","")&amp;IF(AND(INDEX('Game Records'!$U:$U,$H293)&lt;&gt;"Subscription",INDEX('Game Records'!$U:$U,$H293)&lt;&gt;"Free Game",INDEX('Game Records'!$U:$U,$H293)&lt;&gt;"Disqualified — Free Game",INDEX('Game Records'!$I:$I,$H293)=""),"Eligible Players; ","")&amp;IF(AND(INDEX('Game Records'!$U:$U,$H293)&lt;&gt;"Subscription",INDEX('Game Records'!$U:$U,$H293)&lt;&gt;"Free Game",INDEX('Game Records'!$U:$U,$H293)&lt;&gt;"Disqualified — Free Game",INDEX('Game Records'!$J:$J,$H293)=""),"Total Players; ","")&amp;IF(AND(LOWER(INDEX('Game Records'!$D:$D,$H293)&amp;"")="finalized",LOWER(INDEX('Game Records'!$L:$L,$H293)&amp;"")&lt;&gt;"yes",INDEX('Game Records'!$U:$U,$H293)&lt;&gt;"Subscription",INDEX('Game Records'!$U:$U,$H293)&lt;&gt;"Free Game",INDEX('Game Records'!$U:$U,$H293)&lt;&gt;"Disqualified — Free Game",INDEX('Game Records'!$K:$K,$H293)=""),"Final Payout; ","")&amp;IF(AND(LOWER(INDEX('Game Records'!$D:$D,$H293)&amp;"")="finalized",INDEX('Game Records'!$U:$U,$H293)&lt;&gt;"Subscription",INDEX('Game Records'!$U:$U,$H293)&lt;&gt;"Free Game",INDEX('Game Records'!$U:$U,$H293)&lt;&gt;"Disqualified — Free Game",OR(INDEX('Game Records'!$L:$L,$H293)="",LOWER(INDEX('Game Records'!$L:$L,$H293)&amp;"")="n/a")),"Disqualified Status; ",""))</f>
        <v/>
      </c>
      <c r="G293" s="23" t="str">
        <f t="array" ref="G293">IF($H293="","",IFERROR(INDEX('Game Records'!$M:$M,$H293),""))</f>
        <v/>
      </c>
      <c r="H293" s="3"/>
    </row>
    <row r="294" ht="24.0" customHeight="1">
      <c r="A294" s="18" t="str">
        <f t="shared" si="1"/>
        <v/>
      </c>
      <c r="B294" s="18" t="str">
        <f t="shared" si="2"/>
        <v/>
      </c>
      <c r="C294" s="23" t="str">
        <f t="array" ref="C294">IF($H294="","",IFERROR(INDEX('Game Records'!$A:$A,$H294),""))</f>
        <v/>
      </c>
      <c r="D294" s="23" t="str">
        <f t="array" ref="D294">IF($H294="","",IFERROR(INDEX('Game Records'!$U:$U,$H294),""))</f>
        <v/>
      </c>
      <c r="E294" s="23" t="str">
        <f t="array" ref="E294">IF($H294="","",LET(r,$H294,mode,LOWER(INDEX('Game Records'!$D:$D,r)&amp;""),endDate,INDEX('Game Records'!$C:$C,r),IF(mode="estimate",IF(endDate="","Estimate — End Date missing",IF(NOT(ISNUMBER(endDate)),"Estimate — Check End Date",IF(INT(endDate)&gt;=TODAY(),"In Progress — ends "&amp;TEXT(endDate,"mmm d, yyyy"),"Ready to Finalize"))),IF($F294="","No Highlighted Fields","Highlighted Fields Present"))))</f>
        <v/>
      </c>
      <c r="F294" s="23" t="str">
        <f t="array" ref="F294">IF($H294="","",IF(OR(NOT(_xlfn.ISFORMULA(INDEX('Game Records'!$N:$N,$H294))),NOT(_xlfn.ISFORMULA(INDEX('Game Records'!$O:$O,$H294))),NOT(_xlfn.ISFORMULA(INDEX('Game Records'!$P:$P,$H294))),NOT(_xlfn.ISFORMULA(INDEX('Game Records'!$Q:$Q,$H294))),NOT(_xlfn.ISFORMULA(INDEX('Game Records'!$R:$R,$H294))),NOT(_xlfn.ISFORMULA(INDEX('Game Records'!$S:$S,$H294))),NOT(_xlfn.ISFORMULA(INDEX('Game Records'!$T:$T,$H294))),NOT(_xlfn.ISFORMULA(INDEX('Game Records'!$U:$U,$H294))),NOT(_xlfn.ISFORMULA(INDEX('Game Records'!$V:$V,$H294))),NOT(_xlfn.ISFORMULA(INDEX('Game Records'!$W:$W,$H294))),NOT(_xlfn.ISFORMULA(INDEX('Game Records'!$X:$X,$H294))),NOT(_xlfn.ISFORMULA(INDEX('Game Records'!$Y:$Y,$H294))),NOT(_xlfn.ISFORMULA(INDEX('Game Records'!$Z:$Z,$H294)))),"","")&amp;IF(INDEX('Game Records'!$B:$B,$H294)="","Start Date; ","")&amp;IF(INDEX('Game Records'!$C:$C,$H294)="","End Date; ","")&amp;IF(AND(INDEX('Game Records'!$U:$U,$H294)&lt;&gt;"Subscription",INDEX('Game Records'!$U:$U,$H294)&lt;&gt;"Free Game",INDEX('Game Records'!$U:$U,$H294)&lt;&gt;"Disqualified — Free Game",OR(INDEX('Game Records'!$D:$D,$H294)="",LOWER(INDEX('Game Records'!$D:$D,$H294)&amp;"")="n/a")),"Entry Mode; ","")&amp;IF(AND(INDEX('Game Records'!$U:$U,$H294)&lt;&gt;"Subscription",INDEX('Game Records'!$U:$U,$H294)&lt;&gt;"Free Game",INDEX('Game Records'!$U:$U,$H294)&lt;&gt;"Disqualified — Free Game",OR(INDEX('Game Records'!$E:$E,$H294)="",LOWER(INDEX('Game Records'!$E:$E,$H294)&amp;"")="n/a")),"Game Type; ","")&amp;IF(INDEX('Game Records'!$F:$F,$H294)="","Payment Type; ","")&amp;IF(AND(INDEX('Game Records'!$U:$U,$H294)&lt;&gt;"Subscription",INDEX('Game Records'!$U:$U,$H294)&lt;&gt;"Free Game",INDEX('Game Records'!$U:$U,$H294)&lt;&gt;"Disqualified — Free Game",INDEX('Game Records'!$G:$G,$H294)=""),"Gross Pot; ","")&amp;IF(AND(INDEX('Game Records'!$U:$U,$H294)&lt;&gt;"Free Game",INDEX('Game Records'!$U:$U,$H294)&lt;&gt;"Disqualified — Free Game",INDEX('Game Records'!$H:$H,$H294)=""),"Entry Fee; ","")&amp;IF(AND(INDEX('Game Records'!$U:$U,$H294)&lt;&gt;"Subscription",INDEX('Game Records'!$U:$U,$H294)&lt;&gt;"Free Game",INDEX('Game Records'!$U:$U,$H294)&lt;&gt;"Disqualified — Free Game",INDEX('Game Records'!$I:$I,$H294)=""),"Eligible Players; ","")&amp;IF(AND(INDEX('Game Records'!$U:$U,$H294)&lt;&gt;"Subscription",INDEX('Game Records'!$U:$U,$H294)&lt;&gt;"Free Game",INDEX('Game Records'!$U:$U,$H294)&lt;&gt;"Disqualified — Free Game",INDEX('Game Records'!$J:$J,$H294)=""),"Total Players; ","")&amp;IF(AND(LOWER(INDEX('Game Records'!$D:$D,$H294)&amp;"")="finalized",LOWER(INDEX('Game Records'!$L:$L,$H294)&amp;"")&lt;&gt;"yes",INDEX('Game Records'!$U:$U,$H294)&lt;&gt;"Subscription",INDEX('Game Records'!$U:$U,$H294)&lt;&gt;"Free Game",INDEX('Game Records'!$U:$U,$H294)&lt;&gt;"Disqualified — Free Game",INDEX('Game Records'!$K:$K,$H294)=""),"Final Payout; ","")&amp;IF(AND(LOWER(INDEX('Game Records'!$D:$D,$H294)&amp;"")="finalized",INDEX('Game Records'!$U:$U,$H294)&lt;&gt;"Subscription",INDEX('Game Records'!$U:$U,$H294)&lt;&gt;"Free Game",INDEX('Game Records'!$U:$U,$H294)&lt;&gt;"Disqualified — Free Game",OR(INDEX('Game Records'!$L:$L,$H294)="",LOWER(INDEX('Game Records'!$L:$L,$H294)&amp;"")="n/a")),"Disqualified Status; ",""))</f>
        <v/>
      </c>
      <c r="G294" s="23" t="str">
        <f t="array" ref="G294">IF($H294="","",IFERROR(INDEX('Game Records'!$M:$M,$H294),""))</f>
        <v/>
      </c>
      <c r="H294" s="3"/>
    </row>
    <row r="295" ht="24.0" customHeight="1">
      <c r="A295" s="18" t="str">
        <f t="shared" si="1"/>
        <v/>
      </c>
      <c r="B295" s="18" t="str">
        <f t="shared" si="2"/>
        <v/>
      </c>
      <c r="C295" s="23" t="str">
        <f t="array" ref="C295">IF($H295="","",IFERROR(INDEX('Game Records'!$A:$A,$H295),""))</f>
        <v/>
      </c>
      <c r="D295" s="23" t="str">
        <f t="array" ref="D295">IF($H295="","",IFERROR(INDEX('Game Records'!$U:$U,$H295),""))</f>
        <v/>
      </c>
      <c r="E295" s="23" t="str">
        <f t="array" ref="E295">IF($H295="","",LET(r,$H295,mode,LOWER(INDEX('Game Records'!$D:$D,r)&amp;""),endDate,INDEX('Game Records'!$C:$C,r),IF(mode="estimate",IF(endDate="","Estimate — End Date missing",IF(NOT(ISNUMBER(endDate)),"Estimate — Check End Date",IF(INT(endDate)&gt;=TODAY(),"In Progress — ends "&amp;TEXT(endDate,"mmm d, yyyy"),"Ready to Finalize"))),IF($F295="","No Highlighted Fields","Highlighted Fields Present"))))</f>
        <v/>
      </c>
      <c r="F295" s="23" t="str">
        <f t="array" ref="F295">IF($H295="","",IF(OR(NOT(_xlfn.ISFORMULA(INDEX('Game Records'!$N:$N,$H295))),NOT(_xlfn.ISFORMULA(INDEX('Game Records'!$O:$O,$H295))),NOT(_xlfn.ISFORMULA(INDEX('Game Records'!$P:$P,$H295))),NOT(_xlfn.ISFORMULA(INDEX('Game Records'!$Q:$Q,$H295))),NOT(_xlfn.ISFORMULA(INDEX('Game Records'!$R:$R,$H295))),NOT(_xlfn.ISFORMULA(INDEX('Game Records'!$S:$S,$H295))),NOT(_xlfn.ISFORMULA(INDEX('Game Records'!$T:$T,$H295))),NOT(_xlfn.ISFORMULA(INDEX('Game Records'!$U:$U,$H295))),NOT(_xlfn.ISFORMULA(INDEX('Game Records'!$V:$V,$H295))),NOT(_xlfn.ISFORMULA(INDEX('Game Records'!$W:$W,$H295))),NOT(_xlfn.ISFORMULA(INDEX('Game Records'!$X:$X,$H295))),NOT(_xlfn.ISFORMULA(INDEX('Game Records'!$Y:$Y,$H295))),NOT(_xlfn.ISFORMULA(INDEX('Game Records'!$Z:$Z,$H295)))),"","")&amp;IF(INDEX('Game Records'!$B:$B,$H295)="","Start Date; ","")&amp;IF(INDEX('Game Records'!$C:$C,$H295)="","End Date; ","")&amp;IF(AND(INDEX('Game Records'!$U:$U,$H295)&lt;&gt;"Subscription",INDEX('Game Records'!$U:$U,$H295)&lt;&gt;"Free Game",INDEX('Game Records'!$U:$U,$H295)&lt;&gt;"Disqualified — Free Game",OR(INDEX('Game Records'!$D:$D,$H295)="",LOWER(INDEX('Game Records'!$D:$D,$H295)&amp;"")="n/a")),"Entry Mode; ","")&amp;IF(AND(INDEX('Game Records'!$U:$U,$H295)&lt;&gt;"Subscription",INDEX('Game Records'!$U:$U,$H295)&lt;&gt;"Free Game",INDEX('Game Records'!$U:$U,$H295)&lt;&gt;"Disqualified — Free Game",OR(INDEX('Game Records'!$E:$E,$H295)="",LOWER(INDEX('Game Records'!$E:$E,$H295)&amp;"")="n/a")),"Game Type; ","")&amp;IF(INDEX('Game Records'!$F:$F,$H295)="","Payment Type; ","")&amp;IF(AND(INDEX('Game Records'!$U:$U,$H295)&lt;&gt;"Subscription",INDEX('Game Records'!$U:$U,$H295)&lt;&gt;"Free Game",INDEX('Game Records'!$U:$U,$H295)&lt;&gt;"Disqualified — Free Game",INDEX('Game Records'!$G:$G,$H295)=""),"Gross Pot; ","")&amp;IF(AND(INDEX('Game Records'!$U:$U,$H295)&lt;&gt;"Free Game",INDEX('Game Records'!$U:$U,$H295)&lt;&gt;"Disqualified — Free Game",INDEX('Game Records'!$H:$H,$H295)=""),"Entry Fee; ","")&amp;IF(AND(INDEX('Game Records'!$U:$U,$H295)&lt;&gt;"Subscription",INDEX('Game Records'!$U:$U,$H295)&lt;&gt;"Free Game",INDEX('Game Records'!$U:$U,$H295)&lt;&gt;"Disqualified — Free Game",INDEX('Game Records'!$I:$I,$H295)=""),"Eligible Players; ","")&amp;IF(AND(INDEX('Game Records'!$U:$U,$H295)&lt;&gt;"Subscription",INDEX('Game Records'!$U:$U,$H295)&lt;&gt;"Free Game",INDEX('Game Records'!$U:$U,$H295)&lt;&gt;"Disqualified — Free Game",INDEX('Game Records'!$J:$J,$H295)=""),"Total Players; ","")&amp;IF(AND(LOWER(INDEX('Game Records'!$D:$D,$H295)&amp;"")="finalized",LOWER(INDEX('Game Records'!$L:$L,$H295)&amp;"")&lt;&gt;"yes",INDEX('Game Records'!$U:$U,$H295)&lt;&gt;"Subscription",INDEX('Game Records'!$U:$U,$H295)&lt;&gt;"Free Game",INDEX('Game Records'!$U:$U,$H295)&lt;&gt;"Disqualified — Free Game",INDEX('Game Records'!$K:$K,$H295)=""),"Final Payout; ","")&amp;IF(AND(LOWER(INDEX('Game Records'!$D:$D,$H295)&amp;"")="finalized",INDEX('Game Records'!$U:$U,$H295)&lt;&gt;"Subscription",INDEX('Game Records'!$U:$U,$H295)&lt;&gt;"Free Game",INDEX('Game Records'!$U:$U,$H295)&lt;&gt;"Disqualified — Free Game",OR(INDEX('Game Records'!$L:$L,$H295)="",LOWER(INDEX('Game Records'!$L:$L,$H295)&amp;"")="n/a")),"Disqualified Status; ",""))</f>
        <v/>
      </c>
      <c r="G295" s="23" t="str">
        <f t="array" ref="G295">IF($H295="","",IFERROR(INDEX('Game Records'!$M:$M,$H295),""))</f>
        <v/>
      </c>
      <c r="H295" s="3"/>
    </row>
    <row r="296" ht="24.0" customHeight="1">
      <c r="A296" s="18" t="str">
        <f t="shared" si="1"/>
        <v/>
      </c>
      <c r="B296" s="18" t="str">
        <f t="shared" si="2"/>
        <v/>
      </c>
      <c r="C296" s="23" t="str">
        <f t="array" ref="C296">IF($H296="","",IFERROR(INDEX('Game Records'!$A:$A,$H296),""))</f>
        <v/>
      </c>
      <c r="D296" s="23" t="str">
        <f t="array" ref="D296">IF($H296="","",IFERROR(INDEX('Game Records'!$U:$U,$H296),""))</f>
        <v/>
      </c>
      <c r="E296" s="23" t="str">
        <f t="array" ref="E296">IF($H296="","",LET(r,$H296,mode,LOWER(INDEX('Game Records'!$D:$D,r)&amp;""),endDate,INDEX('Game Records'!$C:$C,r),IF(mode="estimate",IF(endDate="","Estimate — End Date missing",IF(NOT(ISNUMBER(endDate)),"Estimate — Check End Date",IF(INT(endDate)&gt;=TODAY(),"In Progress — ends "&amp;TEXT(endDate,"mmm d, yyyy"),"Ready to Finalize"))),IF($F296="","No Highlighted Fields","Highlighted Fields Present"))))</f>
        <v/>
      </c>
      <c r="F296" s="23" t="str">
        <f t="array" ref="F296">IF($H296="","",IF(OR(NOT(_xlfn.ISFORMULA(INDEX('Game Records'!$N:$N,$H296))),NOT(_xlfn.ISFORMULA(INDEX('Game Records'!$O:$O,$H296))),NOT(_xlfn.ISFORMULA(INDEX('Game Records'!$P:$P,$H296))),NOT(_xlfn.ISFORMULA(INDEX('Game Records'!$Q:$Q,$H296))),NOT(_xlfn.ISFORMULA(INDEX('Game Records'!$R:$R,$H296))),NOT(_xlfn.ISFORMULA(INDEX('Game Records'!$S:$S,$H296))),NOT(_xlfn.ISFORMULA(INDEX('Game Records'!$T:$T,$H296))),NOT(_xlfn.ISFORMULA(INDEX('Game Records'!$U:$U,$H296))),NOT(_xlfn.ISFORMULA(INDEX('Game Records'!$V:$V,$H296))),NOT(_xlfn.ISFORMULA(INDEX('Game Records'!$W:$W,$H296))),NOT(_xlfn.ISFORMULA(INDEX('Game Records'!$X:$X,$H296))),NOT(_xlfn.ISFORMULA(INDEX('Game Records'!$Y:$Y,$H296))),NOT(_xlfn.ISFORMULA(INDEX('Game Records'!$Z:$Z,$H296)))),"","")&amp;IF(INDEX('Game Records'!$B:$B,$H296)="","Start Date; ","")&amp;IF(INDEX('Game Records'!$C:$C,$H296)="","End Date; ","")&amp;IF(AND(INDEX('Game Records'!$U:$U,$H296)&lt;&gt;"Subscription",INDEX('Game Records'!$U:$U,$H296)&lt;&gt;"Free Game",INDEX('Game Records'!$U:$U,$H296)&lt;&gt;"Disqualified — Free Game",OR(INDEX('Game Records'!$D:$D,$H296)="",LOWER(INDEX('Game Records'!$D:$D,$H296)&amp;"")="n/a")),"Entry Mode; ","")&amp;IF(AND(INDEX('Game Records'!$U:$U,$H296)&lt;&gt;"Subscription",INDEX('Game Records'!$U:$U,$H296)&lt;&gt;"Free Game",INDEX('Game Records'!$U:$U,$H296)&lt;&gt;"Disqualified — Free Game",OR(INDEX('Game Records'!$E:$E,$H296)="",LOWER(INDEX('Game Records'!$E:$E,$H296)&amp;"")="n/a")),"Game Type; ","")&amp;IF(INDEX('Game Records'!$F:$F,$H296)="","Payment Type; ","")&amp;IF(AND(INDEX('Game Records'!$U:$U,$H296)&lt;&gt;"Subscription",INDEX('Game Records'!$U:$U,$H296)&lt;&gt;"Free Game",INDEX('Game Records'!$U:$U,$H296)&lt;&gt;"Disqualified — Free Game",INDEX('Game Records'!$G:$G,$H296)=""),"Gross Pot; ","")&amp;IF(AND(INDEX('Game Records'!$U:$U,$H296)&lt;&gt;"Free Game",INDEX('Game Records'!$U:$U,$H296)&lt;&gt;"Disqualified — Free Game",INDEX('Game Records'!$H:$H,$H296)=""),"Entry Fee; ","")&amp;IF(AND(INDEX('Game Records'!$U:$U,$H296)&lt;&gt;"Subscription",INDEX('Game Records'!$U:$U,$H296)&lt;&gt;"Free Game",INDEX('Game Records'!$U:$U,$H296)&lt;&gt;"Disqualified — Free Game",INDEX('Game Records'!$I:$I,$H296)=""),"Eligible Players; ","")&amp;IF(AND(INDEX('Game Records'!$U:$U,$H296)&lt;&gt;"Subscription",INDEX('Game Records'!$U:$U,$H296)&lt;&gt;"Free Game",INDEX('Game Records'!$U:$U,$H296)&lt;&gt;"Disqualified — Free Game",INDEX('Game Records'!$J:$J,$H296)=""),"Total Players; ","")&amp;IF(AND(LOWER(INDEX('Game Records'!$D:$D,$H296)&amp;"")="finalized",LOWER(INDEX('Game Records'!$L:$L,$H296)&amp;"")&lt;&gt;"yes",INDEX('Game Records'!$U:$U,$H296)&lt;&gt;"Subscription",INDEX('Game Records'!$U:$U,$H296)&lt;&gt;"Free Game",INDEX('Game Records'!$U:$U,$H296)&lt;&gt;"Disqualified — Free Game",INDEX('Game Records'!$K:$K,$H296)=""),"Final Payout; ","")&amp;IF(AND(LOWER(INDEX('Game Records'!$D:$D,$H296)&amp;"")="finalized",INDEX('Game Records'!$U:$U,$H296)&lt;&gt;"Subscription",INDEX('Game Records'!$U:$U,$H296)&lt;&gt;"Free Game",INDEX('Game Records'!$U:$U,$H296)&lt;&gt;"Disqualified — Free Game",OR(INDEX('Game Records'!$L:$L,$H296)="",LOWER(INDEX('Game Records'!$L:$L,$H296)&amp;"")="n/a")),"Disqualified Status; ",""))</f>
        <v/>
      </c>
      <c r="G296" s="23" t="str">
        <f t="array" ref="G296">IF($H296="","",IFERROR(INDEX('Game Records'!$M:$M,$H296),""))</f>
        <v/>
      </c>
      <c r="H296" s="3"/>
    </row>
    <row r="297" ht="24.0" customHeight="1">
      <c r="A297" s="18" t="str">
        <f t="shared" si="1"/>
        <v/>
      </c>
      <c r="B297" s="18" t="str">
        <f t="shared" si="2"/>
        <v/>
      </c>
      <c r="C297" s="23" t="str">
        <f t="array" ref="C297">IF($H297="","",IFERROR(INDEX('Game Records'!$A:$A,$H297),""))</f>
        <v/>
      </c>
      <c r="D297" s="23" t="str">
        <f t="array" ref="D297">IF($H297="","",IFERROR(INDEX('Game Records'!$U:$U,$H297),""))</f>
        <v/>
      </c>
      <c r="E297" s="23" t="str">
        <f t="array" ref="E297">IF($H297="","",LET(r,$H297,mode,LOWER(INDEX('Game Records'!$D:$D,r)&amp;""),endDate,INDEX('Game Records'!$C:$C,r),IF(mode="estimate",IF(endDate="","Estimate — End Date missing",IF(NOT(ISNUMBER(endDate)),"Estimate — Check End Date",IF(INT(endDate)&gt;=TODAY(),"In Progress — ends "&amp;TEXT(endDate,"mmm d, yyyy"),"Ready to Finalize"))),IF($F297="","No Highlighted Fields","Highlighted Fields Present"))))</f>
        <v/>
      </c>
      <c r="F297" s="23" t="str">
        <f t="array" ref="F297">IF($H297="","",IF(OR(NOT(_xlfn.ISFORMULA(INDEX('Game Records'!$N:$N,$H297))),NOT(_xlfn.ISFORMULA(INDEX('Game Records'!$O:$O,$H297))),NOT(_xlfn.ISFORMULA(INDEX('Game Records'!$P:$P,$H297))),NOT(_xlfn.ISFORMULA(INDEX('Game Records'!$Q:$Q,$H297))),NOT(_xlfn.ISFORMULA(INDEX('Game Records'!$R:$R,$H297))),NOT(_xlfn.ISFORMULA(INDEX('Game Records'!$S:$S,$H297))),NOT(_xlfn.ISFORMULA(INDEX('Game Records'!$T:$T,$H297))),NOT(_xlfn.ISFORMULA(INDEX('Game Records'!$U:$U,$H297))),NOT(_xlfn.ISFORMULA(INDEX('Game Records'!$V:$V,$H297))),NOT(_xlfn.ISFORMULA(INDEX('Game Records'!$W:$W,$H297))),NOT(_xlfn.ISFORMULA(INDEX('Game Records'!$X:$X,$H297))),NOT(_xlfn.ISFORMULA(INDEX('Game Records'!$Y:$Y,$H297))),NOT(_xlfn.ISFORMULA(INDEX('Game Records'!$Z:$Z,$H297)))),"","")&amp;IF(INDEX('Game Records'!$B:$B,$H297)="","Start Date; ","")&amp;IF(INDEX('Game Records'!$C:$C,$H297)="","End Date; ","")&amp;IF(AND(INDEX('Game Records'!$U:$U,$H297)&lt;&gt;"Subscription",INDEX('Game Records'!$U:$U,$H297)&lt;&gt;"Free Game",INDEX('Game Records'!$U:$U,$H297)&lt;&gt;"Disqualified — Free Game",OR(INDEX('Game Records'!$D:$D,$H297)="",LOWER(INDEX('Game Records'!$D:$D,$H297)&amp;"")="n/a")),"Entry Mode; ","")&amp;IF(AND(INDEX('Game Records'!$U:$U,$H297)&lt;&gt;"Subscription",INDEX('Game Records'!$U:$U,$H297)&lt;&gt;"Free Game",INDEX('Game Records'!$U:$U,$H297)&lt;&gt;"Disqualified — Free Game",OR(INDEX('Game Records'!$E:$E,$H297)="",LOWER(INDEX('Game Records'!$E:$E,$H297)&amp;"")="n/a")),"Game Type; ","")&amp;IF(INDEX('Game Records'!$F:$F,$H297)="","Payment Type; ","")&amp;IF(AND(INDEX('Game Records'!$U:$U,$H297)&lt;&gt;"Subscription",INDEX('Game Records'!$U:$U,$H297)&lt;&gt;"Free Game",INDEX('Game Records'!$U:$U,$H297)&lt;&gt;"Disqualified — Free Game",INDEX('Game Records'!$G:$G,$H297)=""),"Gross Pot; ","")&amp;IF(AND(INDEX('Game Records'!$U:$U,$H297)&lt;&gt;"Free Game",INDEX('Game Records'!$U:$U,$H297)&lt;&gt;"Disqualified — Free Game",INDEX('Game Records'!$H:$H,$H297)=""),"Entry Fee; ","")&amp;IF(AND(INDEX('Game Records'!$U:$U,$H297)&lt;&gt;"Subscription",INDEX('Game Records'!$U:$U,$H297)&lt;&gt;"Free Game",INDEX('Game Records'!$U:$U,$H297)&lt;&gt;"Disqualified — Free Game",INDEX('Game Records'!$I:$I,$H297)=""),"Eligible Players; ","")&amp;IF(AND(INDEX('Game Records'!$U:$U,$H297)&lt;&gt;"Subscription",INDEX('Game Records'!$U:$U,$H297)&lt;&gt;"Free Game",INDEX('Game Records'!$U:$U,$H297)&lt;&gt;"Disqualified — Free Game",INDEX('Game Records'!$J:$J,$H297)=""),"Total Players; ","")&amp;IF(AND(LOWER(INDEX('Game Records'!$D:$D,$H297)&amp;"")="finalized",LOWER(INDEX('Game Records'!$L:$L,$H297)&amp;"")&lt;&gt;"yes",INDEX('Game Records'!$U:$U,$H297)&lt;&gt;"Subscription",INDEX('Game Records'!$U:$U,$H297)&lt;&gt;"Free Game",INDEX('Game Records'!$U:$U,$H297)&lt;&gt;"Disqualified — Free Game",INDEX('Game Records'!$K:$K,$H297)=""),"Final Payout; ","")&amp;IF(AND(LOWER(INDEX('Game Records'!$D:$D,$H297)&amp;"")="finalized",INDEX('Game Records'!$U:$U,$H297)&lt;&gt;"Subscription",INDEX('Game Records'!$U:$U,$H297)&lt;&gt;"Free Game",INDEX('Game Records'!$U:$U,$H297)&lt;&gt;"Disqualified — Free Game",OR(INDEX('Game Records'!$L:$L,$H297)="",LOWER(INDEX('Game Records'!$L:$L,$H297)&amp;"")="n/a")),"Disqualified Status; ",""))</f>
        <v/>
      </c>
      <c r="G297" s="23" t="str">
        <f t="array" ref="G297">IF($H297="","",IFERROR(INDEX('Game Records'!$M:$M,$H297),""))</f>
        <v/>
      </c>
      <c r="H297" s="3"/>
    </row>
    <row r="298" ht="24.0" customHeight="1">
      <c r="A298" s="18" t="str">
        <f t="shared" si="1"/>
        <v/>
      </c>
      <c r="B298" s="18" t="str">
        <f t="shared" si="2"/>
        <v/>
      </c>
      <c r="C298" s="23" t="str">
        <f t="array" ref="C298">IF($H298="","",IFERROR(INDEX('Game Records'!$A:$A,$H298),""))</f>
        <v/>
      </c>
      <c r="D298" s="23" t="str">
        <f t="array" ref="D298">IF($H298="","",IFERROR(INDEX('Game Records'!$U:$U,$H298),""))</f>
        <v/>
      </c>
      <c r="E298" s="23" t="str">
        <f t="array" ref="E298">IF($H298="","",LET(r,$H298,mode,LOWER(INDEX('Game Records'!$D:$D,r)&amp;""),endDate,INDEX('Game Records'!$C:$C,r),IF(mode="estimate",IF(endDate="","Estimate — End Date missing",IF(NOT(ISNUMBER(endDate)),"Estimate — Check End Date",IF(INT(endDate)&gt;=TODAY(),"In Progress — ends "&amp;TEXT(endDate,"mmm d, yyyy"),"Ready to Finalize"))),IF($F298="","No Highlighted Fields","Highlighted Fields Present"))))</f>
        <v/>
      </c>
      <c r="F298" s="23" t="str">
        <f t="array" ref="F298">IF($H298="","",IF(OR(NOT(_xlfn.ISFORMULA(INDEX('Game Records'!$N:$N,$H298))),NOT(_xlfn.ISFORMULA(INDEX('Game Records'!$O:$O,$H298))),NOT(_xlfn.ISFORMULA(INDEX('Game Records'!$P:$P,$H298))),NOT(_xlfn.ISFORMULA(INDEX('Game Records'!$Q:$Q,$H298))),NOT(_xlfn.ISFORMULA(INDEX('Game Records'!$R:$R,$H298))),NOT(_xlfn.ISFORMULA(INDEX('Game Records'!$S:$S,$H298))),NOT(_xlfn.ISFORMULA(INDEX('Game Records'!$T:$T,$H298))),NOT(_xlfn.ISFORMULA(INDEX('Game Records'!$U:$U,$H298))),NOT(_xlfn.ISFORMULA(INDEX('Game Records'!$V:$V,$H298))),NOT(_xlfn.ISFORMULA(INDEX('Game Records'!$W:$W,$H298))),NOT(_xlfn.ISFORMULA(INDEX('Game Records'!$X:$X,$H298))),NOT(_xlfn.ISFORMULA(INDEX('Game Records'!$Y:$Y,$H298))),NOT(_xlfn.ISFORMULA(INDEX('Game Records'!$Z:$Z,$H298)))),"","")&amp;IF(INDEX('Game Records'!$B:$B,$H298)="","Start Date; ","")&amp;IF(INDEX('Game Records'!$C:$C,$H298)="","End Date; ","")&amp;IF(AND(INDEX('Game Records'!$U:$U,$H298)&lt;&gt;"Subscription",INDEX('Game Records'!$U:$U,$H298)&lt;&gt;"Free Game",INDEX('Game Records'!$U:$U,$H298)&lt;&gt;"Disqualified — Free Game",OR(INDEX('Game Records'!$D:$D,$H298)="",LOWER(INDEX('Game Records'!$D:$D,$H298)&amp;"")="n/a")),"Entry Mode; ","")&amp;IF(AND(INDEX('Game Records'!$U:$U,$H298)&lt;&gt;"Subscription",INDEX('Game Records'!$U:$U,$H298)&lt;&gt;"Free Game",INDEX('Game Records'!$U:$U,$H298)&lt;&gt;"Disqualified — Free Game",OR(INDEX('Game Records'!$E:$E,$H298)="",LOWER(INDEX('Game Records'!$E:$E,$H298)&amp;"")="n/a")),"Game Type; ","")&amp;IF(INDEX('Game Records'!$F:$F,$H298)="","Payment Type; ","")&amp;IF(AND(INDEX('Game Records'!$U:$U,$H298)&lt;&gt;"Subscription",INDEX('Game Records'!$U:$U,$H298)&lt;&gt;"Free Game",INDEX('Game Records'!$U:$U,$H298)&lt;&gt;"Disqualified — Free Game",INDEX('Game Records'!$G:$G,$H298)=""),"Gross Pot; ","")&amp;IF(AND(INDEX('Game Records'!$U:$U,$H298)&lt;&gt;"Free Game",INDEX('Game Records'!$U:$U,$H298)&lt;&gt;"Disqualified — Free Game",INDEX('Game Records'!$H:$H,$H298)=""),"Entry Fee; ","")&amp;IF(AND(INDEX('Game Records'!$U:$U,$H298)&lt;&gt;"Subscription",INDEX('Game Records'!$U:$U,$H298)&lt;&gt;"Free Game",INDEX('Game Records'!$U:$U,$H298)&lt;&gt;"Disqualified — Free Game",INDEX('Game Records'!$I:$I,$H298)=""),"Eligible Players; ","")&amp;IF(AND(INDEX('Game Records'!$U:$U,$H298)&lt;&gt;"Subscription",INDEX('Game Records'!$U:$U,$H298)&lt;&gt;"Free Game",INDEX('Game Records'!$U:$U,$H298)&lt;&gt;"Disqualified — Free Game",INDEX('Game Records'!$J:$J,$H298)=""),"Total Players; ","")&amp;IF(AND(LOWER(INDEX('Game Records'!$D:$D,$H298)&amp;"")="finalized",LOWER(INDEX('Game Records'!$L:$L,$H298)&amp;"")&lt;&gt;"yes",INDEX('Game Records'!$U:$U,$H298)&lt;&gt;"Subscription",INDEX('Game Records'!$U:$U,$H298)&lt;&gt;"Free Game",INDEX('Game Records'!$U:$U,$H298)&lt;&gt;"Disqualified — Free Game",INDEX('Game Records'!$K:$K,$H298)=""),"Final Payout; ","")&amp;IF(AND(LOWER(INDEX('Game Records'!$D:$D,$H298)&amp;"")="finalized",INDEX('Game Records'!$U:$U,$H298)&lt;&gt;"Subscription",INDEX('Game Records'!$U:$U,$H298)&lt;&gt;"Free Game",INDEX('Game Records'!$U:$U,$H298)&lt;&gt;"Disqualified — Free Game",OR(INDEX('Game Records'!$L:$L,$H298)="",LOWER(INDEX('Game Records'!$L:$L,$H298)&amp;"")="n/a")),"Disqualified Status; ",""))</f>
        <v/>
      </c>
      <c r="G298" s="23" t="str">
        <f t="array" ref="G298">IF($H298="","",IFERROR(INDEX('Game Records'!$M:$M,$H298),""))</f>
        <v/>
      </c>
      <c r="H298" s="3"/>
    </row>
    <row r="299" ht="24.0" customHeight="1">
      <c r="A299" s="18" t="str">
        <f t="shared" si="1"/>
        <v/>
      </c>
      <c r="B299" s="18" t="str">
        <f t="shared" si="2"/>
        <v/>
      </c>
      <c r="C299" s="23" t="str">
        <f t="array" ref="C299">IF($H299="","",IFERROR(INDEX('Game Records'!$A:$A,$H299),""))</f>
        <v/>
      </c>
      <c r="D299" s="23" t="str">
        <f t="array" ref="D299">IF($H299="","",IFERROR(INDEX('Game Records'!$U:$U,$H299),""))</f>
        <v/>
      </c>
      <c r="E299" s="23" t="str">
        <f t="array" ref="E299">IF($H299="","",LET(r,$H299,mode,LOWER(INDEX('Game Records'!$D:$D,r)&amp;""),endDate,INDEX('Game Records'!$C:$C,r),IF(mode="estimate",IF(endDate="","Estimate — End Date missing",IF(NOT(ISNUMBER(endDate)),"Estimate — Check End Date",IF(INT(endDate)&gt;=TODAY(),"In Progress — ends "&amp;TEXT(endDate,"mmm d, yyyy"),"Ready to Finalize"))),IF($F299="","No Highlighted Fields","Highlighted Fields Present"))))</f>
        <v/>
      </c>
      <c r="F299" s="23" t="str">
        <f t="array" ref="F299">IF($H299="","",IF(OR(NOT(_xlfn.ISFORMULA(INDEX('Game Records'!$N:$N,$H299))),NOT(_xlfn.ISFORMULA(INDEX('Game Records'!$O:$O,$H299))),NOT(_xlfn.ISFORMULA(INDEX('Game Records'!$P:$P,$H299))),NOT(_xlfn.ISFORMULA(INDEX('Game Records'!$Q:$Q,$H299))),NOT(_xlfn.ISFORMULA(INDEX('Game Records'!$R:$R,$H299))),NOT(_xlfn.ISFORMULA(INDEX('Game Records'!$S:$S,$H299))),NOT(_xlfn.ISFORMULA(INDEX('Game Records'!$T:$T,$H299))),NOT(_xlfn.ISFORMULA(INDEX('Game Records'!$U:$U,$H299))),NOT(_xlfn.ISFORMULA(INDEX('Game Records'!$V:$V,$H299))),NOT(_xlfn.ISFORMULA(INDEX('Game Records'!$W:$W,$H299))),NOT(_xlfn.ISFORMULA(INDEX('Game Records'!$X:$X,$H299))),NOT(_xlfn.ISFORMULA(INDEX('Game Records'!$Y:$Y,$H299))),NOT(_xlfn.ISFORMULA(INDEX('Game Records'!$Z:$Z,$H299)))),"","")&amp;IF(INDEX('Game Records'!$B:$B,$H299)="","Start Date; ","")&amp;IF(INDEX('Game Records'!$C:$C,$H299)="","End Date; ","")&amp;IF(AND(INDEX('Game Records'!$U:$U,$H299)&lt;&gt;"Subscription",INDEX('Game Records'!$U:$U,$H299)&lt;&gt;"Free Game",INDEX('Game Records'!$U:$U,$H299)&lt;&gt;"Disqualified — Free Game",OR(INDEX('Game Records'!$D:$D,$H299)="",LOWER(INDEX('Game Records'!$D:$D,$H299)&amp;"")="n/a")),"Entry Mode; ","")&amp;IF(AND(INDEX('Game Records'!$U:$U,$H299)&lt;&gt;"Subscription",INDEX('Game Records'!$U:$U,$H299)&lt;&gt;"Free Game",INDEX('Game Records'!$U:$U,$H299)&lt;&gt;"Disqualified — Free Game",OR(INDEX('Game Records'!$E:$E,$H299)="",LOWER(INDEX('Game Records'!$E:$E,$H299)&amp;"")="n/a")),"Game Type; ","")&amp;IF(INDEX('Game Records'!$F:$F,$H299)="","Payment Type; ","")&amp;IF(AND(INDEX('Game Records'!$U:$U,$H299)&lt;&gt;"Subscription",INDEX('Game Records'!$U:$U,$H299)&lt;&gt;"Free Game",INDEX('Game Records'!$U:$U,$H299)&lt;&gt;"Disqualified — Free Game",INDEX('Game Records'!$G:$G,$H299)=""),"Gross Pot; ","")&amp;IF(AND(INDEX('Game Records'!$U:$U,$H299)&lt;&gt;"Free Game",INDEX('Game Records'!$U:$U,$H299)&lt;&gt;"Disqualified — Free Game",INDEX('Game Records'!$H:$H,$H299)=""),"Entry Fee; ","")&amp;IF(AND(INDEX('Game Records'!$U:$U,$H299)&lt;&gt;"Subscription",INDEX('Game Records'!$U:$U,$H299)&lt;&gt;"Free Game",INDEX('Game Records'!$U:$U,$H299)&lt;&gt;"Disqualified — Free Game",INDEX('Game Records'!$I:$I,$H299)=""),"Eligible Players; ","")&amp;IF(AND(INDEX('Game Records'!$U:$U,$H299)&lt;&gt;"Subscription",INDEX('Game Records'!$U:$U,$H299)&lt;&gt;"Free Game",INDEX('Game Records'!$U:$U,$H299)&lt;&gt;"Disqualified — Free Game",INDEX('Game Records'!$J:$J,$H299)=""),"Total Players; ","")&amp;IF(AND(LOWER(INDEX('Game Records'!$D:$D,$H299)&amp;"")="finalized",LOWER(INDEX('Game Records'!$L:$L,$H299)&amp;"")&lt;&gt;"yes",INDEX('Game Records'!$U:$U,$H299)&lt;&gt;"Subscription",INDEX('Game Records'!$U:$U,$H299)&lt;&gt;"Free Game",INDEX('Game Records'!$U:$U,$H299)&lt;&gt;"Disqualified — Free Game",INDEX('Game Records'!$K:$K,$H299)=""),"Final Payout; ","")&amp;IF(AND(LOWER(INDEX('Game Records'!$D:$D,$H299)&amp;"")="finalized",INDEX('Game Records'!$U:$U,$H299)&lt;&gt;"Subscription",INDEX('Game Records'!$U:$U,$H299)&lt;&gt;"Free Game",INDEX('Game Records'!$U:$U,$H299)&lt;&gt;"Disqualified — Free Game",OR(INDEX('Game Records'!$L:$L,$H299)="",LOWER(INDEX('Game Records'!$L:$L,$H299)&amp;"")="n/a")),"Disqualified Status; ",""))</f>
        <v/>
      </c>
      <c r="G299" s="23" t="str">
        <f t="array" ref="G299">IF($H299="","",IFERROR(INDEX('Game Records'!$M:$M,$H299),""))</f>
        <v/>
      </c>
      <c r="H299" s="3"/>
    </row>
    <row r="300" ht="24.0" customHeight="1">
      <c r="A300" s="18" t="str">
        <f t="shared" si="1"/>
        <v/>
      </c>
      <c r="B300" s="18" t="str">
        <f t="shared" si="2"/>
        <v/>
      </c>
      <c r="C300" s="23" t="str">
        <f t="array" ref="C300">IF($H300="","",IFERROR(INDEX('Game Records'!$A:$A,$H300),""))</f>
        <v/>
      </c>
      <c r="D300" s="23" t="str">
        <f t="array" ref="D300">IF($H300="","",IFERROR(INDEX('Game Records'!$U:$U,$H300),""))</f>
        <v/>
      </c>
      <c r="E300" s="23" t="str">
        <f t="array" ref="E300">IF($H300="","",LET(r,$H300,mode,LOWER(INDEX('Game Records'!$D:$D,r)&amp;""),endDate,INDEX('Game Records'!$C:$C,r),IF(mode="estimate",IF(endDate="","Estimate — End Date missing",IF(NOT(ISNUMBER(endDate)),"Estimate — Check End Date",IF(INT(endDate)&gt;=TODAY(),"In Progress — ends "&amp;TEXT(endDate,"mmm d, yyyy"),"Ready to Finalize"))),IF($F300="","No Highlighted Fields","Highlighted Fields Present"))))</f>
        <v/>
      </c>
      <c r="F300" s="23" t="str">
        <f t="array" ref="F300">IF($H300="","",IF(OR(NOT(_xlfn.ISFORMULA(INDEX('Game Records'!$N:$N,$H300))),NOT(_xlfn.ISFORMULA(INDEX('Game Records'!$O:$O,$H300))),NOT(_xlfn.ISFORMULA(INDEX('Game Records'!$P:$P,$H300))),NOT(_xlfn.ISFORMULA(INDEX('Game Records'!$Q:$Q,$H300))),NOT(_xlfn.ISFORMULA(INDEX('Game Records'!$R:$R,$H300))),NOT(_xlfn.ISFORMULA(INDEX('Game Records'!$S:$S,$H300))),NOT(_xlfn.ISFORMULA(INDEX('Game Records'!$T:$T,$H300))),NOT(_xlfn.ISFORMULA(INDEX('Game Records'!$U:$U,$H300))),NOT(_xlfn.ISFORMULA(INDEX('Game Records'!$V:$V,$H300))),NOT(_xlfn.ISFORMULA(INDEX('Game Records'!$W:$W,$H300))),NOT(_xlfn.ISFORMULA(INDEX('Game Records'!$X:$X,$H300))),NOT(_xlfn.ISFORMULA(INDEX('Game Records'!$Y:$Y,$H300))),NOT(_xlfn.ISFORMULA(INDEX('Game Records'!$Z:$Z,$H300)))),"","")&amp;IF(INDEX('Game Records'!$B:$B,$H300)="","Start Date; ","")&amp;IF(INDEX('Game Records'!$C:$C,$H300)="","End Date; ","")&amp;IF(AND(INDEX('Game Records'!$U:$U,$H300)&lt;&gt;"Subscription",INDEX('Game Records'!$U:$U,$H300)&lt;&gt;"Free Game",INDEX('Game Records'!$U:$U,$H300)&lt;&gt;"Disqualified — Free Game",OR(INDEX('Game Records'!$D:$D,$H300)="",LOWER(INDEX('Game Records'!$D:$D,$H300)&amp;"")="n/a")),"Entry Mode; ","")&amp;IF(AND(INDEX('Game Records'!$U:$U,$H300)&lt;&gt;"Subscription",INDEX('Game Records'!$U:$U,$H300)&lt;&gt;"Free Game",INDEX('Game Records'!$U:$U,$H300)&lt;&gt;"Disqualified — Free Game",OR(INDEX('Game Records'!$E:$E,$H300)="",LOWER(INDEX('Game Records'!$E:$E,$H300)&amp;"")="n/a")),"Game Type; ","")&amp;IF(INDEX('Game Records'!$F:$F,$H300)="","Payment Type; ","")&amp;IF(AND(INDEX('Game Records'!$U:$U,$H300)&lt;&gt;"Subscription",INDEX('Game Records'!$U:$U,$H300)&lt;&gt;"Free Game",INDEX('Game Records'!$U:$U,$H300)&lt;&gt;"Disqualified — Free Game",INDEX('Game Records'!$G:$G,$H300)=""),"Gross Pot; ","")&amp;IF(AND(INDEX('Game Records'!$U:$U,$H300)&lt;&gt;"Free Game",INDEX('Game Records'!$U:$U,$H300)&lt;&gt;"Disqualified — Free Game",INDEX('Game Records'!$H:$H,$H300)=""),"Entry Fee; ","")&amp;IF(AND(INDEX('Game Records'!$U:$U,$H300)&lt;&gt;"Subscription",INDEX('Game Records'!$U:$U,$H300)&lt;&gt;"Free Game",INDEX('Game Records'!$U:$U,$H300)&lt;&gt;"Disqualified — Free Game",INDEX('Game Records'!$I:$I,$H300)=""),"Eligible Players; ","")&amp;IF(AND(INDEX('Game Records'!$U:$U,$H300)&lt;&gt;"Subscription",INDEX('Game Records'!$U:$U,$H300)&lt;&gt;"Free Game",INDEX('Game Records'!$U:$U,$H300)&lt;&gt;"Disqualified — Free Game",INDEX('Game Records'!$J:$J,$H300)=""),"Total Players; ","")&amp;IF(AND(LOWER(INDEX('Game Records'!$D:$D,$H300)&amp;"")="finalized",LOWER(INDEX('Game Records'!$L:$L,$H300)&amp;"")&lt;&gt;"yes",INDEX('Game Records'!$U:$U,$H300)&lt;&gt;"Subscription",INDEX('Game Records'!$U:$U,$H300)&lt;&gt;"Free Game",INDEX('Game Records'!$U:$U,$H300)&lt;&gt;"Disqualified — Free Game",INDEX('Game Records'!$K:$K,$H300)=""),"Final Payout; ","")&amp;IF(AND(LOWER(INDEX('Game Records'!$D:$D,$H300)&amp;"")="finalized",INDEX('Game Records'!$U:$U,$H300)&lt;&gt;"Subscription",INDEX('Game Records'!$U:$U,$H300)&lt;&gt;"Free Game",INDEX('Game Records'!$U:$U,$H300)&lt;&gt;"Disqualified — Free Game",OR(INDEX('Game Records'!$L:$L,$H300)="",LOWER(INDEX('Game Records'!$L:$L,$H300)&amp;"")="n/a")),"Disqualified Status; ",""))</f>
        <v/>
      </c>
      <c r="G300" s="23" t="str">
        <f t="array" ref="G300">IF($H300="","",IFERROR(INDEX('Game Records'!$M:$M,$H300),""))</f>
        <v/>
      </c>
      <c r="H300" s="3"/>
    </row>
    <row r="301" ht="24.0" customHeight="1">
      <c r="A301" s="18" t="str">
        <f t="shared" si="1"/>
        <v/>
      </c>
      <c r="B301" s="18" t="str">
        <f t="shared" si="2"/>
        <v/>
      </c>
      <c r="C301" s="23" t="str">
        <f t="array" ref="C301">IF($H301="","",IFERROR(INDEX('Game Records'!$A:$A,$H301),""))</f>
        <v/>
      </c>
      <c r="D301" s="23" t="str">
        <f t="array" ref="D301">IF($H301="","",IFERROR(INDEX('Game Records'!$U:$U,$H301),""))</f>
        <v/>
      </c>
      <c r="E301" s="23" t="str">
        <f t="array" ref="E301">IF($H301="","",LET(r,$H301,mode,LOWER(INDEX('Game Records'!$D:$D,r)&amp;""),endDate,INDEX('Game Records'!$C:$C,r),IF(mode="estimate",IF(endDate="","Estimate — End Date missing",IF(NOT(ISNUMBER(endDate)),"Estimate — Check End Date",IF(INT(endDate)&gt;=TODAY(),"In Progress — ends "&amp;TEXT(endDate,"mmm d, yyyy"),"Ready to Finalize"))),IF($F301="","No Highlighted Fields","Highlighted Fields Present"))))</f>
        <v/>
      </c>
      <c r="F301" s="23" t="str">
        <f t="array" ref="F301">IF($H301="","",IF(OR(NOT(_xlfn.ISFORMULA(INDEX('Game Records'!$N:$N,$H301))),NOT(_xlfn.ISFORMULA(INDEX('Game Records'!$O:$O,$H301))),NOT(_xlfn.ISFORMULA(INDEX('Game Records'!$P:$P,$H301))),NOT(_xlfn.ISFORMULA(INDEX('Game Records'!$Q:$Q,$H301))),NOT(_xlfn.ISFORMULA(INDEX('Game Records'!$R:$R,$H301))),NOT(_xlfn.ISFORMULA(INDEX('Game Records'!$S:$S,$H301))),NOT(_xlfn.ISFORMULA(INDEX('Game Records'!$T:$T,$H301))),NOT(_xlfn.ISFORMULA(INDEX('Game Records'!$U:$U,$H301))),NOT(_xlfn.ISFORMULA(INDEX('Game Records'!$V:$V,$H301))),NOT(_xlfn.ISFORMULA(INDEX('Game Records'!$W:$W,$H301))),NOT(_xlfn.ISFORMULA(INDEX('Game Records'!$X:$X,$H301))),NOT(_xlfn.ISFORMULA(INDEX('Game Records'!$Y:$Y,$H301))),NOT(_xlfn.ISFORMULA(INDEX('Game Records'!$Z:$Z,$H301)))),"","")&amp;IF(INDEX('Game Records'!$B:$B,$H301)="","Start Date; ","")&amp;IF(INDEX('Game Records'!$C:$C,$H301)="","End Date; ","")&amp;IF(AND(INDEX('Game Records'!$U:$U,$H301)&lt;&gt;"Subscription",INDEX('Game Records'!$U:$U,$H301)&lt;&gt;"Free Game",INDEX('Game Records'!$U:$U,$H301)&lt;&gt;"Disqualified — Free Game",OR(INDEX('Game Records'!$D:$D,$H301)="",LOWER(INDEX('Game Records'!$D:$D,$H301)&amp;"")="n/a")),"Entry Mode; ","")&amp;IF(AND(INDEX('Game Records'!$U:$U,$H301)&lt;&gt;"Subscription",INDEX('Game Records'!$U:$U,$H301)&lt;&gt;"Free Game",INDEX('Game Records'!$U:$U,$H301)&lt;&gt;"Disqualified — Free Game",OR(INDEX('Game Records'!$E:$E,$H301)="",LOWER(INDEX('Game Records'!$E:$E,$H301)&amp;"")="n/a")),"Game Type; ","")&amp;IF(INDEX('Game Records'!$F:$F,$H301)="","Payment Type; ","")&amp;IF(AND(INDEX('Game Records'!$U:$U,$H301)&lt;&gt;"Subscription",INDEX('Game Records'!$U:$U,$H301)&lt;&gt;"Free Game",INDEX('Game Records'!$U:$U,$H301)&lt;&gt;"Disqualified — Free Game",INDEX('Game Records'!$G:$G,$H301)=""),"Gross Pot; ","")&amp;IF(AND(INDEX('Game Records'!$U:$U,$H301)&lt;&gt;"Free Game",INDEX('Game Records'!$U:$U,$H301)&lt;&gt;"Disqualified — Free Game",INDEX('Game Records'!$H:$H,$H301)=""),"Entry Fee; ","")&amp;IF(AND(INDEX('Game Records'!$U:$U,$H301)&lt;&gt;"Subscription",INDEX('Game Records'!$U:$U,$H301)&lt;&gt;"Free Game",INDEX('Game Records'!$U:$U,$H301)&lt;&gt;"Disqualified — Free Game",INDEX('Game Records'!$I:$I,$H301)=""),"Eligible Players; ","")&amp;IF(AND(INDEX('Game Records'!$U:$U,$H301)&lt;&gt;"Subscription",INDEX('Game Records'!$U:$U,$H301)&lt;&gt;"Free Game",INDEX('Game Records'!$U:$U,$H301)&lt;&gt;"Disqualified — Free Game",INDEX('Game Records'!$J:$J,$H301)=""),"Total Players; ","")&amp;IF(AND(LOWER(INDEX('Game Records'!$D:$D,$H301)&amp;"")="finalized",LOWER(INDEX('Game Records'!$L:$L,$H301)&amp;"")&lt;&gt;"yes",INDEX('Game Records'!$U:$U,$H301)&lt;&gt;"Subscription",INDEX('Game Records'!$U:$U,$H301)&lt;&gt;"Free Game",INDEX('Game Records'!$U:$U,$H301)&lt;&gt;"Disqualified — Free Game",INDEX('Game Records'!$K:$K,$H301)=""),"Final Payout; ","")&amp;IF(AND(LOWER(INDEX('Game Records'!$D:$D,$H301)&amp;"")="finalized",INDEX('Game Records'!$U:$U,$H301)&lt;&gt;"Subscription",INDEX('Game Records'!$U:$U,$H301)&lt;&gt;"Free Game",INDEX('Game Records'!$U:$U,$H301)&lt;&gt;"Disqualified — Free Game",OR(INDEX('Game Records'!$L:$L,$H301)="",LOWER(INDEX('Game Records'!$L:$L,$H301)&amp;"")="n/a")),"Disqualified Status; ",""))</f>
        <v/>
      </c>
      <c r="G301" s="23" t="str">
        <f t="array" ref="G301">IF($H301="","",IFERROR(INDEX('Game Records'!$M:$M,$H301),""))</f>
        <v/>
      </c>
      <c r="H301" s="3"/>
    </row>
    <row r="302" ht="24.0" customHeight="1">
      <c r="A302" s="18" t="str">
        <f t="shared" si="1"/>
        <v/>
      </c>
      <c r="B302" s="18" t="str">
        <f t="shared" si="2"/>
        <v/>
      </c>
      <c r="C302" s="23" t="str">
        <f t="array" ref="C302">IF($H302="","",IFERROR(INDEX('Game Records'!$A:$A,$H302),""))</f>
        <v/>
      </c>
      <c r="D302" s="23" t="str">
        <f t="array" ref="D302">IF($H302="","",IFERROR(INDEX('Game Records'!$U:$U,$H302),""))</f>
        <v/>
      </c>
      <c r="E302" s="23" t="str">
        <f t="array" ref="E302">IF($H302="","",LET(r,$H302,mode,LOWER(INDEX('Game Records'!$D:$D,r)&amp;""),endDate,INDEX('Game Records'!$C:$C,r),IF(mode="estimate",IF(endDate="","Estimate — End Date missing",IF(NOT(ISNUMBER(endDate)),"Estimate — Check End Date",IF(INT(endDate)&gt;=TODAY(),"In Progress — ends "&amp;TEXT(endDate,"mmm d, yyyy"),"Ready to Finalize"))),IF($F302="","No Highlighted Fields","Highlighted Fields Present"))))</f>
        <v/>
      </c>
      <c r="F302" s="23" t="str">
        <f t="array" ref="F302">IF($H302="","",IF(OR(NOT(_xlfn.ISFORMULA(INDEX('Game Records'!$N:$N,$H302))),NOT(_xlfn.ISFORMULA(INDEX('Game Records'!$O:$O,$H302))),NOT(_xlfn.ISFORMULA(INDEX('Game Records'!$P:$P,$H302))),NOT(_xlfn.ISFORMULA(INDEX('Game Records'!$Q:$Q,$H302))),NOT(_xlfn.ISFORMULA(INDEX('Game Records'!$R:$R,$H302))),NOT(_xlfn.ISFORMULA(INDEX('Game Records'!$S:$S,$H302))),NOT(_xlfn.ISFORMULA(INDEX('Game Records'!$T:$T,$H302))),NOT(_xlfn.ISFORMULA(INDEX('Game Records'!$U:$U,$H302))),NOT(_xlfn.ISFORMULA(INDEX('Game Records'!$V:$V,$H302))),NOT(_xlfn.ISFORMULA(INDEX('Game Records'!$W:$W,$H302))),NOT(_xlfn.ISFORMULA(INDEX('Game Records'!$X:$X,$H302))),NOT(_xlfn.ISFORMULA(INDEX('Game Records'!$Y:$Y,$H302))),NOT(_xlfn.ISFORMULA(INDEX('Game Records'!$Z:$Z,$H302)))),"","")&amp;IF(INDEX('Game Records'!$B:$B,$H302)="","Start Date; ","")&amp;IF(INDEX('Game Records'!$C:$C,$H302)="","End Date; ","")&amp;IF(AND(INDEX('Game Records'!$U:$U,$H302)&lt;&gt;"Subscription",INDEX('Game Records'!$U:$U,$H302)&lt;&gt;"Free Game",INDEX('Game Records'!$U:$U,$H302)&lt;&gt;"Disqualified — Free Game",OR(INDEX('Game Records'!$D:$D,$H302)="",LOWER(INDEX('Game Records'!$D:$D,$H302)&amp;"")="n/a")),"Entry Mode; ","")&amp;IF(AND(INDEX('Game Records'!$U:$U,$H302)&lt;&gt;"Subscription",INDEX('Game Records'!$U:$U,$H302)&lt;&gt;"Free Game",INDEX('Game Records'!$U:$U,$H302)&lt;&gt;"Disqualified — Free Game",OR(INDEX('Game Records'!$E:$E,$H302)="",LOWER(INDEX('Game Records'!$E:$E,$H302)&amp;"")="n/a")),"Game Type; ","")&amp;IF(INDEX('Game Records'!$F:$F,$H302)="","Payment Type; ","")&amp;IF(AND(INDEX('Game Records'!$U:$U,$H302)&lt;&gt;"Subscription",INDEX('Game Records'!$U:$U,$H302)&lt;&gt;"Free Game",INDEX('Game Records'!$U:$U,$H302)&lt;&gt;"Disqualified — Free Game",INDEX('Game Records'!$G:$G,$H302)=""),"Gross Pot; ","")&amp;IF(AND(INDEX('Game Records'!$U:$U,$H302)&lt;&gt;"Free Game",INDEX('Game Records'!$U:$U,$H302)&lt;&gt;"Disqualified — Free Game",INDEX('Game Records'!$H:$H,$H302)=""),"Entry Fee; ","")&amp;IF(AND(INDEX('Game Records'!$U:$U,$H302)&lt;&gt;"Subscription",INDEX('Game Records'!$U:$U,$H302)&lt;&gt;"Free Game",INDEX('Game Records'!$U:$U,$H302)&lt;&gt;"Disqualified — Free Game",INDEX('Game Records'!$I:$I,$H302)=""),"Eligible Players; ","")&amp;IF(AND(INDEX('Game Records'!$U:$U,$H302)&lt;&gt;"Subscription",INDEX('Game Records'!$U:$U,$H302)&lt;&gt;"Free Game",INDEX('Game Records'!$U:$U,$H302)&lt;&gt;"Disqualified — Free Game",INDEX('Game Records'!$J:$J,$H302)=""),"Total Players; ","")&amp;IF(AND(LOWER(INDEX('Game Records'!$D:$D,$H302)&amp;"")="finalized",LOWER(INDEX('Game Records'!$L:$L,$H302)&amp;"")&lt;&gt;"yes",INDEX('Game Records'!$U:$U,$H302)&lt;&gt;"Subscription",INDEX('Game Records'!$U:$U,$H302)&lt;&gt;"Free Game",INDEX('Game Records'!$U:$U,$H302)&lt;&gt;"Disqualified — Free Game",INDEX('Game Records'!$K:$K,$H302)=""),"Final Payout; ","")&amp;IF(AND(LOWER(INDEX('Game Records'!$D:$D,$H302)&amp;"")="finalized",INDEX('Game Records'!$U:$U,$H302)&lt;&gt;"Subscription",INDEX('Game Records'!$U:$U,$H302)&lt;&gt;"Free Game",INDEX('Game Records'!$U:$U,$H302)&lt;&gt;"Disqualified — Free Game",OR(INDEX('Game Records'!$L:$L,$H302)="",LOWER(INDEX('Game Records'!$L:$L,$H302)&amp;"")="n/a")),"Disqualified Status; ",""))</f>
        <v/>
      </c>
      <c r="G302" s="23" t="str">
        <f t="array" ref="G302">IF($H302="","",IFERROR(INDEX('Game Records'!$M:$M,$H302),""))</f>
        <v/>
      </c>
      <c r="H302" s="3"/>
    </row>
    <row r="303" ht="24.0" customHeight="1">
      <c r="A303" s="18" t="str">
        <f t="shared" si="1"/>
        <v/>
      </c>
      <c r="B303" s="18" t="str">
        <f t="shared" si="2"/>
        <v/>
      </c>
      <c r="C303" s="23" t="str">
        <f t="array" ref="C303">IF($H303="","",IFERROR(INDEX('Game Records'!$A:$A,$H303),""))</f>
        <v/>
      </c>
      <c r="D303" s="23" t="str">
        <f t="array" ref="D303">IF($H303="","",IFERROR(INDEX('Game Records'!$U:$U,$H303),""))</f>
        <v/>
      </c>
      <c r="E303" s="23" t="str">
        <f t="array" ref="E303">IF($H303="","",LET(r,$H303,mode,LOWER(INDEX('Game Records'!$D:$D,r)&amp;""),endDate,INDEX('Game Records'!$C:$C,r),IF(mode="estimate",IF(endDate="","Estimate — End Date missing",IF(NOT(ISNUMBER(endDate)),"Estimate — Check End Date",IF(INT(endDate)&gt;=TODAY(),"In Progress — ends "&amp;TEXT(endDate,"mmm d, yyyy"),"Ready to Finalize"))),IF($F303="","No Highlighted Fields","Highlighted Fields Present"))))</f>
        <v/>
      </c>
      <c r="F303" s="23" t="str">
        <f t="array" ref="F303">IF($H303="","",IF(OR(NOT(_xlfn.ISFORMULA(INDEX('Game Records'!$N:$N,$H303))),NOT(_xlfn.ISFORMULA(INDEX('Game Records'!$O:$O,$H303))),NOT(_xlfn.ISFORMULA(INDEX('Game Records'!$P:$P,$H303))),NOT(_xlfn.ISFORMULA(INDEX('Game Records'!$Q:$Q,$H303))),NOT(_xlfn.ISFORMULA(INDEX('Game Records'!$R:$R,$H303))),NOT(_xlfn.ISFORMULA(INDEX('Game Records'!$S:$S,$H303))),NOT(_xlfn.ISFORMULA(INDEX('Game Records'!$T:$T,$H303))),NOT(_xlfn.ISFORMULA(INDEX('Game Records'!$U:$U,$H303))),NOT(_xlfn.ISFORMULA(INDEX('Game Records'!$V:$V,$H303))),NOT(_xlfn.ISFORMULA(INDEX('Game Records'!$W:$W,$H303))),NOT(_xlfn.ISFORMULA(INDEX('Game Records'!$X:$X,$H303))),NOT(_xlfn.ISFORMULA(INDEX('Game Records'!$Y:$Y,$H303))),NOT(_xlfn.ISFORMULA(INDEX('Game Records'!$Z:$Z,$H303)))),"","")&amp;IF(INDEX('Game Records'!$B:$B,$H303)="","Start Date; ","")&amp;IF(INDEX('Game Records'!$C:$C,$H303)="","End Date; ","")&amp;IF(AND(INDEX('Game Records'!$U:$U,$H303)&lt;&gt;"Subscription",INDEX('Game Records'!$U:$U,$H303)&lt;&gt;"Free Game",INDEX('Game Records'!$U:$U,$H303)&lt;&gt;"Disqualified — Free Game",OR(INDEX('Game Records'!$D:$D,$H303)="",LOWER(INDEX('Game Records'!$D:$D,$H303)&amp;"")="n/a")),"Entry Mode; ","")&amp;IF(AND(INDEX('Game Records'!$U:$U,$H303)&lt;&gt;"Subscription",INDEX('Game Records'!$U:$U,$H303)&lt;&gt;"Free Game",INDEX('Game Records'!$U:$U,$H303)&lt;&gt;"Disqualified — Free Game",OR(INDEX('Game Records'!$E:$E,$H303)="",LOWER(INDEX('Game Records'!$E:$E,$H303)&amp;"")="n/a")),"Game Type; ","")&amp;IF(INDEX('Game Records'!$F:$F,$H303)="","Payment Type; ","")&amp;IF(AND(INDEX('Game Records'!$U:$U,$H303)&lt;&gt;"Subscription",INDEX('Game Records'!$U:$U,$H303)&lt;&gt;"Free Game",INDEX('Game Records'!$U:$U,$H303)&lt;&gt;"Disqualified — Free Game",INDEX('Game Records'!$G:$G,$H303)=""),"Gross Pot; ","")&amp;IF(AND(INDEX('Game Records'!$U:$U,$H303)&lt;&gt;"Free Game",INDEX('Game Records'!$U:$U,$H303)&lt;&gt;"Disqualified — Free Game",INDEX('Game Records'!$H:$H,$H303)=""),"Entry Fee; ","")&amp;IF(AND(INDEX('Game Records'!$U:$U,$H303)&lt;&gt;"Subscription",INDEX('Game Records'!$U:$U,$H303)&lt;&gt;"Free Game",INDEX('Game Records'!$U:$U,$H303)&lt;&gt;"Disqualified — Free Game",INDEX('Game Records'!$I:$I,$H303)=""),"Eligible Players; ","")&amp;IF(AND(INDEX('Game Records'!$U:$U,$H303)&lt;&gt;"Subscription",INDEX('Game Records'!$U:$U,$H303)&lt;&gt;"Free Game",INDEX('Game Records'!$U:$U,$H303)&lt;&gt;"Disqualified — Free Game",INDEX('Game Records'!$J:$J,$H303)=""),"Total Players; ","")&amp;IF(AND(LOWER(INDEX('Game Records'!$D:$D,$H303)&amp;"")="finalized",LOWER(INDEX('Game Records'!$L:$L,$H303)&amp;"")&lt;&gt;"yes",INDEX('Game Records'!$U:$U,$H303)&lt;&gt;"Subscription",INDEX('Game Records'!$U:$U,$H303)&lt;&gt;"Free Game",INDEX('Game Records'!$U:$U,$H303)&lt;&gt;"Disqualified — Free Game",INDEX('Game Records'!$K:$K,$H303)=""),"Final Payout; ","")&amp;IF(AND(LOWER(INDEX('Game Records'!$D:$D,$H303)&amp;"")="finalized",INDEX('Game Records'!$U:$U,$H303)&lt;&gt;"Subscription",INDEX('Game Records'!$U:$U,$H303)&lt;&gt;"Free Game",INDEX('Game Records'!$U:$U,$H303)&lt;&gt;"Disqualified — Free Game",OR(INDEX('Game Records'!$L:$L,$H303)="",LOWER(INDEX('Game Records'!$L:$L,$H303)&amp;"")="n/a")),"Disqualified Status; ",""))</f>
        <v/>
      </c>
      <c r="G303" s="23" t="str">
        <f t="array" ref="G303">IF($H303="","",IFERROR(INDEX('Game Records'!$M:$M,$H303),""))</f>
        <v/>
      </c>
      <c r="H303" s="3"/>
    </row>
    <row r="304" ht="24.0" customHeight="1">
      <c r="A304" s="18" t="str">
        <f t="shared" si="1"/>
        <v/>
      </c>
      <c r="B304" s="18" t="str">
        <f t="shared" si="2"/>
        <v/>
      </c>
      <c r="C304" s="23" t="str">
        <f t="array" ref="C304">IF($H304="","",IFERROR(INDEX('Game Records'!$A:$A,$H304),""))</f>
        <v/>
      </c>
      <c r="D304" s="23" t="str">
        <f t="array" ref="D304">IF($H304="","",IFERROR(INDEX('Game Records'!$U:$U,$H304),""))</f>
        <v/>
      </c>
      <c r="E304" s="23" t="str">
        <f t="array" ref="E304">IF($H304="","",LET(r,$H304,mode,LOWER(INDEX('Game Records'!$D:$D,r)&amp;""),endDate,INDEX('Game Records'!$C:$C,r),IF(mode="estimate",IF(endDate="","Estimate — End Date missing",IF(NOT(ISNUMBER(endDate)),"Estimate — Check End Date",IF(INT(endDate)&gt;=TODAY(),"In Progress — ends "&amp;TEXT(endDate,"mmm d, yyyy"),"Ready to Finalize"))),IF($F304="","No Highlighted Fields","Highlighted Fields Present"))))</f>
        <v/>
      </c>
      <c r="F304" s="23" t="str">
        <f t="array" ref="F304">IF($H304="","",IF(OR(NOT(_xlfn.ISFORMULA(INDEX('Game Records'!$N:$N,$H304))),NOT(_xlfn.ISFORMULA(INDEX('Game Records'!$O:$O,$H304))),NOT(_xlfn.ISFORMULA(INDEX('Game Records'!$P:$P,$H304))),NOT(_xlfn.ISFORMULA(INDEX('Game Records'!$Q:$Q,$H304))),NOT(_xlfn.ISFORMULA(INDEX('Game Records'!$R:$R,$H304))),NOT(_xlfn.ISFORMULA(INDEX('Game Records'!$S:$S,$H304))),NOT(_xlfn.ISFORMULA(INDEX('Game Records'!$T:$T,$H304))),NOT(_xlfn.ISFORMULA(INDEX('Game Records'!$U:$U,$H304))),NOT(_xlfn.ISFORMULA(INDEX('Game Records'!$V:$V,$H304))),NOT(_xlfn.ISFORMULA(INDEX('Game Records'!$W:$W,$H304))),NOT(_xlfn.ISFORMULA(INDEX('Game Records'!$X:$X,$H304))),NOT(_xlfn.ISFORMULA(INDEX('Game Records'!$Y:$Y,$H304))),NOT(_xlfn.ISFORMULA(INDEX('Game Records'!$Z:$Z,$H304)))),"","")&amp;IF(INDEX('Game Records'!$B:$B,$H304)="","Start Date; ","")&amp;IF(INDEX('Game Records'!$C:$C,$H304)="","End Date; ","")&amp;IF(AND(INDEX('Game Records'!$U:$U,$H304)&lt;&gt;"Subscription",INDEX('Game Records'!$U:$U,$H304)&lt;&gt;"Free Game",INDEX('Game Records'!$U:$U,$H304)&lt;&gt;"Disqualified — Free Game",OR(INDEX('Game Records'!$D:$D,$H304)="",LOWER(INDEX('Game Records'!$D:$D,$H304)&amp;"")="n/a")),"Entry Mode; ","")&amp;IF(AND(INDEX('Game Records'!$U:$U,$H304)&lt;&gt;"Subscription",INDEX('Game Records'!$U:$U,$H304)&lt;&gt;"Free Game",INDEX('Game Records'!$U:$U,$H304)&lt;&gt;"Disqualified — Free Game",OR(INDEX('Game Records'!$E:$E,$H304)="",LOWER(INDEX('Game Records'!$E:$E,$H304)&amp;"")="n/a")),"Game Type; ","")&amp;IF(INDEX('Game Records'!$F:$F,$H304)="","Payment Type; ","")&amp;IF(AND(INDEX('Game Records'!$U:$U,$H304)&lt;&gt;"Subscription",INDEX('Game Records'!$U:$U,$H304)&lt;&gt;"Free Game",INDEX('Game Records'!$U:$U,$H304)&lt;&gt;"Disqualified — Free Game",INDEX('Game Records'!$G:$G,$H304)=""),"Gross Pot; ","")&amp;IF(AND(INDEX('Game Records'!$U:$U,$H304)&lt;&gt;"Free Game",INDEX('Game Records'!$U:$U,$H304)&lt;&gt;"Disqualified — Free Game",INDEX('Game Records'!$H:$H,$H304)=""),"Entry Fee; ","")&amp;IF(AND(INDEX('Game Records'!$U:$U,$H304)&lt;&gt;"Subscription",INDEX('Game Records'!$U:$U,$H304)&lt;&gt;"Free Game",INDEX('Game Records'!$U:$U,$H304)&lt;&gt;"Disqualified — Free Game",INDEX('Game Records'!$I:$I,$H304)=""),"Eligible Players; ","")&amp;IF(AND(INDEX('Game Records'!$U:$U,$H304)&lt;&gt;"Subscription",INDEX('Game Records'!$U:$U,$H304)&lt;&gt;"Free Game",INDEX('Game Records'!$U:$U,$H304)&lt;&gt;"Disqualified — Free Game",INDEX('Game Records'!$J:$J,$H304)=""),"Total Players; ","")&amp;IF(AND(LOWER(INDEX('Game Records'!$D:$D,$H304)&amp;"")="finalized",LOWER(INDEX('Game Records'!$L:$L,$H304)&amp;"")&lt;&gt;"yes",INDEX('Game Records'!$U:$U,$H304)&lt;&gt;"Subscription",INDEX('Game Records'!$U:$U,$H304)&lt;&gt;"Free Game",INDEX('Game Records'!$U:$U,$H304)&lt;&gt;"Disqualified — Free Game",INDEX('Game Records'!$K:$K,$H304)=""),"Final Payout; ","")&amp;IF(AND(LOWER(INDEX('Game Records'!$D:$D,$H304)&amp;"")="finalized",INDEX('Game Records'!$U:$U,$H304)&lt;&gt;"Subscription",INDEX('Game Records'!$U:$U,$H304)&lt;&gt;"Free Game",INDEX('Game Records'!$U:$U,$H304)&lt;&gt;"Disqualified — Free Game",OR(INDEX('Game Records'!$L:$L,$H304)="",LOWER(INDEX('Game Records'!$L:$L,$H304)&amp;"")="n/a")),"Disqualified Status; ",""))</f>
        <v/>
      </c>
      <c r="G304" s="23" t="str">
        <f t="array" ref="G304">IF($H304="","",IFERROR(INDEX('Game Records'!$M:$M,$H304),""))</f>
        <v/>
      </c>
      <c r="H304" s="3"/>
    </row>
    <row r="305" ht="24.0" customHeight="1">
      <c r="A305" s="18" t="str">
        <f t="shared" si="1"/>
        <v/>
      </c>
      <c r="B305" s="18" t="str">
        <f t="shared" si="2"/>
        <v/>
      </c>
      <c r="C305" s="23" t="str">
        <f t="array" ref="C305">IF($H305="","",IFERROR(INDEX('Game Records'!$A:$A,$H305),""))</f>
        <v/>
      </c>
      <c r="D305" s="23" t="str">
        <f t="array" ref="D305">IF($H305="","",IFERROR(INDEX('Game Records'!$U:$U,$H305),""))</f>
        <v/>
      </c>
      <c r="E305" s="23" t="str">
        <f t="array" ref="E305">IF($H305="","",LET(r,$H305,mode,LOWER(INDEX('Game Records'!$D:$D,r)&amp;""),endDate,INDEX('Game Records'!$C:$C,r),IF(mode="estimate",IF(endDate="","Estimate — End Date missing",IF(NOT(ISNUMBER(endDate)),"Estimate — Check End Date",IF(INT(endDate)&gt;=TODAY(),"In Progress — ends "&amp;TEXT(endDate,"mmm d, yyyy"),"Ready to Finalize"))),IF($F305="","No Highlighted Fields","Highlighted Fields Present"))))</f>
        <v/>
      </c>
      <c r="F305" s="23" t="str">
        <f t="array" ref="F305">IF($H305="","",IF(OR(NOT(_xlfn.ISFORMULA(INDEX('Game Records'!$N:$N,$H305))),NOT(_xlfn.ISFORMULA(INDEX('Game Records'!$O:$O,$H305))),NOT(_xlfn.ISFORMULA(INDEX('Game Records'!$P:$P,$H305))),NOT(_xlfn.ISFORMULA(INDEX('Game Records'!$Q:$Q,$H305))),NOT(_xlfn.ISFORMULA(INDEX('Game Records'!$R:$R,$H305))),NOT(_xlfn.ISFORMULA(INDEX('Game Records'!$S:$S,$H305))),NOT(_xlfn.ISFORMULA(INDEX('Game Records'!$T:$T,$H305))),NOT(_xlfn.ISFORMULA(INDEX('Game Records'!$U:$U,$H305))),NOT(_xlfn.ISFORMULA(INDEX('Game Records'!$V:$V,$H305))),NOT(_xlfn.ISFORMULA(INDEX('Game Records'!$W:$W,$H305))),NOT(_xlfn.ISFORMULA(INDEX('Game Records'!$X:$X,$H305))),NOT(_xlfn.ISFORMULA(INDEX('Game Records'!$Y:$Y,$H305))),NOT(_xlfn.ISFORMULA(INDEX('Game Records'!$Z:$Z,$H305)))),"","")&amp;IF(INDEX('Game Records'!$B:$B,$H305)="","Start Date; ","")&amp;IF(INDEX('Game Records'!$C:$C,$H305)="","End Date; ","")&amp;IF(AND(INDEX('Game Records'!$U:$U,$H305)&lt;&gt;"Subscription",INDEX('Game Records'!$U:$U,$H305)&lt;&gt;"Free Game",INDEX('Game Records'!$U:$U,$H305)&lt;&gt;"Disqualified — Free Game",OR(INDEX('Game Records'!$D:$D,$H305)="",LOWER(INDEX('Game Records'!$D:$D,$H305)&amp;"")="n/a")),"Entry Mode; ","")&amp;IF(AND(INDEX('Game Records'!$U:$U,$H305)&lt;&gt;"Subscription",INDEX('Game Records'!$U:$U,$H305)&lt;&gt;"Free Game",INDEX('Game Records'!$U:$U,$H305)&lt;&gt;"Disqualified — Free Game",OR(INDEX('Game Records'!$E:$E,$H305)="",LOWER(INDEX('Game Records'!$E:$E,$H305)&amp;"")="n/a")),"Game Type; ","")&amp;IF(INDEX('Game Records'!$F:$F,$H305)="","Payment Type; ","")&amp;IF(AND(INDEX('Game Records'!$U:$U,$H305)&lt;&gt;"Subscription",INDEX('Game Records'!$U:$U,$H305)&lt;&gt;"Free Game",INDEX('Game Records'!$U:$U,$H305)&lt;&gt;"Disqualified — Free Game",INDEX('Game Records'!$G:$G,$H305)=""),"Gross Pot; ","")&amp;IF(AND(INDEX('Game Records'!$U:$U,$H305)&lt;&gt;"Free Game",INDEX('Game Records'!$U:$U,$H305)&lt;&gt;"Disqualified — Free Game",INDEX('Game Records'!$H:$H,$H305)=""),"Entry Fee; ","")&amp;IF(AND(INDEX('Game Records'!$U:$U,$H305)&lt;&gt;"Subscription",INDEX('Game Records'!$U:$U,$H305)&lt;&gt;"Free Game",INDEX('Game Records'!$U:$U,$H305)&lt;&gt;"Disqualified — Free Game",INDEX('Game Records'!$I:$I,$H305)=""),"Eligible Players; ","")&amp;IF(AND(INDEX('Game Records'!$U:$U,$H305)&lt;&gt;"Subscription",INDEX('Game Records'!$U:$U,$H305)&lt;&gt;"Free Game",INDEX('Game Records'!$U:$U,$H305)&lt;&gt;"Disqualified — Free Game",INDEX('Game Records'!$J:$J,$H305)=""),"Total Players; ","")&amp;IF(AND(LOWER(INDEX('Game Records'!$D:$D,$H305)&amp;"")="finalized",LOWER(INDEX('Game Records'!$L:$L,$H305)&amp;"")&lt;&gt;"yes",INDEX('Game Records'!$U:$U,$H305)&lt;&gt;"Subscription",INDEX('Game Records'!$U:$U,$H305)&lt;&gt;"Free Game",INDEX('Game Records'!$U:$U,$H305)&lt;&gt;"Disqualified — Free Game",INDEX('Game Records'!$K:$K,$H305)=""),"Final Payout; ","")&amp;IF(AND(LOWER(INDEX('Game Records'!$D:$D,$H305)&amp;"")="finalized",INDEX('Game Records'!$U:$U,$H305)&lt;&gt;"Subscription",INDEX('Game Records'!$U:$U,$H305)&lt;&gt;"Free Game",INDEX('Game Records'!$U:$U,$H305)&lt;&gt;"Disqualified — Free Game",OR(INDEX('Game Records'!$L:$L,$H305)="",LOWER(INDEX('Game Records'!$L:$L,$H305)&amp;"")="n/a")),"Disqualified Status; ",""))</f>
        <v/>
      </c>
      <c r="G305" s="23" t="str">
        <f t="array" ref="G305">IF($H305="","",IFERROR(INDEX('Game Records'!$M:$M,$H305),""))</f>
        <v/>
      </c>
      <c r="H305" s="3"/>
    </row>
    <row r="306" ht="24.0" customHeight="1">
      <c r="A306" s="18" t="str">
        <f t="shared" si="1"/>
        <v/>
      </c>
      <c r="B306" s="18" t="str">
        <f t="shared" si="2"/>
        <v/>
      </c>
      <c r="C306" s="23" t="str">
        <f t="array" ref="C306">IF($H306="","",IFERROR(INDEX('Game Records'!$A:$A,$H306),""))</f>
        <v/>
      </c>
      <c r="D306" s="23" t="str">
        <f t="array" ref="D306">IF($H306="","",IFERROR(INDEX('Game Records'!$U:$U,$H306),""))</f>
        <v/>
      </c>
      <c r="E306" s="23" t="str">
        <f t="array" ref="E306">IF($H306="","",LET(r,$H306,mode,LOWER(INDEX('Game Records'!$D:$D,r)&amp;""),endDate,INDEX('Game Records'!$C:$C,r),IF(mode="estimate",IF(endDate="","Estimate — End Date missing",IF(NOT(ISNUMBER(endDate)),"Estimate — Check End Date",IF(INT(endDate)&gt;=TODAY(),"In Progress — ends "&amp;TEXT(endDate,"mmm d, yyyy"),"Ready to Finalize"))),IF($F306="","No Highlighted Fields","Highlighted Fields Present"))))</f>
        <v/>
      </c>
      <c r="F306" s="23" t="str">
        <f t="array" ref="F306">IF($H306="","",IF(OR(NOT(_xlfn.ISFORMULA(INDEX('Game Records'!$N:$N,$H306))),NOT(_xlfn.ISFORMULA(INDEX('Game Records'!$O:$O,$H306))),NOT(_xlfn.ISFORMULA(INDEX('Game Records'!$P:$P,$H306))),NOT(_xlfn.ISFORMULA(INDEX('Game Records'!$Q:$Q,$H306))),NOT(_xlfn.ISFORMULA(INDEX('Game Records'!$R:$R,$H306))),NOT(_xlfn.ISFORMULA(INDEX('Game Records'!$S:$S,$H306))),NOT(_xlfn.ISFORMULA(INDEX('Game Records'!$T:$T,$H306))),NOT(_xlfn.ISFORMULA(INDEX('Game Records'!$U:$U,$H306))),NOT(_xlfn.ISFORMULA(INDEX('Game Records'!$V:$V,$H306))),NOT(_xlfn.ISFORMULA(INDEX('Game Records'!$W:$W,$H306))),NOT(_xlfn.ISFORMULA(INDEX('Game Records'!$X:$X,$H306))),NOT(_xlfn.ISFORMULA(INDEX('Game Records'!$Y:$Y,$H306))),NOT(_xlfn.ISFORMULA(INDEX('Game Records'!$Z:$Z,$H306)))),"","")&amp;IF(INDEX('Game Records'!$B:$B,$H306)="","Start Date; ","")&amp;IF(INDEX('Game Records'!$C:$C,$H306)="","End Date; ","")&amp;IF(AND(INDEX('Game Records'!$U:$U,$H306)&lt;&gt;"Subscription",INDEX('Game Records'!$U:$U,$H306)&lt;&gt;"Free Game",INDEX('Game Records'!$U:$U,$H306)&lt;&gt;"Disqualified — Free Game",OR(INDEX('Game Records'!$D:$D,$H306)="",LOWER(INDEX('Game Records'!$D:$D,$H306)&amp;"")="n/a")),"Entry Mode; ","")&amp;IF(AND(INDEX('Game Records'!$U:$U,$H306)&lt;&gt;"Subscription",INDEX('Game Records'!$U:$U,$H306)&lt;&gt;"Free Game",INDEX('Game Records'!$U:$U,$H306)&lt;&gt;"Disqualified — Free Game",OR(INDEX('Game Records'!$E:$E,$H306)="",LOWER(INDEX('Game Records'!$E:$E,$H306)&amp;"")="n/a")),"Game Type; ","")&amp;IF(INDEX('Game Records'!$F:$F,$H306)="","Payment Type; ","")&amp;IF(AND(INDEX('Game Records'!$U:$U,$H306)&lt;&gt;"Subscription",INDEX('Game Records'!$U:$U,$H306)&lt;&gt;"Free Game",INDEX('Game Records'!$U:$U,$H306)&lt;&gt;"Disqualified — Free Game",INDEX('Game Records'!$G:$G,$H306)=""),"Gross Pot; ","")&amp;IF(AND(INDEX('Game Records'!$U:$U,$H306)&lt;&gt;"Free Game",INDEX('Game Records'!$U:$U,$H306)&lt;&gt;"Disqualified — Free Game",INDEX('Game Records'!$H:$H,$H306)=""),"Entry Fee; ","")&amp;IF(AND(INDEX('Game Records'!$U:$U,$H306)&lt;&gt;"Subscription",INDEX('Game Records'!$U:$U,$H306)&lt;&gt;"Free Game",INDEX('Game Records'!$U:$U,$H306)&lt;&gt;"Disqualified — Free Game",INDEX('Game Records'!$I:$I,$H306)=""),"Eligible Players; ","")&amp;IF(AND(INDEX('Game Records'!$U:$U,$H306)&lt;&gt;"Subscription",INDEX('Game Records'!$U:$U,$H306)&lt;&gt;"Free Game",INDEX('Game Records'!$U:$U,$H306)&lt;&gt;"Disqualified — Free Game",INDEX('Game Records'!$J:$J,$H306)=""),"Total Players; ","")&amp;IF(AND(LOWER(INDEX('Game Records'!$D:$D,$H306)&amp;"")="finalized",LOWER(INDEX('Game Records'!$L:$L,$H306)&amp;"")&lt;&gt;"yes",INDEX('Game Records'!$U:$U,$H306)&lt;&gt;"Subscription",INDEX('Game Records'!$U:$U,$H306)&lt;&gt;"Free Game",INDEX('Game Records'!$U:$U,$H306)&lt;&gt;"Disqualified — Free Game",INDEX('Game Records'!$K:$K,$H306)=""),"Final Payout; ","")&amp;IF(AND(LOWER(INDEX('Game Records'!$D:$D,$H306)&amp;"")="finalized",INDEX('Game Records'!$U:$U,$H306)&lt;&gt;"Subscription",INDEX('Game Records'!$U:$U,$H306)&lt;&gt;"Free Game",INDEX('Game Records'!$U:$U,$H306)&lt;&gt;"Disqualified — Free Game",OR(INDEX('Game Records'!$L:$L,$H306)="",LOWER(INDEX('Game Records'!$L:$L,$H306)&amp;"")="n/a")),"Disqualified Status; ",""))</f>
        <v/>
      </c>
      <c r="G306" s="23" t="str">
        <f t="array" ref="G306">IF($H306="","",IFERROR(INDEX('Game Records'!$M:$M,$H306),""))</f>
        <v/>
      </c>
      <c r="H306" s="3"/>
    </row>
    <row r="307" ht="24.0" customHeight="1">
      <c r="A307" s="18" t="str">
        <f t="shared" si="1"/>
        <v/>
      </c>
      <c r="B307" s="18" t="str">
        <f t="shared" si="2"/>
        <v/>
      </c>
      <c r="C307" s="23" t="str">
        <f t="array" ref="C307">IF($H307="","",IFERROR(INDEX('Game Records'!$A:$A,$H307),""))</f>
        <v/>
      </c>
      <c r="D307" s="23" t="str">
        <f t="array" ref="D307">IF($H307="","",IFERROR(INDEX('Game Records'!$U:$U,$H307),""))</f>
        <v/>
      </c>
      <c r="E307" s="23" t="str">
        <f t="array" ref="E307">IF($H307="","",LET(r,$H307,mode,LOWER(INDEX('Game Records'!$D:$D,r)&amp;""),endDate,INDEX('Game Records'!$C:$C,r),IF(mode="estimate",IF(endDate="","Estimate — End Date missing",IF(NOT(ISNUMBER(endDate)),"Estimate — Check End Date",IF(INT(endDate)&gt;=TODAY(),"In Progress — ends "&amp;TEXT(endDate,"mmm d, yyyy"),"Ready to Finalize"))),IF($F307="","No Highlighted Fields","Highlighted Fields Present"))))</f>
        <v/>
      </c>
      <c r="F307" s="23" t="str">
        <f t="array" ref="F307">IF($H307="","",IF(OR(NOT(_xlfn.ISFORMULA(INDEX('Game Records'!$N:$N,$H307))),NOT(_xlfn.ISFORMULA(INDEX('Game Records'!$O:$O,$H307))),NOT(_xlfn.ISFORMULA(INDEX('Game Records'!$P:$P,$H307))),NOT(_xlfn.ISFORMULA(INDEX('Game Records'!$Q:$Q,$H307))),NOT(_xlfn.ISFORMULA(INDEX('Game Records'!$R:$R,$H307))),NOT(_xlfn.ISFORMULA(INDEX('Game Records'!$S:$S,$H307))),NOT(_xlfn.ISFORMULA(INDEX('Game Records'!$T:$T,$H307))),NOT(_xlfn.ISFORMULA(INDEX('Game Records'!$U:$U,$H307))),NOT(_xlfn.ISFORMULA(INDEX('Game Records'!$V:$V,$H307))),NOT(_xlfn.ISFORMULA(INDEX('Game Records'!$W:$W,$H307))),NOT(_xlfn.ISFORMULA(INDEX('Game Records'!$X:$X,$H307))),NOT(_xlfn.ISFORMULA(INDEX('Game Records'!$Y:$Y,$H307))),NOT(_xlfn.ISFORMULA(INDEX('Game Records'!$Z:$Z,$H307)))),"","")&amp;IF(INDEX('Game Records'!$B:$B,$H307)="","Start Date; ","")&amp;IF(INDEX('Game Records'!$C:$C,$H307)="","End Date; ","")&amp;IF(AND(INDEX('Game Records'!$U:$U,$H307)&lt;&gt;"Subscription",INDEX('Game Records'!$U:$U,$H307)&lt;&gt;"Free Game",INDEX('Game Records'!$U:$U,$H307)&lt;&gt;"Disqualified — Free Game",OR(INDEX('Game Records'!$D:$D,$H307)="",LOWER(INDEX('Game Records'!$D:$D,$H307)&amp;"")="n/a")),"Entry Mode; ","")&amp;IF(AND(INDEX('Game Records'!$U:$U,$H307)&lt;&gt;"Subscription",INDEX('Game Records'!$U:$U,$H307)&lt;&gt;"Free Game",INDEX('Game Records'!$U:$U,$H307)&lt;&gt;"Disqualified — Free Game",OR(INDEX('Game Records'!$E:$E,$H307)="",LOWER(INDEX('Game Records'!$E:$E,$H307)&amp;"")="n/a")),"Game Type; ","")&amp;IF(INDEX('Game Records'!$F:$F,$H307)="","Payment Type; ","")&amp;IF(AND(INDEX('Game Records'!$U:$U,$H307)&lt;&gt;"Subscription",INDEX('Game Records'!$U:$U,$H307)&lt;&gt;"Free Game",INDEX('Game Records'!$U:$U,$H307)&lt;&gt;"Disqualified — Free Game",INDEX('Game Records'!$G:$G,$H307)=""),"Gross Pot; ","")&amp;IF(AND(INDEX('Game Records'!$U:$U,$H307)&lt;&gt;"Free Game",INDEX('Game Records'!$U:$U,$H307)&lt;&gt;"Disqualified — Free Game",INDEX('Game Records'!$H:$H,$H307)=""),"Entry Fee; ","")&amp;IF(AND(INDEX('Game Records'!$U:$U,$H307)&lt;&gt;"Subscription",INDEX('Game Records'!$U:$U,$H307)&lt;&gt;"Free Game",INDEX('Game Records'!$U:$U,$H307)&lt;&gt;"Disqualified — Free Game",INDEX('Game Records'!$I:$I,$H307)=""),"Eligible Players; ","")&amp;IF(AND(INDEX('Game Records'!$U:$U,$H307)&lt;&gt;"Subscription",INDEX('Game Records'!$U:$U,$H307)&lt;&gt;"Free Game",INDEX('Game Records'!$U:$U,$H307)&lt;&gt;"Disqualified — Free Game",INDEX('Game Records'!$J:$J,$H307)=""),"Total Players; ","")&amp;IF(AND(LOWER(INDEX('Game Records'!$D:$D,$H307)&amp;"")="finalized",LOWER(INDEX('Game Records'!$L:$L,$H307)&amp;"")&lt;&gt;"yes",INDEX('Game Records'!$U:$U,$H307)&lt;&gt;"Subscription",INDEX('Game Records'!$U:$U,$H307)&lt;&gt;"Free Game",INDEX('Game Records'!$U:$U,$H307)&lt;&gt;"Disqualified — Free Game",INDEX('Game Records'!$K:$K,$H307)=""),"Final Payout; ","")&amp;IF(AND(LOWER(INDEX('Game Records'!$D:$D,$H307)&amp;"")="finalized",INDEX('Game Records'!$U:$U,$H307)&lt;&gt;"Subscription",INDEX('Game Records'!$U:$U,$H307)&lt;&gt;"Free Game",INDEX('Game Records'!$U:$U,$H307)&lt;&gt;"Disqualified — Free Game",OR(INDEX('Game Records'!$L:$L,$H307)="",LOWER(INDEX('Game Records'!$L:$L,$H307)&amp;"")="n/a")),"Disqualified Status; ",""))</f>
        <v/>
      </c>
      <c r="G307" s="23" t="str">
        <f t="array" ref="G307">IF($H307="","",IFERROR(INDEX('Game Records'!$M:$M,$H307),""))</f>
        <v/>
      </c>
      <c r="H307" s="3"/>
    </row>
    <row r="308" ht="24.0" customHeight="1">
      <c r="A308" s="18" t="str">
        <f t="shared" si="1"/>
        <v/>
      </c>
      <c r="B308" s="18" t="str">
        <f t="shared" si="2"/>
        <v/>
      </c>
      <c r="C308" s="23" t="str">
        <f t="array" ref="C308">IF($H308="","",IFERROR(INDEX('Game Records'!$A:$A,$H308),""))</f>
        <v/>
      </c>
      <c r="D308" s="23" t="str">
        <f t="array" ref="D308">IF($H308="","",IFERROR(INDEX('Game Records'!$U:$U,$H308),""))</f>
        <v/>
      </c>
      <c r="E308" s="23" t="str">
        <f t="array" ref="E308">IF($H308="","",LET(r,$H308,mode,LOWER(INDEX('Game Records'!$D:$D,r)&amp;""),endDate,INDEX('Game Records'!$C:$C,r),IF(mode="estimate",IF(endDate="","Estimate — End Date missing",IF(NOT(ISNUMBER(endDate)),"Estimate — Check End Date",IF(INT(endDate)&gt;=TODAY(),"In Progress — ends "&amp;TEXT(endDate,"mmm d, yyyy"),"Ready to Finalize"))),IF($F308="","No Highlighted Fields","Highlighted Fields Present"))))</f>
        <v/>
      </c>
      <c r="F308" s="23" t="str">
        <f t="array" ref="F308">IF($H308="","",IF(OR(NOT(_xlfn.ISFORMULA(INDEX('Game Records'!$N:$N,$H308))),NOT(_xlfn.ISFORMULA(INDEX('Game Records'!$O:$O,$H308))),NOT(_xlfn.ISFORMULA(INDEX('Game Records'!$P:$P,$H308))),NOT(_xlfn.ISFORMULA(INDEX('Game Records'!$Q:$Q,$H308))),NOT(_xlfn.ISFORMULA(INDEX('Game Records'!$R:$R,$H308))),NOT(_xlfn.ISFORMULA(INDEX('Game Records'!$S:$S,$H308))),NOT(_xlfn.ISFORMULA(INDEX('Game Records'!$T:$T,$H308))),NOT(_xlfn.ISFORMULA(INDEX('Game Records'!$U:$U,$H308))),NOT(_xlfn.ISFORMULA(INDEX('Game Records'!$V:$V,$H308))),NOT(_xlfn.ISFORMULA(INDEX('Game Records'!$W:$W,$H308))),NOT(_xlfn.ISFORMULA(INDEX('Game Records'!$X:$X,$H308))),NOT(_xlfn.ISFORMULA(INDEX('Game Records'!$Y:$Y,$H308))),NOT(_xlfn.ISFORMULA(INDEX('Game Records'!$Z:$Z,$H308)))),"","")&amp;IF(INDEX('Game Records'!$B:$B,$H308)="","Start Date; ","")&amp;IF(INDEX('Game Records'!$C:$C,$H308)="","End Date; ","")&amp;IF(AND(INDEX('Game Records'!$U:$U,$H308)&lt;&gt;"Subscription",INDEX('Game Records'!$U:$U,$H308)&lt;&gt;"Free Game",INDEX('Game Records'!$U:$U,$H308)&lt;&gt;"Disqualified — Free Game",OR(INDEX('Game Records'!$D:$D,$H308)="",LOWER(INDEX('Game Records'!$D:$D,$H308)&amp;"")="n/a")),"Entry Mode; ","")&amp;IF(AND(INDEX('Game Records'!$U:$U,$H308)&lt;&gt;"Subscription",INDEX('Game Records'!$U:$U,$H308)&lt;&gt;"Free Game",INDEX('Game Records'!$U:$U,$H308)&lt;&gt;"Disqualified — Free Game",OR(INDEX('Game Records'!$E:$E,$H308)="",LOWER(INDEX('Game Records'!$E:$E,$H308)&amp;"")="n/a")),"Game Type; ","")&amp;IF(INDEX('Game Records'!$F:$F,$H308)="","Payment Type; ","")&amp;IF(AND(INDEX('Game Records'!$U:$U,$H308)&lt;&gt;"Subscription",INDEX('Game Records'!$U:$U,$H308)&lt;&gt;"Free Game",INDEX('Game Records'!$U:$U,$H308)&lt;&gt;"Disqualified — Free Game",INDEX('Game Records'!$G:$G,$H308)=""),"Gross Pot; ","")&amp;IF(AND(INDEX('Game Records'!$U:$U,$H308)&lt;&gt;"Free Game",INDEX('Game Records'!$U:$U,$H308)&lt;&gt;"Disqualified — Free Game",INDEX('Game Records'!$H:$H,$H308)=""),"Entry Fee; ","")&amp;IF(AND(INDEX('Game Records'!$U:$U,$H308)&lt;&gt;"Subscription",INDEX('Game Records'!$U:$U,$H308)&lt;&gt;"Free Game",INDEX('Game Records'!$U:$U,$H308)&lt;&gt;"Disqualified — Free Game",INDEX('Game Records'!$I:$I,$H308)=""),"Eligible Players; ","")&amp;IF(AND(INDEX('Game Records'!$U:$U,$H308)&lt;&gt;"Subscription",INDEX('Game Records'!$U:$U,$H308)&lt;&gt;"Free Game",INDEX('Game Records'!$U:$U,$H308)&lt;&gt;"Disqualified — Free Game",INDEX('Game Records'!$J:$J,$H308)=""),"Total Players; ","")&amp;IF(AND(LOWER(INDEX('Game Records'!$D:$D,$H308)&amp;"")="finalized",LOWER(INDEX('Game Records'!$L:$L,$H308)&amp;"")&lt;&gt;"yes",INDEX('Game Records'!$U:$U,$H308)&lt;&gt;"Subscription",INDEX('Game Records'!$U:$U,$H308)&lt;&gt;"Free Game",INDEX('Game Records'!$U:$U,$H308)&lt;&gt;"Disqualified — Free Game",INDEX('Game Records'!$K:$K,$H308)=""),"Final Payout; ","")&amp;IF(AND(LOWER(INDEX('Game Records'!$D:$D,$H308)&amp;"")="finalized",INDEX('Game Records'!$U:$U,$H308)&lt;&gt;"Subscription",INDEX('Game Records'!$U:$U,$H308)&lt;&gt;"Free Game",INDEX('Game Records'!$U:$U,$H308)&lt;&gt;"Disqualified — Free Game",OR(INDEX('Game Records'!$L:$L,$H308)="",LOWER(INDEX('Game Records'!$L:$L,$H308)&amp;"")="n/a")),"Disqualified Status; ",""))</f>
        <v/>
      </c>
      <c r="G308" s="23" t="str">
        <f t="array" ref="G308">IF($H308="","",IFERROR(INDEX('Game Records'!$M:$M,$H308),""))</f>
        <v/>
      </c>
      <c r="H308" s="3"/>
    </row>
    <row r="309" ht="24.0" customHeight="1">
      <c r="A309" s="18" t="str">
        <f t="shared" si="1"/>
        <v/>
      </c>
      <c r="B309" s="18" t="str">
        <f t="shared" si="2"/>
        <v/>
      </c>
      <c r="C309" s="23" t="str">
        <f t="array" ref="C309">IF($H309="","",IFERROR(INDEX('Game Records'!$A:$A,$H309),""))</f>
        <v/>
      </c>
      <c r="D309" s="23" t="str">
        <f t="array" ref="D309">IF($H309="","",IFERROR(INDEX('Game Records'!$U:$U,$H309),""))</f>
        <v/>
      </c>
      <c r="E309" s="23" t="str">
        <f t="array" ref="E309">IF($H309="","",LET(r,$H309,mode,LOWER(INDEX('Game Records'!$D:$D,r)&amp;""),endDate,INDEX('Game Records'!$C:$C,r),IF(mode="estimate",IF(endDate="","Estimate — End Date missing",IF(NOT(ISNUMBER(endDate)),"Estimate — Check End Date",IF(INT(endDate)&gt;=TODAY(),"In Progress — ends "&amp;TEXT(endDate,"mmm d, yyyy"),"Ready to Finalize"))),IF($F309="","No Highlighted Fields","Highlighted Fields Present"))))</f>
        <v/>
      </c>
      <c r="F309" s="23" t="str">
        <f t="array" ref="F309">IF($H309="","",IF(OR(NOT(_xlfn.ISFORMULA(INDEX('Game Records'!$N:$N,$H309))),NOT(_xlfn.ISFORMULA(INDEX('Game Records'!$O:$O,$H309))),NOT(_xlfn.ISFORMULA(INDEX('Game Records'!$P:$P,$H309))),NOT(_xlfn.ISFORMULA(INDEX('Game Records'!$Q:$Q,$H309))),NOT(_xlfn.ISFORMULA(INDEX('Game Records'!$R:$R,$H309))),NOT(_xlfn.ISFORMULA(INDEX('Game Records'!$S:$S,$H309))),NOT(_xlfn.ISFORMULA(INDEX('Game Records'!$T:$T,$H309))),NOT(_xlfn.ISFORMULA(INDEX('Game Records'!$U:$U,$H309))),NOT(_xlfn.ISFORMULA(INDEX('Game Records'!$V:$V,$H309))),NOT(_xlfn.ISFORMULA(INDEX('Game Records'!$W:$W,$H309))),NOT(_xlfn.ISFORMULA(INDEX('Game Records'!$X:$X,$H309))),NOT(_xlfn.ISFORMULA(INDEX('Game Records'!$Y:$Y,$H309))),NOT(_xlfn.ISFORMULA(INDEX('Game Records'!$Z:$Z,$H309)))),"","")&amp;IF(INDEX('Game Records'!$B:$B,$H309)="","Start Date; ","")&amp;IF(INDEX('Game Records'!$C:$C,$H309)="","End Date; ","")&amp;IF(AND(INDEX('Game Records'!$U:$U,$H309)&lt;&gt;"Subscription",INDEX('Game Records'!$U:$U,$H309)&lt;&gt;"Free Game",INDEX('Game Records'!$U:$U,$H309)&lt;&gt;"Disqualified — Free Game",OR(INDEX('Game Records'!$D:$D,$H309)="",LOWER(INDEX('Game Records'!$D:$D,$H309)&amp;"")="n/a")),"Entry Mode; ","")&amp;IF(AND(INDEX('Game Records'!$U:$U,$H309)&lt;&gt;"Subscription",INDEX('Game Records'!$U:$U,$H309)&lt;&gt;"Free Game",INDEX('Game Records'!$U:$U,$H309)&lt;&gt;"Disqualified — Free Game",OR(INDEX('Game Records'!$E:$E,$H309)="",LOWER(INDEX('Game Records'!$E:$E,$H309)&amp;"")="n/a")),"Game Type; ","")&amp;IF(INDEX('Game Records'!$F:$F,$H309)="","Payment Type; ","")&amp;IF(AND(INDEX('Game Records'!$U:$U,$H309)&lt;&gt;"Subscription",INDEX('Game Records'!$U:$U,$H309)&lt;&gt;"Free Game",INDEX('Game Records'!$U:$U,$H309)&lt;&gt;"Disqualified — Free Game",INDEX('Game Records'!$G:$G,$H309)=""),"Gross Pot; ","")&amp;IF(AND(INDEX('Game Records'!$U:$U,$H309)&lt;&gt;"Free Game",INDEX('Game Records'!$U:$U,$H309)&lt;&gt;"Disqualified — Free Game",INDEX('Game Records'!$H:$H,$H309)=""),"Entry Fee; ","")&amp;IF(AND(INDEX('Game Records'!$U:$U,$H309)&lt;&gt;"Subscription",INDEX('Game Records'!$U:$U,$H309)&lt;&gt;"Free Game",INDEX('Game Records'!$U:$U,$H309)&lt;&gt;"Disqualified — Free Game",INDEX('Game Records'!$I:$I,$H309)=""),"Eligible Players; ","")&amp;IF(AND(INDEX('Game Records'!$U:$U,$H309)&lt;&gt;"Subscription",INDEX('Game Records'!$U:$U,$H309)&lt;&gt;"Free Game",INDEX('Game Records'!$U:$U,$H309)&lt;&gt;"Disqualified — Free Game",INDEX('Game Records'!$J:$J,$H309)=""),"Total Players; ","")&amp;IF(AND(LOWER(INDEX('Game Records'!$D:$D,$H309)&amp;"")="finalized",LOWER(INDEX('Game Records'!$L:$L,$H309)&amp;"")&lt;&gt;"yes",INDEX('Game Records'!$U:$U,$H309)&lt;&gt;"Subscription",INDEX('Game Records'!$U:$U,$H309)&lt;&gt;"Free Game",INDEX('Game Records'!$U:$U,$H309)&lt;&gt;"Disqualified — Free Game",INDEX('Game Records'!$K:$K,$H309)=""),"Final Payout; ","")&amp;IF(AND(LOWER(INDEX('Game Records'!$D:$D,$H309)&amp;"")="finalized",INDEX('Game Records'!$U:$U,$H309)&lt;&gt;"Subscription",INDEX('Game Records'!$U:$U,$H309)&lt;&gt;"Free Game",INDEX('Game Records'!$U:$U,$H309)&lt;&gt;"Disqualified — Free Game",OR(INDEX('Game Records'!$L:$L,$H309)="",LOWER(INDEX('Game Records'!$L:$L,$H309)&amp;"")="n/a")),"Disqualified Status; ",""))</f>
        <v/>
      </c>
      <c r="G309" s="23" t="str">
        <f t="array" ref="G309">IF($H309="","",IFERROR(INDEX('Game Records'!$M:$M,$H309),""))</f>
        <v/>
      </c>
      <c r="H309" s="3"/>
    </row>
    <row r="310" ht="24.0" customHeight="1">
      <c r="A310" s="18" t="str">
        <f t="shared" si="1"/>
        <v/>
      </c>
      <c r="B310" s="18" t="str">
        <f t="shared" si="2"/>
        <v/>
      </c>
      <c r="C310" s="23" t="str">
        <f t="array" ref="C310">IF($H310="","",IFERROR(INDEX('Game Records'!$A:$A,$H310),""))</f>
        <v/>
      </c>
      <c r="D310" s="23" t="str">
        <f t="array" ref="D310">IF($H310="","",IFERROR(INDEX('Game Records'!$U:$U,$H310),""))</f>
        <v/>
      </c>
      <c r="E310" s="23" t="str">
        <f t="array" ref="E310">IF($H310="","",LET(r,$H310,mode,LOWER(INDEX('Game Records'!$D:$D,r)&amp;""),endDate,INDEX('Game Records'!$C:$C,r),IF(mode="estimate",IF(endDate="","Estimate — End Date missing",IF(NOT(ISNUMBER(endDate)),"Estimate — Check End Date",IF(INT(endDate)&gt;=TODAY(),"In Progress — ends "&amp;TEXT(endDate,"mmm d, yyyy"),"Ready to Finalize"))),IF($F310="","No Highlighted Fields","Highlighted Fields Present"))))</f>
        <v/>
      </c>
      <c r="F310" s="23" t="str">
        <f t="array" ref="F310">IF($H310="","",IF(OR(NOT(_xlfn.ISFORMULA(INDEX('Game Records'!$N:$N,$H310))),NOT(_xlfn.ISFORMULA(INDEX('Game Records'!$O:$O,$H310))),NOT(_xlfn.ISFORMULA(INDEX('Game Records'!$P:$P,$H310))),NOT(_xlfn.ISFORMULA(INDEX('Game Records'!$Q:$Q,$H310))),NOT(_xlfn.ISFORMULA(INDEX('Game Records'!$R:$R,$H310))),NOT(_xlfn.ISFORMULA(INDEX('Game Records'!$S:$S,$H310))),NOT(_xlfn.ISFORMULA(INDEX('Game Records'!$T:$T,$H310))),NOT(_xlfn.ISFORMULA(INDEX('Game Records'!$U:$U,$H310))),NOT(_xlfn.ISFORMULA(INDEX('Game Records'!$V:$V,$H310))),NOT(_xlfn.ISFORMULA(INDEX('Game Records'!$W:$W,$H310))),NOT(_xlfn.ISFORMULA(INDEX('Game Records'!$X:$X,$H310))),NOT(_xlfn.ISFORMULA(INDEX('Game Records'!$Y:$Y,$H310))),NOT(_xlfn.ISFORMULA(INDEX('Game Records'!$Z:$Z,$H310)))),"","")&amp;IF(INDEX('Game Records'!$B:$B,$H310)="","Start Date; ","")&amp;IF(INDEX('Game Records'!$C:$C,$H310)="","End Date; ","")&amp;IF(AND(INDEX('Game Records'!$U:$U,$H310)&lt;&gt;"Subscription",INDEX('Game Records'!$U:$U,$H310)&lt;&gt;"Free Game",INDEX('Game Records'!$U:$U,$H310)&lt;&gt;"Disqualified — Free Game",OR(INDEX('Game Records'!$D:$D,$H310)="",LOWER(INDEX('Game Records'!$D:$D,$H310)&amp;"")="n/a")),"Entry Mode; ","")&amp;IF(AND(INDEX('Game Records'!$U:$U,$H310)&lt;&gt;"Subscription",INDEX('Game Records'!$U:$U,$H310)&lt;&gt;"Free Game",INDEX('Game Records'!$U:$U,$H310)&lt;&gt;"Disqualified — Free Game",OR(INDEX('Game Records'!$E:$E,$H310)="",LOWER(INDEX('Game Records'!$E:$E,$H310)&amp;"")="n/a")),"Game Type; ","")&amp;IF(INDEX('Game Records'!$F:$F,$H310)="","Payment Type; ","")&amp;IF(AND(INDEX('Game Records'!$U:$U,$H310)&lt;&gt;"Subscription",INDEX('Game Records'!$U:$U,$H310)&lt;&gt;"Free Game",INDEX('Game Records'!$U:$U,$H310)&lt;&gt;"Disqualified — Free Game",INDEX('Game Records'!$G:$G,$H310)=""),"Gross Pot; ","")&amp;IF(AND(INDEX('Game Records'!$U:$U,$H310)&lt;&gt;"Free Game",INDEX('Game Records'!$U:$U,$H310)&lt;&gt;"Disqualified — Free Game",INDEX('Game Records'!$H:$H,$H310)=""),"Entry Fee; ","")&amp;IF(AND(INDEX('Game Records'!$U:$U,$H310)&lt;&gt;"Subscription",INDEX('Game Records'!$U:$U,$H310)&lt;&gt;"Free Game",INDEX('Game Records'!$U:$U,$H310)&lt;&gt;"Disqualified — Free Game",INDEX('Game Records'!$I:$I,$H310)=""),"Eligible Players; ","")&amp;IF(AND(INDEX('Game Records'!$U:$U,$H310)&lt;&gt;"Subscription",INDEX('Game Records'!$U:$U,$H310)&lt;&gt;"Free Game",INDEX('Game Records'!$U:$U,$H310)&lt;&gt;"Disqualified — Free Game",INDEX('Game Records'!$J:$J,$H310)=""),"Total Players; ","")&amp;IF(AND(LOWER(INDEX('Game Records'!$D:$D,$H310)&amp;"")="finalized",LOWER(INDEX('Game Records'!$L:$L,$H310)&amp;"")&lt;&gt;"yes",INDEX('Game Records'!$U:$U,$H310)&lt;&gt;"Subscription",INDEX('Game Records'!$U:$U,$H310)&lt;&gt;"Free Game",INDEX('Game Records'!$U:$U,$H310)&lt;&gt;"Disqualified — Free Game",INDEX('Game Records'!$K:$K,$H310)=""),"Final Payout; ","")&amp;IF(AND(LOWER(INDEX('Game Records'!$D:$D,$H310)&amp;"")="finalized",INDEX('Game Records'!$U:$U,$H310)&lt;&gt;"Subscription",INDEX('Game Records'!$U:$U,$H310)&lt;&gt;"Free Game",INDEX('Game Records'!$U:$U,$H310)&lt;&gt;"Disqualified — Free Game",OR(INDEX('Game Records'!$L:$L,$H310)="",LOWER(INDEX('Game Records'!$L:$L,$H310)&amp;"")="n/a")),"Disqualified Status; ",""))</f>
        <v/>
      </c>
      <c r="G310" s="23" t="str">
        <f t="array" ref="G310">IF($H310="","",IFERROR(INDEX('Game Records'!$M:$M,$H310),""))</f>
        <v/>
      </c>
      <c r="H310" s="3"/>
    </row>
    <row r="311" ht="24.0" customHeight="1">
      <c r="A311" s="18" t="str">
        <f t="shared" si="1"/>
        <v/>
      </c>
      <c r="B311" s="18" t="str">
        <f t="shared" si="2"/>
        <v/>
      </c>
      <c r="C311" s="23" t="str">
        <f t="array" ref="C311">IF($H311="","",IFERROR(INDEX('Game Records'!$A:$A,$H311),""))</f>
        <v/>
      </c>
      <c r="D311" s="23" t="str">
        <f t="array" ref="D311">IF($H311="","",IFERROR(INDEX('Game Records'!$U:$U,$H311),""))</f>
        <v/>
      </c>
      <c r="E311" s="23" t="str">
        <f t="array" ref="E311">IF($H311="","",LET(r,$H311,mode,LOWER(INDEX('Game Records'!$D:$D,r)&amp;""),endDate,INDEX('Game Records'!$C:$C,r),IF(mode="estimate",IF(endDate="","Estimate — End Date missing",IF(NOT(ISNUMBER(endDate)),"Estimate — Check End Date",IF(INT(endDate)&gt;=TODAY(),"In Progress — ends "&amp;TEXT(endDate,"mmm d, yyyy"),"Ready to Finalize"))),IF($F311="","No Highlighted Fields","Highlighted Fields Present"))))</f>
        <v/>
      </c>
      <c r="F311" s="23" t="str">
        <f t="array" ref="F311">IF($H311="","",IF(OR(NOT(_xlfn.ISFORMULA(INDEX('Game Records'!$N:$N,$H311))),NOT(_xlfn.ISFORMULA(INDEX('Game Records'!$O:$O,$H311))),NOT(_xlfn.ISFORMULA(INDEX('Game Records'!$P:$P,$H311))),NOT(_xlfn.ISFORMULA(INDEX('Game Records'!$Q:$Q,$H311))),NOT(_xlfn.ISFORMULA(INDEX('Game Records'!$R:$R,$H311))),NOT(_xlfn.ISFORMULA(INDEX('Game Records'!$S:$S,$H311))),NOT(_xlfn.ISFORMULA(INDEX('Game Records'!$T:$T,$H311))),NOT(_xlfn.ISFORMULA(INDEX('Game Records'!$U:$U,$H311))),NOT(_xlfn.ISFORMULA(INDEX('Game Records'!$V:$V,$H311))),NOT(_xlfn.ISFORMULA(INDEX('Game Records'!$W:$W,$H311))),NOT(_xlfn.ISFORMULA(INDEX('Game Records'!$X:$X,$H311))),NOT(_xlfn.ISFORMULA(INDEX('Game Records'!$Y:$Y,$H311))),NOT(_xlfn.ISFORMULA(INDEX('Game Records'!$Z:$Z,$H311)))),"","")&amp;IF(INDEX('Game Records'!$B:$B,$H311)="","Start Date; ","")&amp;IF(INDEX('Game Records'!$C:$C,$H311)="","End Date; ","")&amp;IF(AND(INDEX('Game Records'!$U:$U,$H311)&lt;&gt;"Subscription",INDEX('Game Records'!$U:$U,$H311)&lt;&gt;"Free Game",INDEX('Game Records'!$U:$U,$H311)&lt;&gt;"Disqualified — Free Game",OR(INDEX('Game Records'!$D:$D,$H311)="",LOWER(INDEX('Game Records'!$D:$D,$H311)&amp;"")="n/a")),"Entry Mode; ","")&amp;IF(AND(INDEX('Game Records'!$U:$U,$H311)&lt;&gt;"Subscription",INDEX('Game Records'!$U:$U,$H311)&lt;&gt;"Free Game",INDEX('Game Records'!$U:$U,$H311)&lt;&gt;"Disqualified — Free Game",OR(INDEX('Game Records'!$E:$E,$H311)="",LOWER(INDEX('Game Records'!$E:$E,$H311)&amp;"")="n/a")),"Game Type; ","")&amp;IF(INDEX('Game Records'!$F:$F,$H311)="","Payment Type; ","")&amp;IF(AND(INDEX('Game Records'!$U:$U,$H311)&lt;&gt;"Subscription",INDEX('Game Records'!$U:$U,$H311)&lt;&gt;"Free Game",INDEX('Game Records'!$U:$U,$H311)&lt;&gt;"Disqualified — Free Game",INDEX('Game Records'!$G:$G,$H311)=""),"Gross Pot; ","")&amp;IF(AND(INDEX('Game Records'!$U:$U,$H311)&lt;&gt;"Free Game",INDEX('Game Records'!$U:$U,$H311)&lt;&gt;"Disqualified — Free Game",INDEX('Game Records'!$H:$H,$H311)=""),"Entry Fee; ","")&amp;IF(AND(INDEX('Game Records'!$U:$U,$H311)&lt;&gt;"Subscription",INDEX('Game Records'!$U:$U,$H311)&lt;&gt;"Free Game",INDEX('Game Records'!$U:$U,$H311)&lt;&gt;"Disqualified — Free Game",INDEX('Game Records'!$I:$I,$H311)=""),"Eligible Players; ","")&amp;IF(AND(INDEX('Game Records'!$U:$U,$H311)&lt;&gt;"Subscription",INDEX('Game Records'!$U:$U,$H311)&lt;&gt;"Free Game",INDEX('Game Records'!$U:$U,$H311)&lt;&gt;"Disqualified — Free Game",INDEX('Game Records'!$J:$J,$H311)=""),"Total Players; ","")&amp;IF(AND(LOWER(INDEX('Game Records'!$D:$D,$H311)&amp;"")="finalized",LOWER(INDEX('Game Records'!$L:$L,$H311)&amp;"")&lt;&gt;"yes",INDEX('Game Records'!$U:$U,$H311)&lt;&gt;"Subscription",INDEX('Game Records'!$U:$U,$H311)&lt;&gt;"Free Game",INDEX('Game Records'!$U:$U,$H311)&lt;&gt;"Disqualified — Free Game",INDEX('Game Records'!$K:$K,$H311)=""),"Final Payout; ","")&amp;IF(AND(LOWER(INDEX('Game Records'!$D:$D,$H311)&amp;"")="finalized",INDEX('Game Records'!$U:$U,$H311)&lt;&gt;"Subscription",INDEX('Game Records'!$U:$U,$H311)&lt;&gt;"Free Game",INDEX('Game Records'!$U:$U,$H311)&lt;&gt;"Disqualified — Free Game",OR(INDEX('Game Records'!$L:$L,$H311)="",LOWER(INDEX('Game Records'!$L:$L,$H311)&amp;"")="n/a")),"Disqualified Status; ",""))</f>
        <v/>
      </c>
      <c r="G311" s="23" t="str">
        <f t="array" ref="G311">IF($H311="","",IFERROR(INDEX('Game Records'!$M:$M,$H311),""))</f>
        <v/>
      </c>
      <c r="H311" s="3"/>
    </row>
    <row r="312" ht="24.0" customHeight="1">
      <c r="A312" s="18" t="str">
        <f t="shared" si="1"/>
        <v/>
      </c>
      <c r="B312" s="18" t="str">
        <f t="shared" si="2"/>
        <v/>
      </c>
      <c r="C312" s="23" t="str">
        <f t="array" ref="C312">IF($H312="","",IFERROR(INDEX('Game Records'!$A:$A,$H312),""))</f>
        <v/>
      </c>
      <c r="D312" s="23" t="str">
        <f t="array" ref="D312">IF($H312="","",IFERROR(INDEX('Game Records'!$U:$U,$H312),""))</f>
        <v/>
      </c>
      <c r="E312" s="23" t="str">
        <f t="array" ref="E312">IF($H312="","",LET(r,$H312,mode,LOWER(INDEX('Game Records'!$D:$D,r)&amp;""),endDate,INDEX('Game Records'!$C:$C,r),IF(mode="estimate",IF(endDate="","Estimate — End Date missing",IF(NOT(ISNUMBER(endDate)),"Estimate — Check End Date",IF(INT(endDate)&gt;=TODAY(),"In Progress — ends "&amp;TEXT(endDate,"mmm d, yyyy"),"Ready to Finalize"))),IF($F312="","No Highlighted Fields","Highlighted Fields Present"))))</f>
        <v/>
      </c>
      <c r="F312" s="23" t="str">
        <f t="array" ref="F312">IF($H312="","",IF(OR(NOT(_xlfn.ISFORMULA(INDEX('Game Records'!$N:$N,$H312))),NOT(_xlfn.ISFORMULA(INDEX('Game Records'!$O:$O,$H312))),NOT(_xlfn.ISFORMULA(INDEX('Game Records'!$P:$P,$H312))),NOT(_xlfn.ISFORMULA(INDEX('Game Records'!$Q:$Q,$H312))),NOT(_xlfn.ISFORMULA(INDEX('Game Records'!$R:$R,$H312))),NOT(_xlfn.ISFORMULA(INDEX('Game Records'!$S:$S,$H312))),NOT(_xlfn.ISFORMULA(INDEX('Game Records'!$T:$T,$H312))),NOT(_xlfn.ISFORMULA(INDEX('Game Records'!$U:$U,$H312))),NOT(_xlfn.ISFORMULA(INDEX('Game Records'!$V:$V,$H312))),NOT(_xlfn.ISFORMULA(INDEX('Game Records'!$W:$W,$H312))),NOT(_xlfn.ISFORMULA(INDEX('Game Records'!$X:$X,$H312))),NOT(_xlfn.ISFORMULA(INDEX('Game Records'!$Y:$Y,$H312))),NOT(_xlfn.ISFORMULA(INDEX('Game Records'!$Z:$Z,$H312)))),"","")&amp;IF(INDEX('Game Records'!$B:$B,$H312)="","Start Date; ","")&amp;IF(INDEX('Game Records'!$C:$C,$H312)="","End Date; ","")&amp;IF(AND(INDEX('Game Records'!$U:$U,$H312)&lt;&gt;"Subscription",INDEX('Game Records'!$U:$U,$H312)&lt;&gt;"Free Game",INDEX('Game Records'!$U:$U,$H312)&lt;&gt;"Disqualified — Free Game",OR(INDEX('Game Records'!$D:$D,$H312)="",LOWER(INDEX('Game Records'!$D:$D,$H312)&amp;"")="n/a")),"Entry Mode; ","")&amp;IF(AND(INDEX('Game Records'!$U:$U,$H312)&lt;&gt;"Subscription",INDEX('Game Records'!$U:$U,$H312)&lt;&gt;"Free Game",INDEX('Game Records'!$U:$U,$H312)&lt;&gt;"Disqualified — Free Game",OR(INDEX('Game Records'!$E:$E,$H312)="",LOWER(INDEX('Game Records'!$E:$E,$H312)&amp;"")="n/a")),"Game Type; ","")&amp;IF(INDEX('Game Records'!$F:$F,$H312)="","Payment Type; ","")&amp;IF(AND(INDEX('Game Records'!$U:$U,$H312)&lt;&gt;"Subscription",INDEX('Game Records'!$U:$U,$H312)&lt;&gt;"Free Game",INDEX('Game Records'!$U:$U,$H312)&lt;&gt;"Disqualified — Free Game",INDEX('Game Records'!$G:$G,$H312)=""),"Gross Pot; ","")&amp;IF(AND(INDEX('Game Records'!$U:$U,$H312)&lt;&gt;"Free Game",INDEX('Game Records'!$U:$U,$H312)&lt;&gt;"Disqualified — Free Game",INDEX('Game Records'!$H:$H,$H312)=""),"Entry Fee; ","")&amp;IF(AND(INDEX('Game Records'!$U:$U,$H312)&lt;&gt;"Subscription",INDEX('Game Records'!$U:$U,$H312)&lt;&gt;"Free Game",INDEX('Game Records'!$U:$U,$H312)&lt;&gt;"Disqualified — Free Game",INDEX('Game Records'!$I:$I,$H312)=""),"Eligible Players; ","")&amp;IF(AND(INDEX('Game Records'!$U:$U,$H312)&lt;&gt;"Subscription",INDEX('Game Records'!$U:$U,$H312)&lt;&gt;"Free Game",INDEX('Game Records'!$U:$U,$H312)&lt;&gt;"Disqualified — Free Game",INDEX('Game Records'!$J:$J,$H312)=""),"Total Players; ","")&amp;IF(AND(LOWER(INDEX('Game Records'!$D:$D,$H312)&amp;"")="finalized",LOWER(INDEX('Game Records'!$L:$L,$H312)&amp;"")&lt;&gt;"yes",INDEX('Game Records'!$U:$U,$H312)&lt;&gt;"Subscription",INDEX('Game Records'!$U:$U,$H312)&lt;&gt;"Free Game",INDEX('Game Records'!$U:$U,$H312)&lt;&gt;"Disqualified — Free Game",INDEX('Game Records'!$K:$K,$H312)=""),"Final Payout; ","")&amp;IF(AND(LOWER(INDEX('Game Records'!$D:$D,$H312)&amp;"")="finalized",INDEX('Game Records'!$U:$U,$H312)&lt;&gt;"Subscription",INDEX('Game Records'!$U:$U,$H312)&lt;&gt;"Free Game",INDEX('Game Records'!$U:$U,$H312)&lt;&gt;"Disqualified — Free Game",OR(INDEX('Game Records'!$L:$L,$H312)="",LOWER(INDEX('Game Records'!$L:$L,$H312)&amp;"")="n/a")),"Disqualified Status; ",""))</f>
        <v/>
      </c>
      <c r="G312" s="23" t="str">
        <f t="array" ref="G312">IF($H312="","",IFERROR(INDEX('Game Records'!$M:$M,$H312),""))</f>
        <v/>
      </c>
      <c r="H312" s="3"/>
    </row>
    <row r="313" ht="24.0" customHeight="1">
      <c r="A313" s="18" t="str">
        <f t="shared" si="1"/>
        <v/>
      </c>
      <c r="B313" s="18" t="str">
        <f t="shared" si="2"/>
        <v/>
      </c>
      <c r="C313" s="23" t="str">
        <f t="array" ref="C313">IF($H313="","",IFERROR(INDEX('Game Records'!$A:$A,$H313),""))</f>
        <v/>
      </c>
      <c r="D313" s="23" t="str">
        <f t="array" ref="D313">IF($H313="","",IFERROR(INDEX('Game Records'!$U:$U,$H313),""))</f>
        <v/>
      </c>
      <c r="E313" s="23" t="str">
        <f t="array" ref="E313">IF($H313="","",LET(r,$H313,mode,LOWER(INDEX('Game Records'!$D:$D,r)&amp;""),endDate,INDEX('Game Records'!$C:$C,r),IF(mode="estimate",IF(endDate="","Estimate — End Date missing",IF(NOT(ISNUMBER(endDate)),"Estimate — Check End Date",IF(INT(endDate)&gt;=TODAY(),"In Progress — ends "&amp;TEXT(endDate,"mmm d, yyyy"),"Ready to Finalize"))),IF($F313="","No Highlighted Fields","Highlighted Fields Present"))))</f>
        <v/>
      </c>
      <c r="F313" s="23" t="str">
        <f t="array" ref="F313">IF($H313="","",IF(OR(NOT(_xlfn.ISFORMULA(INDEX('Game Records'!$N:$N,$H313))),NOT(_xlfn.ISFORMULA(INDEX('Game Records'!$O:$O,$H313))),NOT(_xlfn.ISFORMULA(INDEX('Game Records'!$P:$P,$H313))),NOT(_xlfn.ISFORMULA(INDEX('Game Records'!$Q:$Q,$H313))),NOT(_xlfn.ISFORMULA(INDEX('Game Records'!$R:$R,$H313))),NOT(_xlfn.ISFORMULA(INDEX('Game Records'!$S:$S,$H313))),NOT(_xlfn.ISFORMULA(INDEX('Game Records'!$T:$T,$H313))),NOT(_xlfn.ISFORMULA(INDEX('Game Records'!$U:$U,$H313))),NOT(_xlfn.ISFORMULA(INDEX('Game Records'!$V:$V,$H313))),NOT(_xlfn.ISFORMULA(INDEX('Game Records'!$W:$W,$H313))),NOT(_xlfn.ISFORMULA(INDEX('Game Records'!$X:$X,$H313))),NOT(_xlfn.ISFORMULA(INDEX('Game Records'!$Y:$Y,$H313))),NOT(_xlfn.ISFORMULA(INDEX('Game Records'!$Z:$Z,$H313)))),"","")&amp;IF(INDEX('Game Records'!$B:$B,$H313)="","Start Date; ","")&amp;IF(INDEX('Game Records'!$C:$C,$H313)="","End Date; ","")&amp;IF(AND(INDEX('Game Records'!$U:$U,$H313)&lt;&gt;"Subscription",INDEX('Game Records'!$U:$U,$H313)&lt;&gt;"Free Game",INDEX('Game Records'!$U:$U,$H313)&lt;&gt;"Disqualified — Free Game",OR(INDEX('Game Records'!$D:$D,$H313)="",LOWER(INDEX('Game Records'!$D:$D,$H313)&amp;"")="n/a")),"Entry Mode; ","")&amp;IF(AND(INDEX('Game Records'!$U:$U,$H313)&lt;&gt;"Subscription",INDEX('Game Records'!$U:$U,$H313)&lt;&gt;"Free Game",INDEX('Game Records'!$U:$U,$H313)&lt;&gt;"Disqualified — Free Game",OR(INDEX('Game Records'!$E:$E,$H313)="",LOWER(INDEX('Game Records'!$E:$E,$H313)&amp;"")="n/a")),"Game Type; ","")&amp;IF(INDEX('Game Records'!$F:$F,$H313)="","Payment Type; ","")&amp;IF(AND(INDEX('Game Records'!$U:$U,$H313)&lt;&gt;"Subscription",INDEX('Game Records'!$U:$U,$H313)&lt;&gt;"Free Game",INDEX('Game Records'!$U:$U,$H313)&lt;&gt;"Disqualified — Free Game",INDEX('Game Records'!$G:$G,$H313)=""),"Gross Pot; ","")&amp;IF(AND(INDEX('Game Records'!$U:$U,$H313)&lt;&gt;"Free Game",INDEX('Game Records'!$U:$U,$H313)&lt;&gt;"Disqualified — Free Game",INDEX('Game Records'!$H:$H,$H313)=""),"Entry Fee; ","")&amp;IF(AND(INDEX('Game Records'!$U:$U,$H313)&lt;&gt;"Subscription",INDEX('Game Records'!$U:$U,$H313)&lt;&gt;"Free Game",INDEX('Game Records'!$U:$U,$H313)&lt;&gt;"Disqualified — Free Game",INDEX('Game Records'!$I:$I,$H313)=""),"Eligible Players; ","")&amp;IF(AND(INDEX('Game Records'!$U:$U,$H313)&lt;&gt;"Subscription",INDEX('Game Records'!$U:$U,$H313)&lt;&gt;"Free Game",INDEX('Game Records'!$U:$U,$H313)&lt;&gt;"Disqualified — Free Game",INDEX('Game Records'!$J:$J,$H313)=""),"Total Players; ","")&amp;IF(AND(LOWER(INDEX('Game Records'!$D:$D,$H313)&amp;"")="finalized",LOWER(INDEX('Game Records'!$L:$L,$H313)&amp;"")&lt;&gt;"yes",INDEX('Game Records'!$U:$U,$H313)&lt;&gt;"Subscription",INDEX('Game Records'!$U:$U,$H313)&lt;&gt;"Free Game",INDEX('Game Records'!$U:$U,$H313)&lt;&gt;"Disqualified — Free Game",INDEX('Game Records'!$K:$K,$H313)=""),"Final Payout; ","")&amp;IF(AND(LOWER(INDEX('Game Records'!$D:$D,$H313)&amp;"")="finalized",INDEX('Game Records'!$U:$U,$H313)&lt;&gt;"Subscription",INDEX('Game Records'!$U:$U,$H313)&lt;&gt;"Free Game",INDEX('Game Records'!$U:$U,$H313)&lt;&gt;"Disqualified — Free Game",OR(INDEX('Game Records'!$L:$L,$H313)="",LOWER(INDEX('Game Records'!$L:$L,$H313)&amp;"")="n/a")),"Disqualified Status; ",""))</f>
        <v/>
      </c>
      <c r="G313" s="23" t="str">
        <f t="array" ref="G313">IF($H313="","",IFERROR(INDEX('Game Records'!$M:$M,$H313),""))</f>
        <v/>
      </c>
      <c r="H313" s="3"/>
    </row>
    <row r="314" ht="24.0" customHeight="1">
      <c r="A314" s="18" t="str">
        <f t="shared" si="1"/>
        <v/>
      </c>
      <c r="B314" s="18" t="str">
        <f t="shared" si="2"/>
        <v/>
      </c>
      <c r="C314" s="23" t="str">
        <f t="array" ref="C314">IF($H314="","",IFERROR(INDEX('Game Records'!$A:$A,$H314),""))</f>
        <v/>
      </c>
      <c r="D314" s="23" t="str">
        <f t="array" ref="D314">IF($H314="","",IFERROR(INDEX('Game Records'!$U:$U,$H314),""))</f>
        <v/>
      </c>
      <c r="E314" s="23" t="str">
        <f t="array" ref="E314">IF($H314="","",LET(r,$H314,mode,LOWER(INDEX('Game Records'!$D:$D,r)&amp;""),endDate,INDEX('Game Records'!$C:$C,r),IF(mode="estimate",IF(endDate="","Estimate — End Date missing",IF(NOT(ISNUMBER(endDate)),"Estimate — Check End Date",IF(INT(endDate)&gt;=TODAY(),"In Progress — ends "&amp;TEXT(endDate,"mmm d, yyyy"),"Ready to Finalize"))),IF($F314="","No Highlighted Fields","Highlighted Fields Present"))))</f>
        <v/>
      </c>
      <c r="F314" s="23" t="str">
        <f t="array" ref="F314">IF($H314="","",IF(OR(NOT(_xlfn.ISFORMULA(INDEX('Game Records'!$N:$N,$H314))),NOT(_xlfn.ISFORMULA(INDEX('Game Records'!$O:$O,$H314))),NOT(_xlfn.ISFORMULA(INDEX('Game Records'!$P:$P,$H314))),NOT(_xlfn.ISFORMULA(INDEX('Game Records'!$Q:$Q,$H314))),NOT(_xlfn.ISFORMULA(INDEX('Game Records'!$R:$R,$H314))),NOT(_xlfn.ISFORMULA(INDEX('Game Records'!$S:$S,$H314))),NOT(_xlfn.ISFORMULA(INDEX('Game Records'!$T:$T,$H314))),NOT(_xlfn.ISFORMULA(INDEX('Game Records'!$U:$U,$H314))),NOT(_xlfn.ISFORMULA(INDEX('Game Records'!$V:$V,$H314))),NOT(_xlfn.ISFORMULA(INDEX('Game Records'!$W:$W,$H314))),NOT(_xlfn.ISFORMULA(INDEX('Game Records'!$X:$X,$H314))),NOT(_xlfn.ISFORMULA(INDEX('Game Records'!$Y:$Y,$H314))),NOT(_xlfn.ISFORMULA(INDEX('Game Records'!$Z:$Z,$H314)))),"","")&amp;IF(INDEX('Game Records'!$B:$B,$H314)="","Start Date; ","")&amp;IF(INDEX('Game Records'!$C:$C,$H314)="","End Date; ","")&amp;IF(AND(INDEX('Game Records'!$U:$U,$H314)&lt;&gt;"Subscription",INDEX('Game Records'!$U:$U,$H314)&lt;&gt;"Free Game",INDEX('Game Records'!$U:$U,$H314)&lt;&gt;"Disqualified — Free Game",OR(INDEX('Game Records'!$D:$D,$H314)="",LOWER(INDEX('Game Records'!$D:$D,$H314)&amp;"")="n/a")),"Entry Mode; ","")&amp;IF(AND(INDEX('Game Records'!$U:$U,$H314)&lt;&gt;"Subscription",INDEX('Game Records'!$U:$U,$H314)&lt;&gt;"Free Game",INDEX('Game Records'!$U:$U,$H314)&lt;&gt;"Disqualified — Free Game",OR(INDEX('Game Records'!$E:$E,$H314)="",LOWER(INDEX('Game Records'!$E:$E,$H314)&amp;"")="n/a")),"Game Type; ","")&amp;IF(INDEX('Game Records'!$F:$F,$H314)="","Payment Type; ","")&amp;IF(AND(INDEX('Game Records'!$U:$U,$H314)&lt;&gt;"Subscription",INDEX('Game Records'!$U:$U,$H314)&lt;&gt;"Free Game",INDEX('Game Records'!$U:$U,$H314)&lt;&gt;"Disqualified — Free Game",INDEX('Game Records'!$G:$G,$H314)=""),"Gross Pot; ","")&amp;IF(AND(INDEX('Game Records'!$U:$U,$H314)&lt;&gt;"Free Game",INDEX('Game Records'!$U:$U,$H314)&lt;&gt;"Disqualified — Free Game",INDEX('Game Records'!$H:$H,$H314)=""),"Entry Fee; ","")&amp;IF(AND(INDEX('Game Records'!$U:$U,$H314)&lt;&gt;"Subscription",INDEX('Game Records'!$U:$U,$H314)&lt;&gt;"Free Game",INDEX('Game Records'!$U:$U,$H314)&lt;&gt;"Disqualified — Free Game",INDEX('Game Records'!$I:$I,$H314)=""),"Eligible Players; ","")&amp;IF(AND(INDEX('Game Records'!$U:$U,$H314)&lt;&gt;"Subscription",INDEX('Game Records'!$U:$U,$H314)&lt;&gt;"Free Game",INDEX('Game Records'!$U:$U,$H314)&lt;&gt;"Disqualified — Free Game",INDEX('Game Records'!$J:$J,$H314)=""),"Total Players; ","")&amp;IF(AND(LOWER(INDEX('Game Records'!$D:$D,$H314)&amp;"")="finalized",LOWER(INDEX('Game Records'!$L:$L,$H314)&amp;"")&lt;&gt;"yes",INDEX('Game Records'!$U:$U,$H314)&lt;&gt;"Subscription",INDEX('Game Records'!$U:$U,$H314)&lt;&gt;"Free Game",INDEX('Game Records'!$U:$U,$H314)&lt;&gt;"Disqualified — Free Game",INDEX('Game Records'!$K:$K,$H314)=""),"Final Payout; ","")&amp;IF(AND(LOWER(INDEX('Game Records'!$D:$D,$H314)&amp;"")="finalized",INDEX('Game Records'!$U:$U,$H314)&lt;&gt;"Subscription",INDEX('Game Records'!$U:$U,$H314)&lt;&gt;"Free Game",INDEX('Game Records'!$U:$U,$H314)&lt;&gt;"Disqualified — Free Game",OR(INDEX('Game Records'!$L:$L,$H314)="",LOWER(INDEX('Game Records'!$L:$L,$H314)&amp;"")="n/a")),"Disqualified Status; ",""))</f>
        <v/>
      </c>
      <c r="G314" s="23" t="str">
        <f t="array" ref="G314">IF($H314="","",IFERROR(INDEX('Game Records'!$M:$M,$H314),""))</f>
        <v/>
      </c>
      <c r="H314" s="3"/>
    </row>
    <row r="315" ht="24.0" customHeight="1">
      <c r="A315" s="18" t="str">
        <f t="shared" si="1"/>
        <v/>
      </c>
      <c r="B315" s="18" t="str">
        <f t="shared" si="2"/>
        <v/>
      </c>
      <c r="C315" s="23" t="str">
        <f t="array" ref="C315">IF($H315="","",IFERROR(INDEX('Game Records'!$A:$A,$H315),""))</f>
        <v/>
      </c>
      <c r="D315" s="23" t="str">
        <f t="array" ref="D315">IF($H315="","",IFERROR(INDEX('Game Records'!$U:$U,$H315),""))</f>
        <v/>
      </c>
      <c r="E315" s="23" t="str">
        <f t="array" ref="E315">IF($H315="","",LET(r,$H315,mode,LOWER(INDEX('Game Records'!$D:$D,r)&amp;""),endDate,INDEX('Game Records'!$C:$C,r),IF(mode="estimate",IF(endDate="","Estimate — End Date missing",IF(NOT(ISNUMBER(endDate)),"Estimate — Check End Date",IF(INT(endDate)&gt;=TODAY(),"In Progress — ends "&amp;TEXT(endDate,"mmm d, yyyy"),"Ready to Finalize"))),IF($F315="","No Highlighted Fields","Highlighted Fields Present"))))</f>
        <v/>
      </c>
      <c r="F315" s="23" t="str">
        <f t="array" ref="F315">IF($H315="","",IF(OR(NOT(_xlfn.ISFORMULA(INDEX('Game Records'!$N:$N,$H315))),NOT(_xlfn.ISFORMULA(INDEX('Game Records'!$O:$O,$H315))),NOT(_xlfn.ISFORMULA(INDEX('Game Records'!$P:$P,$H315))),NOT(_xlfn.ISFORMULA(INDEX('Game Records'!$Q:$Q,$H315))),NOT(_xlfn.ISFORMULA(INDEX('Game Records'!$R:$R,$H315))),NOT(_xlfn.ISFORMULA(INDEX('Game Records'!$S:$S,$H315))),NOT(_xlfn.ISFORMULA(INDEX('Game Records'!$T:$T,$H315))),NOT(_xlfn.ISFORMULA(INDEX('Game Records'!$U:$U,$H315))),NOT(_xlfn.ISFORMULA(INDEX('Game Records'!$V:$V,$H315))),NOT(_xlfn.ISFORMULA(INDEX('Game Records'!$W:$W,$H315))),NOT(_xlfn.ISFORMULA(INDEX('Game Records'!$X:$X,$H315))),NOT(_xlfn.ISFORMULA(INDEX('Game Records'!$Y:$Y,$H315))),NOT(_xlfn.ISFORMULA(INDEX('Game Records'!$Z:$Z,$H315)))),"","")&amp;IF(INDEX('Game Records'!$B:$B,$H315)="","Start Date; ","")&amp;IF(INDEX('Game Records'!$C:$C,$H315)="","End Date; ","")&amp;IF(AND(INDEX('Game Records'!$U:$U,$H315)&lt;&gt;"Subscription",INDEX('Game Records'!$U:$U,$H315)&lt;&gt;"Free Game",INDEX('Game Records'!$U:$U,$H315)&lt;&gt;"Disqualified — Free Game",OR(INDEX('Game Records'!$D:$D,$H315)="",LOWER(INDEX('Game Records'!$D:$D,$H315)&amp;"")="n/a")),"Entry Mode; ","")&amp;IF(AND(INDEX('Game Records'!$U:$U,$H315)&lt;&gt;"Subscription",INDEX('Game Records'!$U:$U,$H315)&lt;&gt;"Free Game",INDEX('Game Records'!$U:$U,$H315)&lt;&gt;"Disqualified — Free Game",OR(INDEX('Game Records'!$E:$E,$H315)="",LOWER(INDEX('Game Records'!$E:$E,$H315)&amp;"")="n/a")),"Game Type; ","")&amp;IF(INDEX('Game Records'!$F:$F,$H315)="","Payment Type; ","")&amp;IF(AND(INDEX('Game Records'!$U:$U,$H315)&lt;&gt;"Subscription",INDEX('Game Records'!$U:$U,$H315)&lt;&gt;"Free Game",INDEX('Game Records'!$U:$U,$H315)&lt;&gt;"Disqualified — Free Game",INDEX('Game Records'!$G:$G,$H315)=""),"Gross Pot; ","")&amp;IF(AND(INDEX('Game Records'!$U:$U,$H315)&lt;&gt;"Free Game",INDEX('Game Records'!$U:$U,$H315)&lt;&gt;"Disqualified — Free Game",INDEX('Game Records'!$H:$H,$H315)=""),"Entry Fee; ","")&amp;IF(AND(INDEX('Game Records'!$U:$U,$H315)&lt;&gt;"Subscription",INDEX('Game Records'!$U:$U,$H315)&lt;&gt;"Free Game",INDEX('Game Records'!$U:$U,$H315)&lt;&gt;"Disqualified — Free Game",INDEX('Game Records'!$I:$I,$H315)=""),"Eligible Players; ","")&amp;IF(AND(INDEX('Game Records'!$U:$U,$H315)&lt;&gt;"Subscription",INDEX('Game Records'!$U:$U,$H315)&lt;&gt;"Free Game",INDEX('Game Records'!$U:$U,$H315)&lt;&gt;"Disqualified — Free Game",INDEX('Game Records'!$J:$J,$H315)=""),"Total Players; ","")&amp;IF(AND(LOWER(INDEX('Game Records'!$D:$D,$H315)&amp;"")="finalized",LOWER(INDEX('Game Records'!$L:$L,$H315)&amp;"")&lt;&gt;"yes",INDEX('Game Records'!$U:$U,$H315)&lt;&gt;"Subscription",INDEX('Game Records'!$U:$U,$H315)&lt;&gt;"Free Game",INDEX('Game Records'!$U:$U,$H315)&lt;&gt;"Disqualified — Free Game",INDEX('Game Records'!$K:$K,$H315)=""),"Final Payout; ","")&amp;IF(AND(LOWER(INDEX('Game Records'!$D:$D,$H315)&amp;"")="finalized",INDEX('Game Records'!$U:$U,$H315)&lt;&gt;"Subscription",INDEX('Game Records'!$U:$U,$H315)&lt;&gt;"Free Game",INDEX('Game Records'!$U:$U,$H315)&lt;&gt;"Disqualified — Free Game",OR(INDEX('Game Records'!$L:$L,$H315)="",LOWER(INDEX('Game Records'!$L:$L,$H315)&amp;"")="n/a")),"Disqualified Status; ",""))</f>
        <v/>
      </c>
      <c r="G315" s="23" t="str">
        <f t="array" ref="G315">IF($H315="","",IFERROR(INDEX('Game Records'!$M:$M,$H315),""))</f>
        <v/>
      </c>
      <c r="H315" s="3"/>
    </row>
    <row r="316" ht="24.0" customHeight="1">
      <c r="A316" s="18" t="str">
        <f t="shared" si="1"/>
        <v/>
      </c>
      <c r="B316" s="18" t="str">
        <f t="shared" si="2"/>
        <v/>
      </c>
      <c r="C316" s="23" t="str">
        <f t="array" ref="C316">IF($H316="","",IFERROR(INDEX('Game Records'!$A:$A,$H316),""))</f>
        <v/>
      </c>
      <c r="D316" s="23" t="str">
        <f t="array" ref="D316">IF($H316="","",IFERROR(INDEX('Game Records'!$U:$U,$H316),""))</f>
        <v/>
      </c>
      <c r="E316" s="23" t="str">
        <f t="array" ref="E316">IF($H316="","",LET(r,$H316,mode,LOWER(INDEX('Game Records'!$D:$D,r)&amp;""),endDate,INDEX('Game Records'!$C:$C,r),IF(mode="estimate",IF(endDate="","Estimate — End Date missing",IF(NOT(ISNUMBER(endDate)),"Estimate — Check End Date",IF(INT(endDate)&gt;=TODAY(),"In Progress — ends "&amp;TEXT(endDate,"mmm d, yyyy"),"Ready to Finalize"))),IF($F316="","No Highlighted Fields","Highlighted Fields Present"))))</f>
        <v/>
      </c>
      <c r="F316" s="23" t="str">
        <f t="array" ref="F316">IF($H316="","",IF(OR(NOT(_xlfn.ISFORMULA(INDEX('Game Records'!$N:$N,$H316))),NOT(_xlfn.ISFORMULA(INDEX('Game Records'!$O:$O,$H316))),NOT(_xlfn.ISFORMULA(INDEX('Game Records'!$P:$P,$H316))),NOT(_xlfn.ISFORMULA(INDEX('Game Records'!$Q:$Q,$H316))),NOT(_xlfn.ISFORMULA(INDEX('Game Records'!$R:$R,$H316))),NOT(_xlfn.ISFORMULA(INDEX('Game Records'!$S:$S,$H316))),NOT(_xlfn.ISFORMULA(INDEX('Game Records'!$T:$T,$H316))),NOT(_xlfn.ISFORMULA(INDEX('Game Records'!$U:$U,$H316))),NOT(_xlfn.ISFORMULA(INDEX('Game Records'!$V:$V,$H316))),NOT(_xlfn.ISFORMULA(INDEX('Game Records'!$W:$W,$H316))),NOT(_xlfn.ISFORMULA(INDEX('Game Records'!$X:$X,$H316))),NOT(_xlfn.ISFORMULA(INDEX('Game Records'!$Y:$Y,$H316))),NOT(_xlfn.ISFORMULA(INDEX('Game Records'!$Z:$Z,$H316)))),"","")&amp;IF(INDEX('Game Records'!$B:$B,$H316)="","Start Date; ","")&amp;IF(INDEX('Game Records'!$C:$C,$H316)="","End Date; ","")&amp;IF(AND(INDEX('Game Records'!$U:$U,$H316)&lt;&gt;"Subscription",INDEX('Game Records'!$U:$U,$H316)&lt;&gt;"Free Game",INDEX('Game Records'!$U:$U,$H316)&lt;&gt;"Disqualified — Free Game",OR(INDEX('Game Records'!$D:$D,$H316)="",LOWER(INDEX('Game Records'!$D:$D,$H316)&amp;"")="n/a")),"Entry Mode; ","")&amp;IF(AND(INDEX('Game Records'!$U:$U,$H316)&lt;&gt;"Subscription",INDEX('Game Records'!$U:$U,$H316)&lt;&gt;"Free Game",INDEX('Game Records'!$U:$U,$H316)&lt;&gt;"Disqualified — Free Game",OR(INDEX('Game Records'!$E:$E,$H316)="",LOWER(INDEX('Game Records'!$E:$E,$H316)&amp;"")="n/a")),"Game Type; ","")&amp;IF(INDEX('Game Records'!$F:$F,$H316)="","Payment Type; ","")&amp;IF(AND(INDEX('Game Records'!$U:$U,$H316)&lt;&gt;"Subscription",INDEX('Game Records'!$U:$U,$H316)&lt;&gt;"Free Game",INDEX('Game Records'!$U:$U,$H316)&lt;&gt;"Disqualified — Free Game",INDEX('Game Records'!$G:$G,$H316)=""),"Gross Pot; ","")&amp;IF(AND(INDEX('Game Records'!$U:$U,$H316)&lt;&gt;"Free Game",INDEX('Game Records'!$U:$U,$H316)&lt;&gt;"Disqualified — Free Game",INDEX('Game Records'!$H:$H,$H316)=""),"Entry Fee; ","")&amp;IF(AND(INDEX('Game Records'!$U:$U,$H316)&lt;&gt;"Subscription",INDEX('Game Records'!$U:$U,$H316)&lt;&gt;"Free Game",INDEX('Game Records'!$U:$U,$H316)&lt;&gt;"Disqualified — Free Game",INDEX('Game Records'!$I:$I,$H316)=""),"Eligible Players; ","")&amp;IF(AND(INDEX('Game Records'!$U:$U,$H316)&lt;&gt;"Subscription",INDEX('Game Records'!$U:$U,$H316)&lt;&gt;"Free Game",INDEX('Game Records'!$U:$U,$H316)&lt;&gt;"Disqualified — Free Game",INDEX('Game Records'!$J:$J,$H316)=""),"Total Players; ","")&amp;IF(AND(LOWER(INDEX('Game Records'!$D:$D,$H316)&amp;"")="finalized",LOWER(INDEX('Game Records'!$L:$L,$H316)&amp;"")&lt;&gt;"yes",INDEX('Game Records'!$U:$U,$H316)&lt;&gt;"Subscription",INDEX('Game Records'!$U:$U,$H316)&lt;&gt;"Free Game",INDEX('Game Records'!$U:$U,$H316)&lt;&gt;"Disqualified — Free Game",INDEX('Game Records'!$K:$K,$H316)=""),"Final Payout; ","")&amp;IF(AND(LOWER(INDEX('Game Records'!$D:$D,$H316)&amp;"")="finalized",INDEX('Game Records'!$U:$U,$H316)&lt;&gt;"Subscription",INDEX('Game Records'!$U:$U,$H316)&lt;&gt;"Free Game",INDEX('Game Records'!$U:$U,$H316)&lt;&gt;"Disqualified — Free Game",OR(INDEX('Game Records'!$L:$L,$H316)="",LOWER(INDEX('Game Records'!$L:$L,$H316)&amp;"")="n/a")),"Disqualified Status; ",""))</f>
        <v/>
      </c>
      <c r="G316" s="23" t="str">
        <f t="array" ref="G316">IF($H316="","",IFERROR(INDEX('Game Records'!$M:$M,$H316),""))</f>
        <v/>
      </c>
      <c r="H316" s="3"/>
    </row>
    <row r="317" ht="24.0" customHeight="1">
      <c r="A317" s="18" t="str">
        <f t="shared" si="1"/>
        <v/>
      </c>
      <c r="B317" s="18" t="str">
        <f t="shared" si="2"/>
        <v/>
      </c>
      <c r="C317" s="23" t="str">
        <f t="array" ref="C317">IF($H317="","",IFERROR(INDEX('Game Records'!$A:$A,$H317),""))</f>
        <v/>
      </c>
      <c r="D317" s="23" t="str">
        <f t="array" ref="D317">IF($H317="","",IFERROR(INDEX('Game Records'!$U:$U,$H317),""))</f>
        <v/>
      </c>
      <c r="E317" s="23" t="str">
        <f t="array" ref="E317">IF($H317="","",LET(r,$H317,mode,LOWER(INDEX('Game Records'!$D:$D,r)&amp;""),endDate,INDEX('Game Records'!$C:$C,r),IF(mode="estimate",IF(endDate="","Estimate — End Date missing",IF(NOT(ISNUMBER(endDate)),"Estimate — Check End Date",IF(INT(endDate)&gt;=TODAY(),"In Progress — ends "&amp;TEXT(endDate,"mmm d, yyyy"),"Ready to Finalize"))),IF($F317="","No Highlighted Fields","Highlighted Fields Present"))))</f>
        <v/>
      </c>
      <c r="F317" s="23" t="str">
        <f t="array" ref="F317">IF($H317="","",IF(OR(NOT(_xlfn.ISFORMULA(INDEX('Game Records'!$N:$N,$H317))),NOT(_xlfn.ISFORMULA(INDEX('Game Records'!$O:$O,$H317))),NOT(_xlfn.ISFORMULA(INDEX('Game Records'!$P:$P,$H317))),NOT(_xlfn.ISFORMULA(INDEX('Game Records'!$Q:$Q,$H317))),NOT(_xlfn.ISFORMULA(INDEX('Game Records'!$R:$R,$H317))),NOT(_xlfn.ISFORMULA(INDEX('Game Records'!$S:$S,$H317))),NOT(_xlfn.ISFORMULA(INDEX('Game Records'!$T:$T,$H317))),NOT(_xlfn.ISFORMULA(INDEX('Game Records'!$U:$U,$H317))),NOT(_xlfn.ISFORMULA(INDEX('Game Records'!$V:$V,$H317))),NOT(_xlfn.ISFORMULA(INDEX('Game Records'!$W:$W,$H317))),NOT(_xlfn.ISFORMULA(INDEX('Game Records'!$X:$X,$H317))),NOT(_xlfn.ISFORMULA(INDEX('Game Records'!$Y:$Y,$H317))),NOT(_xlfn.ISFORMULA(INDEX('Game Records'!$Z:$Z,$H317)))),"","")&amp;IF(INDEX('Game Records'!$B:$B,$H317)="","Start Date; ","")&amp;IF(INDEX('Game Records'!$C:$C,$H317)="","End Date; ","")&amp;IF(AND(INDEX('Game Records'!$U:$U,$H317)&lt;&gt;"Subscription",INDEX('Game Records'!$U:$U,$H317)&lt;&gt;"Free Game",INDEX('Game Records'!$U:$U,$H317)&lt;&gt;"Disqualified — Free Game",OR(INDEX('Game Records'!$D:$D,$H317)="",LOWER(INDEX('Game Records'!$D:$D,$H317)&amp;"")="n/a")),"Entry Mode; ","")&amp;IF(AND(INDEX('Game Records'!$U:$U,$H317)&lt;&gt;"Subscription",INDEX('Game Records'!$U:$U,$H317)&lt;&gt;"Free Game",INDEX('Game Records'!$U:$U,$H317)&lt;&gt;"Disqualified — Free Game",OR(INDEX('Game Records'!$E:$E,$H317)="",LOWER(INDEX('Game Records'!$E:$E,$H317)&amp;"")="n/a")),"Game Type; ","")&amp;IF(INDEX('Game Records'!$F:$F,$H317)="","Payment Type; ","")&amp;IF(AND(INDEX('Game Records'!$U:$U,$H317)&lt;&gt;"Subscription",INDEX('Game Records'!$U:$U,$H317)&lt;&gt;"Free Game",INDEX('Game Records'!$U:$U,$H317)&lt;&gt;"Disqualified — Free Game",INDEX('Game Records'!$G:$G,$H317)=""),"Gross Pot; ","")&amp;IF(AND(INDEX('Game Records'!$U:$U,$H317)&lt;&gt;"Free Game",INDEX('Game Records'!$U:$U,$H317)&lt;&gt;"Disqualified — Free Game",INDEX('Game Records'!$H:$H,$H317)=""),"Entry Fee; ","")&amp;IF(AND(INDEX('Game Records'!$U:$U,$H317)&lt;&gt;"Subscription",INDEX('Game Records'!$U:$U,$H317)&lt;&gt;"Free Game",INDEX('Game Records'!$U:$U,$H317)&lt;&gt;"Disqualified — Free Game",INDEX('Game Records'!$I:$I,$H317)=""),"Eligible Players; ","")&amp;IF(AND(INDEX('Game Records'!$U:$U,$H317)&lt;&gt;"Subscription",INDEX('Game Records'!$U:$U,$H317)&lt;&gt;"Free Game",INDEX('Game Records'!$U:$U,$H317)&lt;&gt;"Disqualified — Free Game",INDEX('Game Records'!$J:$J,$H317)=""),"Total Players; ","")&amp;IF(AND(LOWER(INDEX('Game Records'!$D:$D,$H317)&amp;"")="finalized",LOWER(INDEX('Game Records'!$L:$L,$H317)&amp;"")&lt;&gt;"yes",INDEX('Game Records'!$U:$U,$H317)&lt;&gt;"Subscription",INDEX('Game Records'!$U:$U,$H317)&lt;&gt;"Free Game",INDEX('Game Records'!$U:$U,$H317)&lt;&gt;"Disqualified — Free Game",INDEX('Game Records'!$K:$K,$H317)=""),"Final Payout; ","")&amp;IF(AND(LOWER(INDEX('Game Records'!$D:$D,$H317)&amp;"")="finalized",INDEX('Game Records'!$U:$U,$H317)&lt;&gt;"Subscription",INDEX('Game Records'!$U:$U,$H317)&lt;&gt;"Free Game",INDEX('Game Records'!$U:$U,$H317)&lt;&gt;"Disqualified — Free Game",OR(INDEX('Game Records'!$L:$L,$H317)="",LOWER(INDEX('Game Records'!$L:$L,$H317)&amp;"")="n/a")),"Disqualified Status; ",""))</f>
        <v/>
      </c>
      <c r="G317" s="23" t="str">
        <f t="array" ref="G317">IF($H317="","",IFERROR(INDEX('Game Records'!$M:$M,$H317),""))</f>
        <v/>
      </c>
      <c r="H317" s="3"/>
    </row>
    <row r="318" ht="24.0" customHeight="1">
      <c r="A318" s="18" t="str">
        <f t="shared" si="1"/>
        <v/>
      </c>
      <c r="B318" s="18" t="str">
        <f t="shared" si="2"/>
        <v/>
      </c>
      <c r="C318" s="23" t="str">
        <f t="array" ref="C318">IF($H318="","",IFERROR(INDEX('Game Records'!$A:$A,$H318),""))</f>
        <v/>
      </c>
      <c r="D318" s="23" t="str">
        <f t="array" ref="D318">IF($H318="","",IFERROR(INDEX('Game Records'!$U:$U,$H318),""))</f>
        <v/>
      </c>
      <c r="E318" s="23" t="str">
        <f t="array" ref="E318">IF($H318="","",LET(r,$H318,mode,LOWER(INDEX('Game Records'!$D:$D,r)&amp;""),endDate,INDEX('Game Records'!$C:$C,r),IF(mode="estimate",IF(endDate="","Estimate — End Date missing",IF(NOT(ISNUMBER(endDate)),"Estimate — Check End Date",IF(INT(endDate)&gt;=TODAY(),"In Progress — ends "&amp;TEXT(endDate,"mmm d, yyyy"),"Ready to Finalize"))),IF($F318="","No Highlighted Fields","Highlighted Fields Present"))))</f>
        <v/>
      </c>
      <c r="F318" s="23" t="str">
        <f t="array" ref="F318">IF($H318="","",IF(OR(NOT(_xlfn.ISFORMULA(INDEX('Game Records'!$N:$N,$H318))),NOT(_xlfn.ISFORMULA(INDEX('Game Records'!$O:$O,$H318))),NOT(_xlfn.ISFORMULA(INDEX('Game Records'!$P:$P,$H318))),NOT(_xlfn.ISFORMULA(INDEX('Game Records'!$Q:$Q,$H318))),NOT(_xlfn.ISFORMULA(INDEX('Game Records'!$R:$R,$H318))),NOT(_xlfn.ISFORMULA(INDEX('Game Records'!$S:$S,$H318))),NOT(_xlfn.ISFORMULA(INDEX('Game Records'!$T:$T,$H318))),NOT(_xlfn.ISFORMULA(INDEX('Game Records'!$U:$U,$H318))),NOT(_xlfn.ISFORMULA(INDEX('Game Records'!$V:$V,$H318))),NOT(_xlfn.ISFORMULA(INDEX('Game Records'!$W:$W,$H318))),NOT(_xlfn.ISFORMULA(INDEX('Game Records'!$X:$X,$H318))),NOT(_xlfn.ISFORMULA(INDEX('Game Records'!$Y:$Y,$H318))),NOT(_xlfn.ISFORMULA(INDEX('Game Records'!$Z:$Z,$H318)))),"","")&amp;IF(INDEX('Game Records'!$B:$B,$H318)="","Start Date; ","")&amp;IF(INDEX('Game Records'!$C:$C,$H318)="","End Date; ","")&amp;IF(AND(INDEX('Game Records'!$U:$U,$H318)&lt;&gt;"Subscription",INDEX('Game Records'!$U:$U,$H318)&lt;&gt;"Free Game",INDEX('Game Records'!$U:$U,$H318)&lt;&gt;"Disqualified — Free Game",OR(INDEX('Game Records'!$D:$D,$H318)="",LOWER(INDEX('Game Records'!$D:$D,$H318)&amp;"")="n/a")),"Entry Mode; ","")&amp;IF(AND(INDEX('Game Records'!$U:$U,$H318)&lt;&gt;"Subscription",INDEX('Game Records'!$U:$U,$H318)&lt;&gt;"Free Game",INDEX('Game Records'!$U:$U,$H318)&lt;&gt;"Disqualified — Free Game",OR(INDEX('Game Records'!$E:$E,$H318)="",LOWER(INDEX('Game Records'!$E:$E,$H318)&amp;"")="n/a")),"Game Type; ","")&amp;IF(INDEX('Game Records'!$F:$F,$H318)="","Payment Type; ","")&amp;IF(AND(INDEX('Game Records'!$U:$U,$H318)&lt;&gt;"Subscription",INDEX('Game Records'!$U:$U,$H318)&lt;&gt;"Free Game",INDEX('Game Records'!$U:$U,$H318)&lt;&gt;"Disqualified — Free Game",INDEX('Game Records'!$G:$G,$H318)=""),"Gross Pot; ","")&amp;IF(AND(INDEX('Game Records'!$U:$U,$H318)&lt;&gt;"Free Game",INDEX('Game Records'!$U:$U,$H318)&lt;&gt;"Disqualified — Free Game",INDEX('Game Records'!$H:$H,$H318)=""),"Entry Fee; ","")&amp;IF(AND(INDEX('Game Records'!$U:$U,$H318)&lt;&gt;"Subscription",INDEX('Game Records'!$U:$U,$H318)&lt;&gt;"Free Game",INDEX('Game Records'!$U:$U,$H318)&lt;&gt;"Disqualified — Free Game",INDEX('Game Records'!$I:$I,$H318)=""),"Eligible Players; ","")&amp;IF(AND(INDEX('Game Records'!$U:$U,$H318)&lt;&gt;"Subscription",INDEX('Game Records'!$U:$U,$H318)&lt;&gt;"Free Game",INDEX('Game Records'!$U:$U,$H318)&lt;&gt;"Disqualified — Free Game",INDEX('Game Records'!$J:$J,$H318)=""),"Total Players; ","")&amp;IF(AND(LOWER(INDEX('Game Records'!$D:$D,$H318)&amp;"")="finalized",LOWER(INDEX('Game Records'!$L:$L,$H318)&amp;"")&lt;&gt;"yes",INDEX('Game Records'!$U:$U,$H318)&lt;&gt;"Subscription",INDEX('Game Records'!$U:$U,$H318)&lt;&gt;"Free Game",INDEX('Game Records'!$U:$U,$H318)&lt;&gt;"Disqualified — Free Game",INDEX('Game Records'!$K:$K,$H318)=""),"Final Payout; ","")&amp;IF(AND(LOWER(INDEX('Game Records'!$D:$D,$H318)&amp;"")="finalized",INDEX('Game Records'!$U:$U,$H318)&lt;&gt;"Subscription",INDEX('Game Records'!$U:$U,$H318)&lt;&gt;"Free Game",INDEX('Game Records'!$U:$U,$H318)&lt;&gt;"Disqualified — Free Game",OR(INDEX('Game Records'!$L:$L,$H318)="",LOWER(INDEX('Game Records'!$L:$L,$H318)&amp;"")="n/a")),"Disqualified Status; ",""))</f>
        <v/>
      </c>
      <c r="G318" s="23" t="str">
        <f t="array" ref="G318">IF($H318="","",IFERROR(INDEX('Game Records'!$M:$M,$H318),""))</f>
        <v/>
      </c>
      <c r="H318" s="3"/>
    </row>
    <row r="319" ht="24.0" customHeight="1">
      <c r="A319" s="18" t="str">
        <f t="shared" si="1"/>
        <v/>
      </c>
      <c r="B319" s="18" t="str">
        <f t="shared" si="2"/>
        <v/>
      </c>
      <c r="C319" s="23" t="str">
        <f t="array" ref="C319">IF($H319="","",IFERROR(INDEX('Game Records'!$A:$A,$H319),""))</f>
        <v/>
      </c>
      <c r="D319" s="23" t="str">
        <f t="array" ref="D319">IF($H319="","",IFERROR(INDEX('Game Records'!$U:$U,$H319),""))</f>
        <v/>
      </c>
      <c r="E319" s="23" t="str">
        <f t="array" ref="E319">IF($H319="","",LET(r,$H319,mode,LOWER(INDEX('Game Records'!$D:$D,r)&amp;""),endDate,INDEX('Game Records'!$C:$C,r),IF(mode="estimate",IF(endDate="","Estimate — End Date missing",IF(NOT(ISNUMBER(endDate)),"Estimate — Check End Date",IF(INT(endDate)&gt;=TODAY(),"In Progress — ends "&amp;TEXT(endDate,"mmm d, yyyy"),"Ready to Finalize"))),IF($F319="","No Highlighted Fields","Highlighted Fields Present"))))</f>
        <v/>
      </c>
      <c r="F319" s="23" t="str">
        <f t="array" ref="F319">IF($H319="","",IF(OR(NOT(_xlfn.ISFORMULA(INDEX('Game Records'!$N:$N,$H319))),NOT(_xlfn.ISFORMULA(INDEX('Game Records'!$O:$O,$H319))),NOT(_xlfn.ISFORMULA(INDEX('Game Records'!$P:$P,$H319))),NOT(_xlfn.ISFORMULA(INDEX('Game Records'!$Q:$Q,$H319))),NOT(_xlfn.ISFORMULA(INDEX('Game Records'!$R:$R,$H319))),NOT(_xlfn.ISFORMULA(INDEX('Game Records'!$S:$S,$H319))),NOT(_xlfn.ISFORMULA(INDEX('Game Records'!$T:$T,$H319))),NOT(_xlfn.ISFORMULA(INDEX('Game Records'!$U:$U,$H319))),NOT(_xlfn.ISFORMULA(INDEX('Game Records'!$V:$V,$H319))),NOT(_xlfn.ISFORMULA(INDEX('Game Records'!$W:$W,$H319))),NOT(_xlfn.ISFORMULA(INDEX('Game Records'!$X:$X,$H319))),NOT(_xlfn.ISFORMULA(INDEX('Game Records'!$Y:$Y,$H319))),NOT(_xlfn.ISFORMULA(INDEX('Game Records'!$Z:$Z,$H319)))),"","")&amp;IF(INDEX('Game Records'!$B:$B,$H319)="","Start Date; ","")&amp;IF(INDEX('Game Records'!$C:$C,$H319)="","End Date; ","")&amp;IF(AND(INDEX('Game Records'!$U:$U,$H319)&lt;&gt;"Subscription",INDEX('Game Records'!$U:$U,$H319)&lt;&gt;"Free Game",INDEX('Game Records'!$U:$U,$H319)&lt;&gt;"Disqualified — Free Game",OR(INDEX('Game Records'!$D:$D,$H319)="",LOWER(INDEX('Game Records'!$D:$D,$H319)&amp;"")="n/a")),"Entry Mode; ","")&amp;IF(AND(INDEX('Game Records'!$U:$U,$H319)&lt;&gt;"Subscription",INDEX('Game Records'!$U:$U,$H319)&lt;&gt;"Free Game",INDEX('Game Records'!$U:$U,$H319)&lt;&gt;"Disqualified — Free Game",OR(INDEX('Game Records'!$E:$E,$H319)="",LOWER(INDEX('Game Records'!$E:$E,$H319)&amp;"")="n/a")),"Game Type; ","")&amp;IF(INDEX('Game Records'!$F:$F,$H319)="","Payment Type; ","")&amp;IF(AND(INDEX('Game Records'!$U:$U,$H319)&lt;&gt;"Subscription",INDEX('Game Records'!$U:$U,$H319)&lt;&gt;"Free Game",INDEX('Game Records'!$U:$U,$H319)&lt;&gt;"Disqualified — Free Game",INDEX('Game Records'!$G:$G,$H319)=""),"Gross Pot; ","")&amp;IF(AND(INDEX('Game Records'!$U:$U,$H319)&lt;&gt;"Free Game",INDEX('Game Records'!$U:$U,$H319)&lt;&gt;"Disqualified — Free Game",INDEX('Game Records'!$H:$H,$H319)=""),"Entry Fee; ","")&amp;IF(AND(INDEX('Game Records'!$U:$U,$H319)&lt;&gt;"Subscription",INDEX('Game Records'!$U:$U,$H319)&lt;&gt;"Free Game",INDEX('Game Records'!$U:$U,$H319)&lt;&gt;"Disqualified — Free Game",INDEX('Game Records'!$I:$I,$H319)=""),"Eligible Players; ","")&amp;IF(AND(INDEX('Game Records'!$U:$U,$H319)&lt;&gt;"Subscription",INDEX('Game Records'!$U:$U,$H319)&lt;&gt;"Free Game",INDEX('Game Records'!$U:$U,$H319)&lt;&gt;"Disqualified — Free Game",INDEX('Game Records'!$J:$J,$H319)=""),"Total Players; ","")&amp;IF(AND(LOWER(INDEX('Game Records'!$D:$D,$H319)&amp;"")="finalized",LOWER(INDEX('Game Records'!$L:$L,$H319)&amp;"")&lt;&gt;"yes",INDEX('Game Records'!$U:$U,$H319)&lt;&gt;"Subscription",INDEX('Game Records'!$U:$U,$H319)&lt;&gt;"Free Game",INDEX('Game Records'!$U:$U,$H319)&lt;&gt;"Disqualified — Free Game",INDEX('Game Records'!$K:$K,$H319)=""),"Final Payout; ","")&amp;IF(AND(LOWER(INDEX('Game Records'!$D:$D,$H319)&amp;"")="finalized",INDEX('Game Records'!$U:$U,$H319)&lt;&gt;"Subscription",INDEX('Game Records'!$U:$U,$H319)&lt;&gt;"Free Game",INDEX('Game Records'!$U:$U,$H319)&lt;&gt;"Disqualified — Free Game",OR(INDEX('Game Records'!$L:$L,$H319)="",LOWER(INDEX('Game Records'!$L:$L,$H319)&amp;"")="n/a")),"Disqualified Status; ",""))</f>
        <v/>
      </c>
      <c r="G319" s="23" t="str">
        <f t="array" ref="G319">IF($H319="","",IFERROR(INDEX('Game Records'!$M:$M,$H319),""))</f>
        <v/>
      </c>
      <c r="H319" s="3"/>
    </row>
    <row r="320" ht="24.0" customHeight="1">
      <c r="A320" s="18" t="str">
        <f t="shared" si="1"/>
        <v/>
      </c>
      <c r="B320" s="18" t="str">
        <f t="shared" si="2"/>
        <v/>
      </c>
      <c r="C320" s="23" t="str">
        <f t="array" ref="C320">IF($H320="","",IFERROR(INDEX('Game Records'!$A:$A,$H320),""))</f>
        <v/>
      </c>
      <c r="D320" s="23" t="str">
        <f t="array" ref="D320">IF($H320="","",IFERROR(INDEX('Game Records'!$U:$U,$H320),""))</f>
        <v/>
      </c>
      <c r="E320" s="23" t="str">
        <f t="array" ref="E320">IF($H320="","",LET(r,$H320,mode,LOWER(INDEX('Game Records'!$D:$D,r)&amp;""),endDate,INDEX('Game Records'!$C:$C,r),IF(mode="estimate",IF(endDate="","Estimate — End Date missing",IF(NOT(ISNUMBER(endDate)),"Estimate — Check End Date",IF(INT(endDate)&gt;=TODAY(),"In Progress — ends "&amp;TEXT(endDate,"mmm d, yyyy"),"Ready to Finalize"))),IF($F320="","No Highlighted Fields","Highlighted Fields Present"))))</f>
        <v/>
      </c>
      <c r="F320" s="23" t="str">
        <f t="array" ref="F320">IF($H320="","",IF(OR(NOT(_xlfn.ISFORMULA(INDEX('Game Records'!$N:$N,$H320))),NOT(_xlfn.ISFORMULA(INDEX('Game Records'!$O:$O,$H320))),NOT(_xlfn.ISFORMULA(INDEX('Game Records'!$P:$P,$H320))),NOT(_xlfn.ISFORMULA(INDEX('Game Records'!$Q:$Q,$H320))),NOT(_xlfn.ISFORMULA(INDEX('Game Records'!$R:$R,$H320))),NOT(_xlfn.ISFORMULA(INDEX('Game Records'!$S:$S,$H320))),NOT(_xlfn.ISFORMULA(INDEX('Game Records'!$T:$T,$H320))),NOT(_xlfn.ISFORMULA(INDEX('Game Records'!$U:$U,$H320))),NOT(_xlfn.ISFORMULA(INDEX('Game Records'!$V:$V,$H320))),NOT(_xlfn.ISFORMULA(INDEX('Game Records'!$W:$W,$H320))),NOT(_xlfn.ISFORMULA(INDEX('Game Records'!$X:$X,$H320))),NOT(_xlfn.ISFORMULA(INDEX('Game Records'!$Y:$Y,$H320))),NOT(_xlfn.ISFORMULA(INDEX('Game Records'!$Z:$Z,$H320)))),"","")&amp;IF(INDEX('Game Records'!$B:$B,$H320)="","Start Date; ","")&amp;IF(INDEX('Game Records'!$C:$C,$H320)="","End Date; ","")&amp;IF(AND(INDEX('Game Records'!$U:$U,$H320)&lt;&gt;"Subscription",INDEX('Game Records'!$U:$U,$H320)&lt;&gt;"Free Game",INDEX('Game Records'!$U:$U,$H320)&lt;&gt;"Disqualified — Free Game",OR(INDEX('Game Records'!$D:$D,$H320)="",LOWER(INDEX('Game Records'!$D:$D,$H320)&amp;"")="n/a")),"Entry Mode; ","")&amp;IF(AND(INDEX('Game Records'!$U:$U,$H320)&lt;&gt;"Subscription",INDEX('Game Records'!$U:$U,$H320)&lt;&gt;"Free Game",INDEX('Game Records'!$U:$U,$H320)&lt;&gt;"Disqualified — Free Game",OR(INDEX('Game Records'!$E:$E,$H320)="",LOWER(INDEX('Game Records'!$E:$E,$H320)&amp;"")="n/a")),"Game Type; ","")&amp;IF(INDEX('Game Records'!$F:$F,$H320)="","Payment Type; ","")&amp;IF(AND(INDEX('Game Records'!$U:$U,$H320)&lt;&gt;"Subscription",INDEX('Game Records'!$U:$U,$H320)&lt;&gt;"Free Game",INDEX('Game Records'!$U:$U,$H320)&lt;&gt;"Disqualified — Free Game",INDEX('Game Records'!$G:$G,$H320)=""),"Gross Pot; ","")&amp;IF(AND(INDEX('Game Records'!$U:$U,$H320)&lt;&gt;"Free Game",INDEX('Game Records'!$U:$U,$H320)&lt;&gt;"Disqualified — Free Game",INDEX('Game Records'!$H:$H,$H320)=""),"Entry Fee; ","")&amp;IF(AND(INDEX('Game Records'!$U:$U,$H320)&lt;&gt;"Subscription",INDEX('Game Records'!$U:$U,$H320)&lt;&gt;"Free Game",INDEX('Game Records'!$U:$U,$H320)&lt;&gt;"Disqualified — Free Game",INDEX('Game Records'!$I:$I,$H320)=""),"Eligible Players; ","")&amp;IF(AND(INDEX('Game Records'!$U:$U,$H320)&lt;&gt;"Subscription",INDEX('Game Records'!$U:$U,$H320)&lt;&gt;"Free Game",INDEX('Game Records'!$U:$U,$H320)&lt;&gt;"Disqualified — Free Game",INDEX('Game Records'!$J:$J,$H320)=""),"Total Players; ","")&amp;IF(AND(LOWER(INDEX('Game Records'!$D:$D,$H320)&amp;"")="finalized",LOWER(INDEX('Game Records'!$L:$L,$H320)&amp;"")&lt;&gt;"yes",INDEX('Game Records'!$U:$U,$H320)&lt;&gt;"Subscription",INDEX('Game Records'!$U:$U,$H320)&lt;&gt;"Free Game",INDEX('Game Records'!$U:$U,$H320)&lt;&gt;"Disqualified — Free Game",INDEX('Game Records'!$K:$K,$H320)=""),"Final Payout; ","")&amp;IF(AND(LOWER(INDEX('Game Records'!$D:$D,$H320)&amp;"")="finalized",INDEX('Game Records'!$U:$U,$H320)&lt;&gt;"Subscription",INDEX('Game Records'!$U:$U,$H320)&lt;&gt;"Free Game",INDEX('Game Records'!$U:$U,$H320)&lt;&gt;"Disqualified — Free Game",OR(INDEX('Game Records'!$L:$L,$H320)="",LOWER(INDEX('Game Records'!$L:$L,$H320)&amp;"")="n/a")),"Disqualified Status; ",""))</f>
        <v/>
      </c>
      <c r="G320" s="23" t="str">
        <f t="array" ref="G320">IF($H320="","",IFERROR(INDEX('Game Records'!$M:$M,$H320),""))</f>
        <v/>
      </c>
      <c r="H320" s="3"/>
    </row>
    <row r="321" ht="24.0" customHeight="1">
      <c r="A321" s="18" t="str">
        <f t="shared" si="1"/>
        <v/>
      </c>
      <c r="B321" s="18" t="str">
        <f t="shared" si="2"/>
        <v/>
      </c>
      <c r="C321" s="23" t="str">
        <f t="array" ref="C321">IF($H321="","",IFERROR(INDEX('Game Records'!$A:$A,$H321),""))</f>
        <v/>
      </c>
      <c r="D321" s="23" t="str">
        <f t="array" ref="D321">IF($H321="","",IFERROR(INDEX('Game Records'!$U:$U,$H321),""))</f>
        <v/>
      </c>
      <c r="E321" s="23" t="str">
        <f t="array" ref="E321">IF($H321="","",LET(r,$H321,mode,LOWER(INDEX('Game Records'!$D:$D,r)&amp;""),endDate,INDEX('Game Records'!$C:$C,r),IF(mode="estimate",IF(endDate="","Estimate — End Date missing",IF(NOT(ISNUMBER(endDate)),"Estimate — Check End Date",IF(INT(endDate)&gt;=TODAY(),"In Progress — ends "&amp;TEXT(endDate,"mmm d, yyyy"),"Ready to Finalize"))),IF($F321="","No Highlighted Fields","Highlighted Fields Present"))))</f>
        <v/>
      </c>
      <c r="F321" s="23" t="str">
        <f t="array" ref="F321">IF($H321="","",IF(OR(NOT(_xlfn.ISFORMULA(INDEX('Game Records'!$N:$N,$H321))),NOT(_xlfn.ISFORMULA(INDEX('Game Records'!$O:$O,$H321))),NOT(_xlfn.ISFORMULA(INDEX('Game Records'!$P:$P,$H321))),NOT(_xlfn.ISFORMULA(INDEX('Game Records'!$Q:$Q,$H321))),NOT(_xlfn.ISFORMULA(INDEX('Game Records'!$R:$R,$H321))),NOT(_xlfn.ISFORMULA(INDEX('Game Records'!$S:$S,$H321))),NOT(_xlfn.ISFORMULA(INDEX('Game Records'!$T:$T,$H321))),NOT(_xlfn.ISFORMULA(INDEX('Game Records'!$U:$U,$H321))),NOT(_xlfn.ISFORMULA(INDEX('Game Records'!$V:$V,$H321))),NOT(_xlfn.ISFORMULA(INDEX('Game Records'!$W:$W,$H321))),NOT(_xlfn.ISFORMULA(INDEX('Game Records'!$X:$X,$H321))),NOT(_xlfn.ISFORMULA(INDEX('Game Records'!$Y:$Y,$H321))),NOT(_xlfn.ISFORMULA(INDEX('Game Records'!$Z:$Z,$H321)))),"","")&amp;IF(INDEX('Game Records'!$B:$B,$H321)="","Start Date; ","")&amp;IF(INDEX('Game Records'!$C:$C,$H321)="","End Date; ","")&amp;IF(AND(INDEX('Game Records'!$U:$U,$H321)&lt;&gt;"Subscription",INDEX('Game Records'!$U:$U,$H321)&lt;&gt;"Free Game",INDEX('Game Records'!$U:$U,$H321)&lt;&gt;"Disqualified — Free Game",OR(INDEX('Game Records'!$D:$D,$H321)="",LOWER(INDEX('Game Records'!$D:$D,$H321)&amp;"")="n/a")),"Entry Mode; ","")&amp;IF(AND(INDEX('Game Records'!$U:$U,$H321)&lt;&gt;"Subscription",INDEX('Game Records'!$U:$U,$H321)&lt;&gt;"Free Game",INDEX('Game Records'!$U:$U,$H321)&lt;&gt;"Disqualified — Free Game",OR(INDEX('Game Records'!$E:$E,$H321)="",LOWER(INDEX('Game Records'!$E:$E,$H321)&amp;"")="n/a")),"Game Type; ","")&amp;IF(INDEX('Game Records'!$F:$F,$H321)="","Payment Type; ","")&amp;IF(AND(INDEX('Game Records'!$U:$U,$H321)&lt;&gt;"Subscription",INDEX('Game Records'!$U:$U,$H321)&lt;&gt;"Free Game",INDEX('Game Records'!$U:$U,$H321)&lt;&gt;"Disqualified — Free Game",INDEX('Game Records'!$G:$G,$H321)=""),"Gross Pot; ","")&amp;IF(AND(INDEX('Game Records'!$U:$U,$H321)&lt;&gt;"Free Game",INDEX('Game Records'!$U:$U,$H321)&lt;&gt;"Disqualified — Free Game",INDEX('Game Records'!$H:$H,$H321)=""),"Entry Fee; ","")&amp;IF(AND(INDEX('Game Records'!$U:$U,$H321)&lt;&gt;"Subscription",INDEX('Game Records'!$U:$U,$H321)&lt;&gt;"Free Game",INDEX('Game Records'!$U:$U,$H321)&lt;&gt;"Disqualified — Free Game",INDEX('Game Records'!$I:$I,$H321)=""),"Eligible Players; ","")&amp;IF(AND(INDEX('Game Records'!$U:$U,$H321)&lt;&gt;"Subscription",INDEX('Game Records'!$U:$U,$H321)&lt;&gt;"Free Game",INDEX('Game Records'!$U:$U,$H321)&lt;&gt;"Disqualified — Free Game",INDEX('Game Records'!$J:$J,$H321)=""),"Total Players; ","")&amp;IF(AND(LOWER(INDEX('Game Records'!$D:$D,$H321)&amp;"")="finalized",LOWER(INDEX('Game Records'!$L:$L,$H321)&amp;"")&lt;&gt;"yes",INDEX('Game Records'!$U:$U,$H321)&lt;&gt;"Subscription",INDEX('Game Records'!$U:$U,$H321)&lt;&gt;"Free Game",INDEX('Game Records'!$U:$U,$H321)&lt;&gt;"Disqualified — Free Game",INDEX('Game Records'!$K:$K,$H321)=""),"Final Payout; ","")&amp;IF(AND(LOWER(INDEX('Game Records'!$D:$D,$H321)&amp;"")="finalized",INDEX('Game Records'!$U:$U,$H321)&lt;&gt;"Subscription",INDEX('Game Records'!$U:$U,$H321)&lt;&gt;"Free Game",INDEX('Game Records'!$U:$U,$H321)&lt;&gt;"Disqualified — Free Game",OR(INDEX('Game Records'!$L:$L,$H321)="",LOWER(INDEX('Game Records'!$L:$L,$H321)&amp;"")="n/a")),"Disqualified Status; ",""))</f>
        <v/>
      </c>
      <c r="G321" s="23" t="str">
        <f t="array" ref="G321">IF($H321="","",IFERROR(INDEX('Game Records'!$M:$M,$H321),""))</f>
        <v/>
      </c>
      <c r="H321" s="3"/>
    </row>
    <row r="322" ht="24.0" customHeight="1">
      <c r="A322" s="18" t="str">
        <f t="shared" si="1"/>
        <v/>
      </c>
      <c r="B322" s="18" t="str">
        <f t="shared" si="2"/>
        <v/>
      </c>
      <c r="C322" s="23" t="str">
        <f t="array" ref="C322">IF($H322="","",IFERROR(INDEX('Game Records'!$A:$A,$H322),""))</f>
        <v/>
      </c>
      <c r="D322" s="23" t="str">
        <f t="array" ref="D322">IF($H322="","",IFERROR(INDEX('Game Records'!$U:$U,$H322),""))</f>
        <v/>
      </c>
      <c r="E322" s="23" t="str">
        <f t="array" ref="E322">IF($H322="","",LET(r,$H322,mode,LOWER(INDEX('Game Records'!$D:$D,r)&amp;""),endDate,INDEX('Game Records'!$C:$C,r),IF(mode="estimate",IF(endDate="","Estimate — End Date missing",IF(NOT(ISNUMBER(endDate)),"Estimate — Check End Date",IF(INT(endDate)&gt;=TODAY(),"In Progress — ends "&amp;TEXT(endDate,"mmm d, yyyy"),"Ready to Finalize"))),IF($F322="","No Highlighted Fields","Highlighted Fields Present"))))</f>
        <v/>
      </c>
      <c r="F322" s="23" t="str">
        <f t="array" ref="F322">IF($H322="","",IF(OR(NOT(_xlfn.ISFORMULA(INDEX('Game Records'!$N:$N,$H322))),NOT(_xlfn.ISFORMULA(INDEX('Game Records'!$O:$O,$H322))),NOT(_xlfn.ISFORMULA(INDEX('Game Records'!$P:$P,$H322))),NOT(_xlfn.ISFORMULA(INDEX('Game Records'!$Q:$Q,$H322))),NOT(_xlfn.ISFORMULA(INDEX('Game Records'!$R:$R,$H322))),NOT(_xlfn.ISFORMULA(INDEX('Game Records'!$S:$S,$H322))),NOT(_xlfn.ISFORMULA(INDEX('Game Records'!$T:$T,$H322))),NOT(_xlfn.ISFORMULA(INDEX('Game Records'!$U:$U,$H322))),NOT(_xlfn.ISFORMULA(INDEX('Game Records'!$V:$V,$H322))),NOT(_xlfn.ISFORMULA(INDEX('Game Records'!$W:$W,$H322))),NOT(_xlfn.ISFORMULA(INDEX('Game Records'!$X:$X,$H322))),NOT(_xlfn.ISFORMULA(INDEX('Game Records'!$Y:$Y,$H322))),NOT(_xlfn.ISFORMULA(INDEX('Game Records'!$Z:$Z,$H322)))),"","")&amp;IF(INDEX('Game Records'!$B:$B,$H322)="","Start Date; ","")&amp;IF(INDEX('Game Records'!$C:$C,$H322)="","End Date; ","")&amp;IF(AND(INDEX('Game Records'!$U:$U,$H322)&lt;&gt;"Subscription",INDEX('Game Records'!$U:$U,$H322)&lt;&gt;"Free Game",INDEX('Game Records'!$U:$U,$H322)&lt;&gt;"Disqualified — Free Game",OR(INDEX('Game Records'!$D:$D,$H322)="",LOWER(INDEX('Game Records'!$D:$D,$H322)&amp;"")="n/a")),"Entry Mode; ","")&amp;IF(AND(INDEX('Game Records'!$U:$U,$H322)&lt;&gt;"Subscription",INDEX('Game Records'!$U:$U,$H322)&lt;&gt;"Free Game",INDEX('Game Records'!$U:$U,$H322)&lt;&gt;"Disqualified — Free Game",OR(INDEX('Game Records'!$E:$E,$H322)="",LOWER(INDEX('Game Records'!$E:$E,$H322)&amp;"")="n/a")),"Game Type; ","")&amp;IF(INDEX('Game Records'!$F:$F,$H322)="","Payment Type; ","")&amp;IF(AND(INDEX('Game Records'!$U:$U,$H322)&lt;&gt;"Subscription",INDEX('Game Records'!$U:$U,$H322)&lt;&gt;"Free Game",INDEX('Game Records'!$U:$U,$H322)&lt;&gt;"Disqualified — Free Game",INDEX('Game Records'!$G:$G,$H322)=""),"Gross Pot; ","")&amp;IF(AND(INDEX('Game Records'!$U:$U,$H322)&lt;&gt;"Free Game",INDEX('Game Records'!$U:$U,$H322)&lt;&gt;"Disqualified — Free Game",INDEX('Game Records'!$H:$H,$H322)=""),"Entry Fee; ","")&amp;IF(AND(INDEX('Game Records'!$U:$U,$H322)&lt;&gt;"Subscription",INDEX('Game Records'!$U:$U,$H322)&lt;&gt;"Free Game",INDEX('Game Records'!$U:$U,$H322)&lt;&gt;"Disqualified — Free Game",INDEX('Game Records'!$I:$I,$H322)=""),"Eligible Players; ","")&amp;IF(AND(INDEX('Game Records'!$U:$U,$H322)&lt;&gt;"Subscription",INDEX('Game Records'!$U:$U,$H322)&lt;&gt;"Free Game",INDEX('Game Records'!$U:$U,$H322)&lt;&gt;"Disqualified — Free Game",INDEX('Game Records'!$J:$J,$H322)=""),"Total Players; ","")&amp;IF(AND(LOWER(INDEX('Game Records'!$D:$D,$H322)&amp;"")="finalized",LOWER(INDEX('Game Records'!$L:$L,$H322)&amp;"")&lt;&gt;"yes",INDEX('Game Records'!$U:$U,$H322)&lt;&gt;"Subscription",INDEX('Game Records'!$U:$U,$H322)&lt;&gt;"Free Game",INDEX('Game Records'!$U:$U,$H322)&lt;&gt;"Disqualified — Free Game",INDEX('Game Records'!$K:$K,$H322)=""),"Final Payout; ","")&amp;IF(AND(LOWER(INDEX('Game Records'!$D:$D,$H322)&amp;"")="finalized",INDEX('Game Records'!$U:$U,$H322)&lt;&gt;"Subscription",INDEX('Game Records'!$U:$U,$H322)&lt;&gt;"Free Game",INDEX('Game Records'!$U:$U,$H322)&lt;&gt;"Disqualified — Free Game",OR(INDEX('Game Records'!$L:$L,$H322)="",LOWER(INDEX('Game Records'!$L:$L,$H322)&amp;"")="n/a")),"Disqualified Status; ",""))</f>
        <v/>
      </c>
      <c r="G322" s="23" t="str">
        <f t="array" ref="G322">IF($H322="","",IFERROR(INDEX('Game Records'!$M:$M,$H322),""))</f>
        <v/>
      </c>
      <c r="H322" s="3"/>
    </row>
    <row r="323" ht="24.0" customHeight="1">
      <c r="A323" s="18" t="str">
        <f t="shared" si="1"/>
        <v/>
      </c>
      <c r="B323" s="18" t="str">
        <f t="shared" si="2"/>
        <v/>
      </c>
      <c r="C323" s="23" t="str">
        <f t="array" ref="C323">IF($H323="","",IFERROR(INDEX('Game Records'!$A:$A,$H323),""))</f>
        <v/>
      </c>
      <c r="D323" s="23" t="str">
        <f t="array" ref="D323">IF($H323="","",IFERROR(INDEX('Game Records'!$U:$U,$H323),""))</f>
        <v/>
      </c>
      <c r="E323" s="23" t="str">
        <f t="array" ref="E323">IF($H323="","",LET(r,$H323,mode,LOWER(INDEX('Game Records'!$D:$D,r)&amp;""),endDate,INDEX('Game Records'!$C:$C,r),IF(mode="estimate",IF(endDate="","Estimate — End Date missing",IF(NOT(ISNUMBER(endDate)),"Estimate — Check End Date",IF(INT(endDate)&gt;=TODAY(),"In Progress — ends "&amp;TEXT(endDate,"mmm d, yyyy"),"Ready to Finalize"))),IF($F323="","No Highlighted Fields","Highlighted Fields Present"))))</f>
        <v/>
      </c>
      <c r="F323" s="23" t="str">
        <f t="array" ref="F323">IF($H323="","",IF(OR(NOT(_xlfn.ISFORMULA(INDEX('Game Records'!$N:$N,$H323))),NOT(_xlfn.ISFORMULA(INDEX('Game Records'!$O:$O,$H323))),NOT(_xlfn.ISFORMULA(INDEX('Game Records'!$P:$P,$H323))),NOT(_xlfn.ISFORMULA(INDEX('Game Records'!$Q:$Q,$H323))),NOT(_xlfn.ISFORMULA(INDEX('Game Records'!$R:$R,$H323))),NOT(_xlfn.ISFORMULA(INDEX('Game Records'!$S:$S,$H323))),NOT(_xlfn.ISFORMULA(INDEX('Game Records'!$T:$T,$H323))),NOT(_xlfn.ISFORMULA(INDEX('Game Records'!$U:$U,$H323))),NOT(_xlfn.ISFORMULA(INDEX('Game Records'!$V:$V,$H323))),NOT(_xlfn.ISFORMULA(INDEX('Game Records'!$W:$W,$H323))),NOT(_xlfn.ISFORMULA(INDEX('Game Records'!$X:$X,$H323))),NOT(_xlfn.ISFORMULA(INDEX('Game Records'!$Y:$Y,$H323))),NOT(_xlfn.ISFORMULA(INDEX('Game Records'!$Z:$Z,$H323)))),"","")&amp;IF(INDEX('Game Records'!$B:$B,$H323)="","Start Date; ","")&amp;IF(INDEX('Game Records'!$C:$C,$H323)="","End Date; ","")&amp;IF(AND(INDEX('Game Records'!$U:$U,$H323)&lt;&gt;"Subscription",INDEX('Game Records'!$U:$U,$H323)&lt;&gt;"Free Game",INDEX('Game Records'!$U:$U,$H323)&lt;&gt;"Disqualified — Free Game",OR(INDEX('Game Records'!$D:$D,$H323)="",LOWER(INDEX('Game Records'!$D:$D,$H323)&amp;"")="n/a")),"Entry Mode; ","")&amp;IF(AND(INDEX('Game Records'!$U:$U,$H323)&lt;&gt;"Subscription",INDEX('Game Records'!$U:$U,$H323)&lt;&gt;"Free Game",INDEX('Game Records'!$U:$U,$H323)&lt;&gt;"Disqualified — Free Game",OR(INDEX('Game Records'!$E:$E,$H323)="",LOWER(INDEX('Game Records'!$E:$E,$H323)&amp;"")="n/a")),"Game Type; ","")&amp;IF(INDEX('Game Records'!$F:$F,$H323)="","Payment Type; ","")&amp;IF(AND(INDEX('Game Records'!$U:$U,$H323)&lt;&gt;"Subscription",INDEX('Game Records'!$U:$U,$H323)&lt;&gt;"Free Game",INDEX('Game Records'!$U:$U,$H323)&lt;&gt;"Disqualified — Free Game",INDEX('Game Records'!$G:$G,$H323)=""),"Gross Pot; ","")&amp;IF(AND(INDEX('Game Records'!$U:$U,$H323)&lt;&gt;"Free Game",INDEX('Game Records'!$U:$U,$H323)&lt;&gt;"Disqualified — Free Game",INDEX('Game Records'!$H:$H,$H323)=""),"Entry Fee; ","")&amp;IF(AND(INDEX('Game Records'!$U:$U,$H323)&lt;&gt;"Subscription",INDEX('Game Records'!$U:$U,$H323)&lt;&gt;"Free Game",INDEX('Game Records'!$U:$U,$H323)&lt;&gt;"Disqualified — Free Game",INDEX('Game Records'!$I:$I,$H323)=""),"Eligible Players; ","")&amp;IF(AND(INDEX('Game Records'!$U:$U,$H323)&lt;&gt;"Subscription",INDEX('Game Records'!$U:$U,$H323)&lt;&gt;"Free Game",INDEX('Game Records'!$U:$U,$H323)&lt;&gt;"Disqualified — Free Game",INDEX('Game Records'!$J:$J,$H323)=""),"Total Players; ","")&amp;IF(AND(LOWER(INDEX('Game Records'!$D:$D,$H323)&amp;"")="finalized",LOWER(INDEX('Game Records'!$L:$L,$H323)&amp;"")&lt;&gt;"yes",INDEX('Game Records'!$U:$U,$H323)&lt;&gt;"Subscription",INDEX('Game Records'!$U:$U,$H323)&lt;&gt;"Free Game",INDEX('Game Records'!$U:$U,$H323)&lt;&gt;"Disqualified — Free Game",INDEX('Game Records'!$K:$K,$H323)=""),"Final Payout; ","")&amp;IF(AND(LOWER(INDEX('Game Records'!$D:$D,$H323)&amp;"")="finalized",INDEX('Game Records'!$U:$U,$H323)&lt;&gt;"Subscription",INDEX('Game Records'!$U:$U,$H323)&lt;&gt;"Free Game",INDEX('Game Records'!$U:$U,$H323)&lt;&gt;"Disqualified — Free Game",OR(INDEX('Game Records'!$L:$L,$H323)="",LOWER(INDEX('Game Records'!$L:$L,$H323)&amp;"")="n/a")),"Disqualified Status; ",""))</f>
        <v/>
      </c>
      <c r="G323" s="23" t="str">
        <f t="array" ref="G323">IF($H323="","",IFERROR(INDEX('Game Records'!$M:$M,$H323),""))</f>
        <v/>
      </c>
      <c r="H323" s="3"/>
    </row>
    <row r="324" ht="24.0" customHeight="1">
      <c r="A324" s="18" t="str">
        <f t="shared" si="1"/>
        <v/>
      </c>
      <c r="B324" s="18" t="str">
        <f t="shared" si="2"/>
        <v/>
      </c>
      <c r="C324" s="23" t="str">
        <f t="array" ref="C324">IF($H324="","",IFERROR(INDEX('Game Records'!$A:$A,$H324),""))</f>
        <v/>
      </c>
      <c r="D324" s="23" t="str">
        <f t="array" ref="D324">IF($H324="","",IFERROR(INDEX('Game Records'!$U:$U,$H324),""))</f>
        <v/>
      </c>
      <c r="E324" s="23" t="str">
        <f t="array" ref="E324">IF($H324="","",LET(r,$H324,mode,LOWER(INDEX('Game Records'!$D:$D,r)&amp;""),endDate,INDEX('Game Records'!$C:$C,r),IF(mode="estimate",IF(endDate="","Estimate — End Date missing",IF(NOT(ISNUMBER(endDate)),"Estimate — Check End Date",IF(INT(endDate)&gt;=TODAY(),"In Progress — ends "&amp;TEXT(endDate,"mmm d, yyyy"),"Ready to Finalize"))),IF($F324="","No Highlighted Fields","Highlighted Fields Present"))))</f>
        <v/>
      </c>
      <c r="F324" s="23" t="str">
        <f t="array" ref="F324">IF($H324="","",IF(OR(NOT(_xlfn.ISFORMULA(INDEX('Game Records'!$N:$N,$H324))),NOT(_xlfn.ISFORMULA(INDEX('Game Records'!$O:$O,$H324))),NOT(_xlfn.ISFORMULA(INDEX('Game Records'!$P:$P,$H324))),NOT(_xlfn.ISFORMULA(INDEX('Game Records'!$Q:$Q,$H324))),NOT(_xlfn.ISFORMULA(INDEX('Game Records'!$R:$R,$H324))),NOT(_xlfn.ISFORMULA(INDEX('Game Records'!$S:$S,$H324))),NOT(_xlfn.ISFORMULA(INDEX('Game Records'!$T:$T,$H324))),NOT(_xlfn.ISFORMULA(INDEX('Game Records'!$U:$U,$H324))),NOT(_xlfn.ISFORMULA(INDEX('Game Records'!$V:$V,$H324))),NOT(_xlfn.ISFORMULA(INDEX('Game Records'!$W:$W,$H324))),NOT(_xlfn.ISFORMULA(INDEX('Game Records'!$X:$X,$H324))),NOT(_xlfn.ISFORMULA(INDEX('Game Records'!$Y:$Y,$H324))),NOT(_xlfn.ISFORMULA(INDEX('Game Records'!$Z:$Z,$H324)))),"","")&amp;IF(INDEX('Game Records'!$B:$B,$H324)="","Start Date; ","")&amp;IF(INDEX('Game Records'!$C:$C,$H324)="","End Date; ","")&amp;IF(AND(INDEX('Game Records'!$U:$U,$H324)&lt;&gt;"Subscription",INDEX('Game Records'!$U:$U,$H324)&lt;&gt;"Free Game",INDEX('Game Records'!$U:$U,$H324)&lt;&gt;"Disqualified — Free Game",OR(INDEX('Game Records'!$D:$D,$H324)="",LOWER(INDEX('Game Records'!$D:$D,$H324)&amp;"")="n/a")),"Entry Mode; ","")&amp;IF(AND(INDEX('Game Records'!$U:$U,$H324)&lt;&gt;"Subscription",INDEX('Game Records'!$U:$U,$H324)&lt;&gt;"Free Game",INDEX('Game Records'!$U:$U,$H324)&lt;&gt;"Disqualified — Free Game",OR(INDEX('Game Records'!$E:$E,$H324)="",LOWER(INDEX('Game Records'!$E:$E,$H324)&amp;"")="n/a")),"Game Type; ","")&amp;IF(INDEX('Game Records'!$F:$F,$H324)="","Payment Type; ","")&amp;IF(AND(INDEX('Game Records'!$U:$U,$H324)&lt;&gt;"Subscription",INDEX('Game Records'!$U:$U,$H324)&lt;&gt;"Free Game",INDEX('Game Records'!$U:$U,$H324)&lt;&gt;"Disqualified — Free Game",INDEX('Game Records'!$G:$G,$H324)=""),"Gross Pot; ","")&amp;IF(AND(INDEX('Game Records'!$U:$U,$H324)&lt;&gt;"Free Game",INDEX('Game Records'!$U:$U,$H324)&lt;&gt;"Disqualified — Free Game",INDEX('Game Records'!$H:$H,$H324)=""),"Entry Fee; ","")&amp;IF(AND(INDEX('Game Records'!$U:$U,$H324)&lt;&gt;"Subscription",INDEX('Game Records'!$U:$U,$H324)&lt;&gt;"Free Game",INDEX('Game Records'!$U:$U,$H324)&lt;&gt;"Disqualified — Free Game",INDEX('Game Records'!$I:$I,$H324)=""),"Eligible Players; ","")&amp;IF(AND(INDEX('Game Records'!$U:$U,$H324)&lt;&gt;"Subscription",INDEX('Game Records'!$U:$U,$H324)&lt;&gt;"Free Game",INDEX('Game Records'!$U:$U,$H324)&lt;&gt;"Disqualified — Free Game",INDEX('Game Records'!$J:$J,$H324)=""),"Total Players; ","")&amp;IF(AND(LOWER(INDEX('Game Records'!$D:$D,$H324)&amp;"")="finalized",LOWER(INDEX('Game Records'!$L:$L,$H324)&amp;"")&lt;&gt;"yes",INDEX('Game Records'!$U:$U,$H324)&lt;&gt;"Subscription",INDEX('Game Records'!$U:$U,$H324)&lt;&gt;"Free Game",INDEX('Game Records'!$U:$U,$H324)&lt;&gt;"Disqualified — Free Game",INDEX('Game Records'!$K:$K,$H324)=""),"Final Payout; ","")&amp;IF(AND(LOWER(INDEX('Game Records'!$D:$D,$H324)&amp;"")="finalized",INDEX('Game Records'!$U:$U,$H324)&lt;&gt;"Subscription",INDEX('Game Records'!$U:$U,$H324)&lt;&gt;"Free Game",INDEX('Game Records'!$U:$U,$H324)&lt;&gt;"Disqualified — Free Game",OR(INDEX('Game Records'!$L:$L,$H324)="",LOWER(INDEX('Game Records'!$L:$L,$H324)&amp;"")="n/a")),"Disqualified Status; ",""))</f>
        <v/>
      </c>
      <c r="G324" s="23" t="str">
        <f t="array" ref="G324">IF($H324="","",IFERROR(INDEX('Game Records'!$M:$M,$H324),""))</f>
        <v/>
      </c>
      <c r="H324" s="3"/>
    </row>
    <row r="325" ht="24.0" customHeight="1">
      <c r="A325" s="18" t="str">
        <f t="shared" si="1"/>
        <v/>
      </c>
      <c r="B325" s="18" t="str">
        <f t="shared" si="2"/>
        <v/>
      </c>
      <c r="C325" s="23" t="str">
        <f t="array" ref="C325">IF($H325="","",IFERROR(INDEX('Game Records'!$A:$A,$H325),""))</f>
        <v/>
      </c>
      <c r="D325" s="23" t="str">
        <f t="array" ref="D325">IF($H325="","",IFERROR(INDEX('Game Records'!$U:$U,$H325),""))</f>
        <v/>
      </c>
      <c r="E325" s="23" t="str">
        <f t="array" ref="E325">IF($H325="","",LET(r,$H325,mode,LOWER(INDEX('Game Records'!$D:$D,r)&amp;""),endDate,INDEX('Game Records'!$C:$C,r),IF(mode="estimate",IF(endDate="","Estimate — End Date missing",IF(NOT(ISNUMBER(endDate)),"Estimate — Check End Date",IF(INT(endDate)&gt;=TODAY(),"In Progress — ends "&amp;TEXT(endDate,"mmm d, yyyy"),"Ready to Finalize"))),IF($F325="","No Highlighted Fields","Highlighted Fields Present"))))</f>
        <v/>
      </c>
      <c r="F325" s="23" t="str">
        <f t="array" ref="F325">IF($H325="","",IF(OR(NOT(_xlfn.ISFORMULA(INDEX('Game Records'!$N:$N,$H325))),NOT(_xlfn.ISFORMULA(INDEX('Game Records'!$O:$O,$H325))),NOT(_xlfn.ISFORMULA(INDEX('Game Records'!$P:$P,$H325))),NOT(_xlfn.ISFORMULA(INDEX('Game Records'!$Q:$Q,$H325))),NOT(_xlfn.ISFORMULA(INDEX('Game Records'!$R:$R,$H325))),NOT(_xlfn.ISFORMULA(INDEX('Game Records'!$S:$S,$H325))),NOT(_xlfn.ISFORMULA(INDEX('Game Records'!$T:$T,$H325))),NOT(_xlfn.ISFORMULA(INDEX('Game Records'!$U:$U,$H325))),NOT(_xlfn.ISFORMULA(INDEX('Game Records'!$V:$V,$H325))),NOT(_xlfn.ISFORMULA(INDEX('Game Records'!$W:$W,$H325))),NOT(_xlfn.ISFORMULA(INDEX('Game Records'!$X:$X,$H325))),NOT(_xlfn.ISFORMULA(INDEX('Game Records'!$Y:$Y,$H325))),NOT(_xlfn.ISFORMULA(INDEX('Game Records'!$Z:$Z,$H325)))),"","")&amp;IF(INDEX('Game Records'!$B:$B,$H325)="","Start Date; ","")&amp;IF(INDEX('Game Records'!$C:$C,$H325)="","End Date; ","")&amp;IF(AND(INDEX('Game Records'!$U:$U,$H325)&lt;&gt;"Subscription",INDEX('Game Records'!$U:$U,$H325)&lt;&gt;"Free Game",INDEX('Game Records'!$U:$U,$H325)&lt;&gt;"Disqualified — Free Game",OR(INDEX('Game Records'!$D:$D,$H325)="",LOWER(INDEX('Game Records'!$D:$D,$H325)&amp;"")="n/a")),"Entry Mode; ","")&amp;IF(AND(INDEX('Game Records'!$U:$U,$H325)&lt;&gt;"Subscription",INDEX('Game Records'!$U:$U,$H325)&lt;&gt;"Free Game",INDEX('Game Records'!$U:$U,$H325)&lt;&gt;"Disqualified — Free Game",OR(INDEX('Game Records'!$E:$E,$H325)="",LOWER(INDEX('Game Records'!$E:$E,$H325)&amp;"")="n/a")),"Game Type; ","")&amp;IF(INDEX('Game Records'!$F:$F,$H325)="","Payment Type; ","")&amp;IF(AND(INDEX('Game Records'!$U:$U,$H325)&lt;&gt;"Subscription",INDEX('Game Records'!$U:$U,$H325)&lt;&gt;"Free Game",INDEX('Game Records'!$U:$U,$H325)&lt;&gt;"Disqualified — Free Game",INDEX('Game Records'!$G:$G,$H325)=""),"Gross Pot; ","")&amp;IF(AND(INDEX('Game Records'!$U:$U,$H325)&lt;&gt;"Free Game",INDEX('Game Records'!$U:$U,$H325)&lt;&gt;"Disqualified — Free Game",INDEX('Game Records'!$H:$H,$H325)=""),"Entry Fee; ","")&amp;IF(AND(INDEX('Game Records'!$U:$U,$H325)&lt;&gt;"Subscription",INDEX('Game Records'!$U:$U,$H325)&lt;&gt;"Free Game",INDEX('Game Records'!$U:$U,$H325)&lt;&gt;"Disqualified — Free Game",INDEX('Game Records'!$I:$I,$H325)=""),"Eligible Players; ","")&amp;IF(AND(INDEX('Game Records'!$U:$U,$H325)&lt;&gt;"Subscription",INDEX('Game Records'!$U:$U,$H325)&lt;&gt;"Free Game",INDEX('Game Records'!$U:$U,$H325)&lt;&gt;"Disqualified — Free Game",INDEX('Game Records'!$J:$J,$H325)=""),"Total Players; ","")&amp;IF(AND(LOWER(INDEX('Game Records'!$D:$D,$H325)&amp;"")="finalized",LOWER(INDEX('Game Records'!$L:$L,$H325)&amp;"")&lt;&gt;"yes",INDEX('Game Records'!$U:$U,$H325)&lt;&gt;"Subscription",INDEX('Game Records'!$U:$U,$H325)&lt;&gt;"Free Game",INDEX('Game Records'!$U:$U,$H325)&lt;&gt;"Disqualified — Free Game",INDEX('Game Records'!$K:$K,$H325)=""),"Final Payout; ","")&amp;IF(AND(LOWER(INDEX('Game Records'!$D:$D,$H325)&amp;"")="finalized",INDEX('Game Records'!$U:$U,$H325)&lt;&gt;"Subscription",INDEX('Game Records'!$U:$U,$H325)&lt;&gt;"Free Game",INDEX('Game Records'!$U:$U,$H325)&lt;&gt;"Disqualified — Free Game",OR(INDEX('Game Records'!$L:$L,$H325)="",LOWER(INDEX('Game Records'!$L:$L,$H325)&amp;"")="n/a")),"Disqualified Status; ",""))</f>
        <v/>
      </c>
      <c r="G325" s="23" t="str">
        <f t="array" ref="G325">IF($H325="","",IFERROR(INDEX('Game Records'!$M:$M,$H325),""))</f>
        <v/>
      </c>
      <c r="H325" s="3"/>
    </row>
    <row r="326" ht="24.0" customHeight="1">
      <c r="A326" s="18" t="str">
        <f t="shared" si="1"/>
        <v/>
      </c>
      <c r="B326" s="18" t="str">
        <f t="shared" si="2"/>
        <v/>
      </c>
      <c r="C326" s="23" t="str">
        <f t="array" ref="C326">IF($H326="","",IFERROR(INDEX('Game Records'!$A:$A,$H326),""))</f>
        <v/>
      </c>
      <c r="D326" s="23" t="str">
        <f t="array" ref="D326">IF($H326="","",IFERROR(INDEX('Game Records'!$U:$U,$H326),""))</f>
        <v/>
      </c>
      <c r="E326" s="23" t="str">
        <f t="array" ref="E326">IF($H326="","",LET(r,$H326,mode,LOWER(INDEX('Game Records'!$D:$D,r)&amp;""),endDate,INDEX('Game Records'!$C:$C,r),IF(mode="estimate",IF(endDate="","Estimate — End Date missing",IF(NOT(ISNUMBER(endDate)),"Estimate — Check End Date",IF(INT(endDate)&gt;=TODAY(),"In Progress — ends "&amp;TEXT(endDate,"mmm d, yyyy"),"Ready to Finalize"))),IF($F326="","No Highlighted Fields","Highlighted Fields Present"))))</f>
        <v/>
      </c>
      <c r="F326" s="23" t="str">
        <f t="array" ref="F326">IF($H326="","",IF(OR(NOT(_xlfn.ISFORMULA(INDEX('Game Records'!$N:$N,$H326))),NOT(_xlfn.ISFORMULA(INDEX('Game Records'!$O:$O,$H326))),NOT(_xlfn.ISFORMULA(INDEX('Game Records'!$P:$P,$H326))),NOT(_xlfn.ISFORMULA(INDEX('Game Records'!$Q:$Q,$H326))),NOT(_xlfn.ISFORMULA(INDEX('Game Records'!$R:$R,$H326))),NOT(_xlfn.ISFORMULA(INDEX('Game Records'!$S:$S,$H326))),NOT(_xlfn.ISFORMULA(INDEX('Game Records'!$T:$T,$H326))),NOT(_xlfn.ISFORMULA(INDEX('Game Records'!$U:$U,$H326))),NOT(_xlfn.ISFORMULA(INDEX('Game Records'!$V:$V,$H326))),NOT(_xlfn.ISFORMULA(INDEX('Game Records'!$W:$W,$H326))),NOT(_xlfn.ISFORMULA(INDEX('Game Records'!$X:$X,$H326))),NOT(_xlfn.ISFORMULA(INDEX('Game Records'!$Y:$Y,$H326))),NOT(_xlfn.ISFORMULA(INDEX('Game Records'!$Z:$Z,$H326)))),"","")&amp;IF(INDEX('Game Records'!$B:$B,$H326)="","Start Date; ","")&amp;IF(INDEX('Game Records'!$C:$C,$H326)="","End Date; ","")&amp;IF(AND(INDEX('Game Records'!$U:$U,$H326)&lt;&gt;"Subscription",INDEX('Game Records'!$U:$U,$H326)&lt;&gt;"Free Game",INDEX('Game Records'!$U:$U,$H326)&lt;&gt;"Disqualified — Free Game",OR(INDEX('Game Records'!$D:$D,$H326)="",LOWER(INDEX('Game Records'!$D:$D,$H326)&amp;"")="n/a")),"Entry Mode; ","")&amp;IF(AND(INDEX('Game Records'!$U:$U,$H326)&lt;&gt;"Subscription",INDEX('Game Records'!$U:$U,$H326)&lt;&gt;"Free Game",INDEX('Game Records'!$U:$U,$H326)&lt;&gt;"Disqualified — Free Game",OR(INDEX('Game Records'!$E:$E,$H326)="",LOWER(INDEX('Game Records'!$E:$E,$H326)&amp;"")="n/a")),"Game Type; ","")&amp;IF(INDEX('Game Records'!$F:$F,$H326)="","Payment Type; ","")&amp;IF(AND(INDEX('Game Records'!$U:$U,$H326)&lt;&gt;"Subscription",INDEX('Game Records'!$U:$U,$H326)&lt;&gt;"Free Game",INDEX('Game Records'!$U:$U,$H326)&lt;&gt;"Disqualified — Free Game",INDEX('Game Records'!$G:$G,$H326)=""),"Gross Pot; ","")&amp;IF(AND(INDEX('Game Records'!$U:$U,$H326)&lt;&gt;"Free Game",INDEX('Game Records'!$U:$U,$H326)&lt;&gt;"Disqualified — Free Game",INDEX('Game Records'!$H:$H,$H326)=""),"Entry Fee; ","")&amp;IF(AND(INDEX('Game Records'!$U:$U,$H326)&lt;&gt;"Subscription",INDEX('Game Records'!$U:$U,$H326)&lt;&gt;"Free Game",INDEX('Game Records'!$U:$U,$H326)&lt;&gt;"Disqualified — Free Game",INDEX('Game Records'!$I:$I,$H326)=""),"Eligible Players; ","")&amp;IF(AND(INDEX('Game Records'!$U:$U,$H326)&lt;&gt;"Subscription",INDEX('Game Records'!$U:$U,$H326)&lt;&gt;"Free Game",INDEX('Game Records'!$U:$U,$H326)&lt;&gt;"Disqualified — Free Game",INDEX('Game Records'!$J:$J,$H326)=""),"Total Players; ","")&amp;IF(AND(LOWER(INDEX('Game Records'!$D:$D,$H326)&amp;"")="finalized",LOWER(INDEX('Game Records'!$L:$L,$H326)&amp;"")&lt;&gt;"yes",INDEX('Game Records'!$U:$U,$H326)&lt;&gt;"Subscription",INDEX('Game Records'!$U:$U,$H326)&lt;&gt;"Free Game",INDEX('Game Records'!$U:$U,$H326)&lt;&gt;"Disqualified — Free Game",INDEX('Game Records'!$K:$K,$H326)=""),"Final Payout; ","")&amp;IF(AND(LOWER(INDEX('Game Records'!$D:$D,$H326)&amp;"")="finalized",INDEX('Game Records'!$U:$U,$H326)&lt;&gt;"Subscription",INDEX('Game Records'!$U:$U,$H326)&lt;&gt;"Free Game",INDEX('Game Records'!$U:$U,$H326)&lt;&gt;"Disqualified — Free Game",OR(INDEX('Game Records'!$L:$L,$H326)="",LOWER(INDEX('Game Records'!$L:$L,$H326)&amp;"")="n/a")),"Disqualified Status; ",""))</f>
        <v/>
      </c>
      <c r="G326" s="23" t="str">
        <f t="array" ref="G326">IF($H326="","",IFERROR(INDEX('Game Records'!$M:$M,$H326),""))</f>
        <v/>
      </c>
      <c r="H326" s="3"/>
    </row>
    <row r="327" ht="24.0" customHeight="1">
      <c r="A327" s="18" t="str">
        <f t="shared" si="1"/>
        <v/>
      </c>
      <c r="B327" s="18" t="str">
        <f t="shared" si="2"/>
        <v/>
      </c>
      <c r="C327" s="23" t="str">
        <f t="array" ref="C327">IF($H327="","",IFERROR(INDEX('Game Records'!$A:$A,$H327),""))</f>
        <v/>
      </c>
      <c r="D327" s="23" t="str">
        <f t="array" ref="D327">IF($H327="","",IFERROR(INDEX('Game Records'!$U:$U,$H327),""))</f>
        <v/>
      </c>
      <c r="E327" s="23" t="str">
        <f t="array" ref="E327">IF($H327="","",LET(r,$H327,mode,LOWER(INDEX('Game Records'!$D:$D,r)&amp;""),endDate,INDEX('Game Records'!$C:$C,r),IF(mode="estimate",IF(endDate="","Estimate — End Date missing",IF(NOT(ISNUMBER(endDate)),"Estimate — Check End Date",IF(INT(endDate)&gt;=TODAY(),"In Progress — ends "&amp;TEXT(endDate,"mmm d, yyyy"),"Ready to Finalize"))),IF($F327="","No Highlighted Fields","Highlighted Fields Present"))))</f>
        <v/>
      </c>
      <c r="F327" s="23" t="str">
        <f t="array" ref="F327">IF($H327="","",IF(OR(NOT(_xlfn.ISFORMULA(INDEX('Game Records'!$N:$N,$H327))),NOT(_xlfn.ISFORMULA(INDEX('Game Records'!$O:$O,$H327))),NOT(_xlfn.ISFORMULA(INDEX('Game Records'!$P:$P,$H327))),NOT(_xlfn.ISFORMULA(INDEX('Game Records'!$Q:$Q,$H327))),NOT(_xlfn.ISFORMULA(INDEX('Game Records'!$R:$R,$H327))),NOT(_xlfn.ISFORMULA(INDEX('Game Records'!$S:$S,$H327))),NOT(_xlfn.ISFORMULA(INDEX('Game Records'!$T:$T,$H327))),NOT(_xlfn.ISFORMULA(INDEX('Game Records'!$U:$U,$H327))),NOT(_xlfn.ISFORMULA(INDEX('Game Records'!$V:$V,$H327))),NOT(_xlfn.ISFORMULA(INDEX('Game Records'!$W:$W,$H327))),NOT(_xlfn.ISFORMULA(INDEX('Game Records'!$X:$X,$H327))),NOT(_xlfn.ISFORMULA(INDEX('Game Records'!$Y:$Y,$H327))),NOT(_xlfn.ISFORMULA(INDEX('Game Records'!$Z:$Z,$H327)))),"","")&amp;IF(INDEX('Game Records'!$B:$B,$H327)="","Start Date; ","")&amp;IF(INDEX('Game Records'!$C:$C,$H327)="","End Date; ","")&amp;IF(AND(INDEX('Game Records'!$U:$U,$H327)&lt;&gt;"Subscription",INDEX('Game Records'!$U:$U,$H327)&lt;&gt;"Free Game",INDEX('Game Records'!$U:$U,$H327)&lt;&gt;"Disqualified — Free Game",OR(INDEX('Game Records'!$D:$D,$H327)="",LOWER(INDEX('Game Records'!$D:$D,$H327)&amp;"")="n/a")),"Entry Mode; ","")&amp;IF(AND(INDEX('Game Records'!$U:$U,$H327)&lt;&gt;"Subscription",INDEX('Game Records'!$U:$U,$H327)&lt;&gt;"Free Game",INDEX('Game Records'!$U:$U,$H327)&lt;&gt;"Disqualified — Free Game",OR(INDEX('Game Records'!$E:$E,$H327)="",LOWER(INDEX('Game Records'!$E:$E,$H327)&amp;"")="n/a")),"Game Type; ","")&amp;IF(INDEX('Game Records'!$F:$F,$H327)="","Payment Type; ","")&amp;IF(AND(INDEX('Game Records'!$U:$U,$H327)&lt;&gt;"Subscription",INDEX('Game Records'!$U:$U,$H327)&lt;&gt;"Free Game",INDEX('Game Records'!$U:$U,$H327)&lt;&gt;"Disqualified — Free Game",INDEX('Game Records'!$G:$G,$H327)=""),"Gross Pot; ","")&amp;IF(AND(INDEX('Game Records'!$U:$U,$H327)&lt;&gt;"Free Game",INDEX('Game Records'!$U:$U,$H327)&lt;&gt;"Disqualified — Free Game",INDEX('Game Records'!$H:$H,$H327)=""),"Entry Fee; ","")&amp;IF(AND(INDEX('Game Records'!$U:$U,$H327)&lt;&gt;"Subscription",INDEX('Game Records'!$U:$U,$H327)&lt;&gt;"Free Game",INDEX('Game Records'!$U:$U,$H327)&lt;&gt;"Disqualified — Free Game",INDEX('Game Records'!$I:$I,$H327)=""),"Eligible Players; ","")&amp;IF(AND(INDEX('Game Records'!$U:$U,$H327)&lt;&gt;"Subscription",INDEX('Game Records'!$U:$U,$H327)&lt;&gt;"Free Game",INDEX('Game Records'!$U:$U,$H327)&lt;&gt;"Disqualified — Free Game",INDEX('Game Records'!$J:$J,$H327)=""),"Total Players; ","")&amp;IF(AND(LOWER(INDEX('Game Records'!$D:$D,$H327)&amp;"")="finalized",LOWER(INDEX('Game Records'!$L:$L,$H327)&amp;"")&lt;&gt;"yes",INDEX('Game Records'!$U:$U,$H327)&lt;&gt;"Subscription",INDEX('Game Records'!$U:$U,$H327)&lt;&gt;"Free Game",INDEX('Game Records'!$U:$U,$H327)&lt;&gt;"Disqualified — Free Game",INDEX('Game Records'!$K:$K,$H327)=""),"Final Payout; ","")&amp;IF(AND(LOWER(INDEX('Game Records'!$D:$D,$H327)&amp;"")="finalized",INDEX('Game Records'!$U:$U,$H327)&lt;&gt;"Subscription",INDEX('Game Records'!$U:$U,$H327)&lt;&gt;"Free Game",INDEX('Game Records'!$U:$U,$H327)&lt;&gt;"Disqualified — Free Game",OR(INDEX('Game Records'!$L:$L,$H327)="",LOWER(INDEX('Game Records'!$L:$L,$H327)&amp;"")="n/a")),"Disqualified Status; ",""))</f>
        <v/>
      </c>
      <c r="G327" s="23" t="str">
        <f t="array" ref="G327">IF($H327="","",IFERROR(INDEX('Game Records'!$M:$M,$H327),""))</f>
        <v/>
      </c>
      <c r="H327" s="3"/>
    </row>
    <row r="328" ht="24.0" customHeight="1">
      <c r="A328" s="18" t="str">
        <f t="shared" si="1"/>
        <v/>
      </c>
      <c r="B328" s="18" t="str">
        <f t="shared" si="2"/>
        <v/>
      </c>
      <c r="C328" s="23" t="str">
        <f t="array" ref="C328">IF($H328="","",IFERROR(INDEX('Game Records'!$A:$A,$H328),""))</f>
        <v/>
      </c>
      <c r="D328" s="23" t="str">
        <f t="array" ref="D328">IF($H328="","",IFERROR(INDEX('Game Records'!$U:$U,$H328),""))</f>
        <v/>
      </c>
      <c r="E328" s="23" t="str">
        <f t="array" ref="E328">IF($H328="","",LET(r,$H328,mode,LOWER(INDEX('Game Records'!$D:$D,r)&amp;""),endDate,INDEX('Game Records'!$C:$C,r),IF(mode="estimate",IF(endDate="","Estimate — End Date missing",IF(NOT(ISNUMBER(endDate)),"Estimate — Check End Date",IF(INT(endDate)&gt;=TODAY(),"In Progress — ends "&amp;TEXT(endDate,"mmm d, yyyy"),"Ready to Finalize"))),IF($F328="","No Highlighted Fields","Highlighted Fields Present"))))</f>
        <v/>
      </c>
      <c r="F328" s="23" t="str">
        <f t="array" ref="F328">IF($H328="","",IF(OR(NOT(_xlfn.ISFORMULA(INDEX('Game Records'!$N:$N,$H328))),NOT(_xlfn.ISFORMULA(INDEX('Game Records'!$O:$O,$H328))),NOT(_xlfn.ISFORMULA(INDEX('Game Records'!$P:$P,$H328))),NOT(_xlfn.ISFORMULA(INDEX('Game Records'!$Q:$Q,$H328))),NOT(_xlfn.ISFORMULA(INDEX('Game Records'!$R:$R,$H328))),NOT(_xlfn.ISFORMULA(INDEX('Game Records'!$S:$S,$H328))),NOT(_xlfn.ISFORMULA(INDEX('Game Records'!$T:$T,$H328))),NOT(_xlfn.ISFORMULA(INDEX('Game Records'!$U:$U,$H328))),NOT(_xlfn.ISFORMULA(INDEX('Game Records'!$V:$V,$H328))),NOT(_xlfn.ISFORMULA(INDEX('Game Records'!$W:$W,$H328))),NOT(_xlfn.ISFORMULA(INDEX('Game Records'!$X:$X,$H328))),NOT(_xlfn.ISFORMULA(INDEX('Game Records'!$Y:$Y,$H328))),NOT(_xlfn.ISFORMULA(INDEX('Game Records'!$Z:$Z,$H328)))),"","")&amp;IF(INDEX('Game Records'!$B:$B,$H328)="","Start Date; ","")&amp;IF(INDEX('Game Records'!$C:$C,$H328)="","End Date; ","")&amp;IF(AND(INDEX('Game Records'!$U:$U,$H328)&lt;&gt;"Subscription",INDEX('Game Records'!$U:$U,$H328)&lt;&gt;"Free Game",INDEX('Game Records'!$U:$U,$H328)&lt;&gt;"Disqualified — Free Game",OR(INDEX('Game Records'!$D:$D,$H328)="",LOWER(INDEX('Game Records'!$D:$D,$H328)&amp;"")="n/a")),"Entry Mode; ","")&amp;IF(AND(INDEX('Game Records'!$U:$U,$H328)&lt;&gt;"Subscription",INDEX('Game Records'!$U:$U,$H328)&lt;&gt;"Free Game",INDEX('Game Records'!$U:$U,$H328)&lt;&gt;"Disqualified — Free Game",OR(INDEX('Game Records'!$E:$E,$H328)="",LOWER(INDEX('Game Records'!$E:$E,$H328)&amp;"")="n/a")),"Game Type; ","")&amp;IF(INDEX('Game Records'!$F:$F,$H328)="","Payment Type; ","")&amp;IF(AND(INDEX('Game Records'!$U:$U,$H328)&lt;&gt;"Subscription",INDEX('Game Records'!$U:$U,$H328)&lt;&gt;"Free Game",INDEX('Game Records'!$U:$U,$H328)&lt;&gt;"Disqualified — Free Game",INDEX('Game Records'!$G:$G,$H328)=""),"Gross Pot; ","")&amp;IF(AND(INDEX('Game Records'!$U:$U,$H328)&lt;&gt;"Free Game",INDEX('Game Records'!$U:$U,$H328)&lt;&gt;"Disqualified — Free Game",INDEX('Game Records'!$H:$H,$H328)=""),"Entry Fee; ","")&amp;IF(AND(INDEX('Game Records'!$U:$U,$H328)&lt;&gt;"Subscription",INDEX('Game Records'!$U:$U,$H328)&lt;&gt;"Free Game",INDEX('Game Records'!$U:$U,$H328)&lt;&gt;"Disqualified — Free Game",INDEX('Game Records'!$I:$I,$H328)=""),"Eligible Players; ","")&amp;IF(AND(INDEX('Game Records'!$U:$U,$H328)&lt;&gt;"Subscription",INDEX('Game Records'!$U:$U,$H328)&lt;&gt;"Free Game",INDEX('Game Records'!$U:$U,$H328)&lt;&gt;"Disqualified — Free Game",INDEX('Game Records'!$J:$J,$H328)=""),"Total Players; ","")&amp;IF(AND(LOWER(INDEX('Game Records'!$D:$D,$H328)&amp;"")="finalized",LOWER(INDEX('Game Records'!$L:$L,$H328)&amp;"")&lt;&gt;"yes",INDEX('Game Records'!$U:$U,$H328)&lt;&gt;"Subscription",INDEX('Game Records'!$U:$U,$H328)&lt;&gt;"Free Game",INDEX('Game Records'!$U:$U,$H328)&lt;&gt;"Disqualified — Free Game",INDEX('Game Records'!$K:$K,$H328)=""),"Final Payout; ","")&amp;IF(AND(LOWER(INDEX('Game Records'!$D:$D,$H328)&amp;"")="finalized",INDEX('Game Records'!$U:$U,$H328)&lt;&gt;"Subscription",INDEX('Game Records'!$U:$U,$H328)&lt;&gt;"Free Game",INDEX('Game Records'!$U:$U,$H328)&lt;&gt;"Disqualified — Free Game",OR(INDEX('Game Records'!$L:$L,$H328)="",LOWER(INDEX('Game Records'!$L:$L,$H328)&amp;"")="n/a")),"Disqualified Status; ",""))</f>
        <v/>
      </c>
      <c r="G328" s="23" t="str">
        <f t="array" ref="G328">IF($H328="","",IFERROR(INDEX('Game Records'!$M:$M,$H328),""))</f>
        <v/>
      </c>
      <c r="H328" s="3"/>
    </row>
    <row r="329" ht="24.0" customHeight="1">
      <c r="A329" s="18" t="str">
        <f t="shared" si="1"/>
        <v/>
      </c>
      <c r="B329" s="18" t="str">
        <f t="shared" si="2"/>
        <v/>
      </c>
      <c r="C329" s="23" t="str">
        <f t="array" ref="C329">IF($H329="","",IFERROR(INDEX('Game Records'!$A:$A,$H329),""))</f>
        <v/>
      </c>
      <c r="D329" s="23" t="str">
        <f t="array" ref="D329">IF($H329="","",IFERROR(INDEX('Game Records'!$U:$U,$H329),""))</f>
        <v/>
      </c>
      <c r="E329" s="23" t="str">
        <f t="array" ref="E329">IF($H329="","",LET(r,$H329,mode,LOWER(INDEX('Game Records'!$D:$D,r)&amp;""),endDate,INDEX('Game Records'!$C:$C,r),IF(mode="estimate",IF(endDate="","Estimate — End Date missing",IF(NOT(ISNUMBER(endDate)),"Estimate — Check End Date",IF(INT(endDate)&gt;=TODAY(),"In Progress — ends "&amp;TEXT(endDate,"mmm d, yyyy"),"Ready to Finalize"))),IF($F329="","No Highlighted Fields","Highlighted Fields Present"))))</f>
        <v/>
      </c>
      <c r="F329" s="23" t="str">
        <f t="array" ref="F329">IF($H329="","",IF(OR(NOT(_xlfn.ISFORMULA(INDEX('Game Records'!$N:$N,$H329))),NOT(_xlfn.ISFORMULA(INDEX('Game Records'!$O:$O,$H329))),NOT(_xlfn.ISFORMULA(INDEX('Game Records'!$P:$P,$H329))),NOT(_xlfn.ISFORMULA(INDEX('Game Records'!$Q:$Q,$H329))),NOT(_xlfn.ISFORMULA(INDEX('Game Records'!$R:$R,$H329))),NOT(_xlfn.ISFORMULA(INDEX('Game Records'!$S:$S,$H329))),NOT(_xlfn.ISFORMULA(INDEX('Game Records'!$T:$T,$H329))),NOT(_xlfn.ISFORMULA(INDEX('Game Records'!$U:$U,$H329))),NOT(_xlfn.ISFORMULA(INDEX('Game Records'!$V:$V,$H329))),NOT(_xlfn.ISFORMULA(INDEX('Game Records'!$W:$W,$H329))),NOT(_xlfn.ISFORMULA(INDEX('Game Records'!$X:$X,$H329))),NOT(_xlfn.ISFORMULA(INDEX('Game Records'!$Y:$Y,$H329))),NOT(_xlfn.ISFORMULA(INDEX('Game Records'!$Z:$Z,$H329)))),"","")&amp;IF(INDEX('Game Records'!$B:$B,$H329)="","Start Date; ","")&amp;IF(INDEX('Game Records'!$C:$C,$H329)="","End Date; ","")&amp;IF(AND(INDEX('Game Records'!$U:$U,$H329)&lt;&gt;"Subscription",INDEX('Game Records'!$U:$U,$H329)&lt;&gt;"Free Game",INDEX('Game Records'!$U:$U,$H329)&lt;&gt;"Disqualified — Free Game",OR(INDEX('Game Records'!$D:$D,$H329)="",LOWER(INDEX('Game Records'!$D:$D,$H329)&amp;"")="n/a")),"Entry Mode; ","")&amp;IF(AND(INDEX('Game Records'!$U:$U,$H329)&lt;&gt;"Subscription",INDEX('Game Records'!$U:$U,$H329)&lt;&gt;"Free Game",INDEX('Game Records'!$U:$U,$H329)&lt;&gt;"Disqualified — Free Game",OR(INDEX('Game Records'!$E:$E,$H329)="",LOWER(INDEX('Game Records'!$E:$E,$H329)&amp;"")="n/a")),"Game Type; ","")&amp;IF(INDEX('Game Records'!$F:$F,$H329)="","Payment Type; ","")&amp;IF(AND(INDEX('Game Records'!$U:$U,$H329)&lt;&gt;"Subscription",INDEX('Game Records'!$U:$U,$H329)&lt;&gt;"Free Game",INDEX('Game Records'!$U:$U,$H329)&lt;&gt;"Disqualified — Free Game",INDEX('Game Records'!$G:$G,$H329)=""),"Gross Pot; ","")&amp;IF(AND(INDEX('Game Records'!$U:$U,$H329)&lt;&gt;"Free Game",INDEX('Game Records'!$U:$U,$H329)&lt;&gt;"Disqualified — Free Game",INDEX('Game Records'!$H:$H,$H329)=""),"Entry Fee; ","")&amp;IF(AND(INDEX('Game Records'!$U:$U,$H329)&lt;&gt;"Subscription",INDEX('Game Records'!$U:$U,$H329)&lt;&gt;"Free Game",INDEX('Game Records'!$U:$U,$H329)&lt;&gt;"Disqualified — Free Game",INDEX('Game Records'!$I:$I,$H329)=""),"Eligible Players; ","")&amp;IF(AND(INDEX('Game Records'!$U:$U,$H329)&lt;&gt;"Subscription",INDEX('Game Records'!$U:$U,$H329)&lt;&gt;"Free Game",INDEX('Game Records'!$U:$U,$H329)&lt;&gt;"Disqualified — Free Game",INDEX('Game Records'!$J:$J,$H329)=""),"Total Players; ","")&amp;IF(AND(LOWER(INDEX('Game Records'!$D:$D,$H329)&amp;"")="finalized",LOWER(INDEX('Game Records'!$L:$L,$H329)&amp;"")&lt;&gt;"yes",INDEX('Game Records'!$U:$U,$H329)&lt;&gt;"Subscription",INDEX('Game Records'!$U:$U,$H329)&lt;&gt;"Free Game",INDEX('Game Records'!$U:$U,$H329)&lt;&gt;"Disqualified — Free Game",INDEX('Game Records'!$K:$K,$H329)=""),"Final Payout; ","")&amp;IF(AND(LOWER(INDEX('Game Records'!$D:$D,$H329)&amp;"")="finalized",INDEX('Game Records'!$U:$U,$H329)&lt;&gt;"Subscription",INDEX('Game Records'!$U:$U,$H329)&lt;&gt;"Free Game",INDEX('Game Records'!$U:$U,$H329)&lt;&gt;"Disqualified — Free Game",OR(INDEX('Game Records'!$L:$L,$H329)="",LOWER(INDEX('Game Records'!$L:$L,$H329)&amp;"")="n/a")),"Disqualified Status; ",""))</f>
        <v/>
      </c>
      <c r="G329" s="23" t="str">
        <f t="array" ref="G329">IF($H329="","",IFERROR(INDEX('Game Records'!$M:$M,$H329),""))</f>
        <v/>
      </c>
      <c r="H329" s="3"/>
    </row>
    <row r="330" ht="24.0" customHeight="1">
      <c r="A330" s="18" t="str">
        <f t="shared" si="1"/>
        <v/>
      </c>
      <c r="B330" s="18" t="str">
        <f t="shared" si="2"/>
        <v/>
      </c>
      <c r="C330" s="23" t="str">
        <f t="array" ref="C330">IF($H330="","",IFERROR(INDEX('Game Records'!$A:$A,$H330),""))</f>
        <v/>
      </c>
      <c r="D330" s="23" t="str">
        <f t="array" ref="D330">IF($H330="","",IFERROR(INDEX('Game Records'!$U:$U,$H330),""))</f>
        <v/>
      </c>
      <c r="E330" s="23" t="str">
        <f t="array" ref="E330">IF($H330="","",LET(r,$H330,mode,LOWER(INDEX('Game Records'!$D:$D,r)&amp;""),endDate,INDEX('Game Records'!$C:$C,r),IF(mode="estimate",IF(endDate="","Estimate — End Date missing",IF(NOT(ISNUMBER(endDate)),"Estimate — Check End Date",IF(INT(endDate)&gt;=TODAY(),"In Progress — ends "&amp;TEXT(endDate,"mmm d, yyyy"),"Ready to Finalize"))),IF($F330="","No Highlighted Fields","Highlighted Fields Present"))))</f>
        <v/>
      </c>
      <c r="F330" s="23" t="str">
        <f t="array" ref="F330">IF($H330="","",IF(OR(NOT(_xlfn.ISFORMULA(INDEX('Game Records'!$N:$N,$H330))),NOT(_xlfn.ISFORMULA(INDEX('Game Records'!$O:$O,$H330))),NOT(_xlfn.ISFORMULA(INDEX('Game Records'!$P:$P,$H330))),NOT(_xlfn.ISFORMULA(INDEX('Game Records'!$Q:$Q,$H330))),NOT(_xlfn.ISFORMULA(INDEX('Game Records'!$R:$R,$H330))),NOT(_xlfn.ISFORMULA(INDEX('Game Records'!$S:$S,$H330))),NOT(_xlfn.ISFORMULA(INDEX('Game Records'!$T:$T,$H330))),NOT(_xlfn.ISFORMULA(INDEX('Game Records'!$U:$U,$H330))),NOT(_xlfn.ISFORMULA(INDEX('Game Records'!$V:$V,$H330))),NOT(_xlfn.ISFORMULA(INDEX('Game Records'!$W:$W,$H330))),NOT(_xlfn.ISFORMULA(INDEX('Game Records'!$X:$X,$H330))),NOT(_xlfn.ISFORMULA(INDEX('Game Records'!$Y:$Y,$H330))),NOT(_xlfn.ISFORMULA(INDEX('Game Records'!$Z:$Z,$H330)))),"","")&amp;IF(INDEX('Game Records'!$B:$B,$H330)="","Start Date; ","")&amp;IF(INDEX('Game Records'!$C:$C,$H330)="","End Date; ","")&amp;IF(AND(INDEX('Game Records'!$U:$U,$H330)&lt;&gt;"Subscription",INDEX('Game Records'!$U:$U,$H330)&lt;&gt;"Free Game",INDEX('Game Records'!$U:$U,$H330)&lt;&gt;"Disqualified — Free Game",OR(INDEX('Game Records'!$D:$D,$H330)="",LOWER(INDEX('Game Records'!$D:$D,$H330)&amp;"")="n/a")),"Entry Mode; ","")&amp;IF(AND(INDEX('Game Records'!$U:$U,$H330)&lt;&gt;"Subscription",INDEX('Game Records'!$U:$U,$H330)&lt;&gt;"Free Game",INDEX('Game Records'!$U:$U,$H330)&lt;&gt;"Disqualified — Free Game",OR(INDEX('Game Records'!$E:$E,$H330)="",LOWER(INDEX('Game Records'!$E:$E,$H330)&amp;"")="n/a")),"Game Type; ","")&amp;IF(INDEX('Game Records'!$F:$F,$H330)="","Payment Type; ","")&amp;IF(AND(INDEX('Game Records'!$U:$U,$H330)&lt;&gt;"Subscription",INDEX('Game Records'!$U:$U,$H330)&lt;&gt;"Free Game",INDEX('Game Records'!$U:$U,$H330)&lt;&gt;"Disqualified — Free Game",INDEX('Game Records'!$G:$G,$H330)=""),"Gross Pot; ","")&amp;IF(AND(INDEX('Game Records'!$U:$U,$H330)&lt;&gt;"Free Game",INDEX('Game Records'!$U:$U,$H330)&lt;&gt;"Disqualified — Free Game",INDEX('Game Records'!$H:$H,$H330)=""),"Entry Fee; ","")&amp;IF(AND(INDEX('Game Records'!$U:$U,$H330)&lt;&gt;"Subscription",INDEX('Game Records'!$U:$U,$H330)&lt;&gt;"Free Game",INDEX('Game Records'!$U:$U,$H330)&lt;&gt;"Disqualified — Free Game",INDEX('Game Records'!$I:$I,$H330)=""),"Eligible Players; ","")&amp;IF(AND(INDEX('Game Records'!$U:$U,$H330)&lt;&gt;"Subscription",INDEX('Game Records'!$U:$U,$H330)&lt;&gt;"Free Game",INDEX('Game Records'!$U:$U,$H330)&lt;&gt;"Disqualified — Free Game",INDEX('Game Records'!$J:$J,$H330)=""),"Total Players; ","")&amp;IF(AND(LOWER(INDEX('Game Records'!$D:$D,$H330)&amp;"")="finalized",LOWER(INDEX('Game Records'!$L:$L,$H330)&amp;"")&lt;&gt;"yes",INDEX('Game Records'!$U:$U,$H330)&lt;&gt;"Subscription",INDEX('Game Records'!$U:$U,$H330)&lt;&gt;"Free Game",INDEX('Game Records'!$U:$U,$H330)&lt;&gt;"Disqualified — Free Game",INDEX('Game Records'!$K:$K,$H330)=""),"Final Payout; ","")&amp;IF(AND(LOWER(INDEX('Game Records'!$D:$D,$H330)&amp;"")="finalized",INDEX('Game Records'!$U:$U,$H330)&lt;&gt;"Subscription",INDEX('Game Records'!$U:$U,$H330)&lt;&gt;"Free Game",INDEX('Game Records'!$U:$U,$H330)&lt;&gt;"Disqualified — Free Game",OR(INDEX('Game Records'!$L:$L,$H330)="",LOWER(INDEX('Game Records'!$L:$L,$H330)&amp;"")="n/a")),"Disqualified Status; ",""))</f>
        <v/>
      </c>
      <c r="G330" s="23" t="str">
        <f t="array" ref="G330">IF($H330="","",IFERROR(INDEX('Game Records'!$M:$M,$H330),""))</f>
        <v/>
      </c>
      <c r="H330" s="3"/>
    </row>
    <row r="331" ht="24.0" customHeight="1">
      <c r="A331" s="18" t="str">
        <f t="shared" si="1"/>
        <v/>
      </c>
      <c r="B331" s="18" t="str">
        <f t="shared" si="2"/>
        <v/>
      </c>
      <c r="C331" s="23" t="str">
        <f t="array" ref="C331">IF($H331="","",IFERROR(INDEX('Game Records'!$A:$A,$H331),""))</f>
        <v/>
      </c>
      <c r="D331" s="23" t="str">
        <f t="array" ref="D331">IF($H331="","",IFERROR(INDEX('Game Records'!$U:$U,$H331),""))</f>
        <v/>
      </c>
      <c r="E331" s="23" t="str">
        <f t="array" ref="E331">IF($H331="","",LET(r,$H331,mode,LOWER(INDEX('Game Records'!$D:$D,r)&amp;""),endDate,INDEX('Game Records'!$C:$C,r),IF(mode="estimate",IF(endDate="","Estimate — End Date missing",IF(NOT(ISNUMBER(endDate)),"Estimate — Check End Date",IF(INT(endDate)&gt;=TODAY(),"In Progress — ends "&amp;TEXT(endDate,"mmm d, yyyy"),"Ready to Finalize"))),IF($F331="","No Highlighted Fields","Highlighted Fields Present"))))</f>
        <v/>
      </c>
      <c r="F331" s="23" t="str">
        <f t="array" ref="F331">IF($H331="","",IF(OR(NOT(_xlfn.ISFORMULA(INDEX('Game Records'!$N:$N,$H331))),NOT(_xlfn.ISFORMULA(INDEX('Game Records'!$O:$O,$H331))),NOT(_xlfn.ISFORMULA(INDEX('Game Records'!$P:$P,$H331))),NOT(_xlfn.ISFORMULA(INDEX('Game Records'!$Q:$Q,$H331))),NOT(_xlfn.ISFORMULA(INDEX('Game Records'!$R:$R,$H331))),NOT(_xlfn.ISFORMULA(INDEX('Game Records'!$S:$S,$H331))),NOT(_xlfn.ISFORMULA(INDEX('Game Records'!$T:$T,$H331))),NOT(_xlfn.ISFORMULA(INDEX('Game Records'!$U:$U,$H331))),NOT(_xlfn.ISFORMULA(INDEX('Game Records'!$V:$V,$H331))),NOT(_xlfn.ISFORMULA(INDEX('Game Records'!$W:$W,$H331))),NOT(_xlfn.ISFORMULA(INDEX('Game Records'!$X:$X,$H331))),NOT(_xlfn.ISFORMULA(INDEX('Game Records'!$Y:$Y,$H331))),NOT(_xlfn.ISFORMULA(INDEX('Game Records'!$Z:$Z,$H331)))),"","")&amp;IF(INDEX('Game Records'!$B:$B,$H331)="","Start Date; ","")&amp;IF(INDEX('Game Records'!$C:$C,$H331)="","End Date; ","")&amp;IF(AND(INDEX('Game Records'!$U:$U,$H331)&lt;&gt;"Subscription",INDEX('Game Records'!$U:$U,$H331)&lt;&gt;"Free Game",INDEX('Game Records'!$U:$U,$H331)&lt;&gt;"Disqualified — Free Game",OR(INDEX('Game Records'!$D:$D,$H331)="",LOWER(INDEX('Game Records'!$D:$D,$H331)&amp;"")="n/a")),"Entry Mode; ","")&amp;IF(AND(INDEX('Game Records'!$U:$U,$H331)&lt;&gt;"Subscription",INDEX('Game Records'!$U:$U,$H331)&lt;&gt;"Free Game",INDEX('Game Records'!$U:$U,$H331)&lt;&gt;"Disqualified — Free Game",OR(INDEX('Game Records'!$E:$E,$H331)="",LOWER(INDEX('Game Records'!$E:$E,$H331)&amp;"")="n/a")),"Game Type; ","")&amp;IF(INDEX('Game Records'!$F:$F,$H331)="","Payment Type; ","")&amp;IF(AND(INDEX('Game Records'!$U:$U,$H331)&lt;&gt;"Subscription",INDEX('Game Records'!$U:$U,$H331)&lt;&gt;"Free Game",INDEX('Game Records'!$U:$U,$H331)&lt;&gt;"Disqualified — Free Game",INDEX('Game Records'!$G:$G,$H331)=""),"Gross Pot; ","")&amp;IF(AND(INDEX('Game Records'!$U:$U,$H331)&lt;&gt;"Free Game",INDEX('Game Records'!$U:$U,$H331)&lt;&gt;"Disqualified — Free Game",INDEX('Game Records'!$H:$H,$H331)=""),"Entry Fee; ","")&amp;IF(AND(INDEX('Game Records'!$U:$U,$H331)&lt;&gt;"Subscription",INDEX('Game Records'!$U:$U,$H331)&lt;&gt;"Free Game",INDEX('Game Records'!$U:$U,$H331)&lt;&gt;"Disqualified — Free Game",INDEX('Game Records'!$I:$I,$H331)=""),"Eligible Players; ","")&amp;IF(AND(INDEX('Game Records'!$U:$U,$H331)&lt;&gt;"Subscription",INDEX('Game Records'!$U:$U,$H331)&lt;&gt;"Free Game",INDEX('Game Records'!$U:$U,$H331)&lt;&gt;"Disqualified — Free Game",INDEX('Game Records'!$J:$J,$H331)=""),"Total Players; ","")&amp;IF(AND(LOWER(INDEX('Game Records'!$D:$D,$H331)&amp;"")="finalized",LOWER(INDEX('Game Records'!$L:$L,$H331)&amp;"")&lt;&gt;"yes",INDEX('Game Records'!$U:$U,$H331)&lt;&gt;"Subscription",INDEX('Game Records'!$U:$U,$H331)&lt;&gt;"Free Game",INDEX('Game Records'!$U:$U,$H331)&lt;&gt;"Disqualified — Free Game",INDEX('Game Records'!$K:$K,$H331)=""),"Final Payout; ","")&amp;IF(AND(LOWER(INDEX('Game Records'!$D:$D,$H331)&amp;"")="finalized",INDEX('Game Records'!$U:$U,$H331)&lt;&gt;"Subscription",INDEX('Game Records'!$U:$U,$H331)&lt;&gt;"Free Game",INDEX('Game Records'!$U:$U,$H331)&lt;&gt;"Disqualified — Free Game",OR(INDEX('Game Records'!$L:$L,$H331)="",LOWER(INDEX('Game Records'!$L:$L,$H331)&amp;"")="n/a")),"Disqualified Status; ",""))</f>
        <v/>
      </c>
      <c r="G331" s="23" t="str">
        <f t="array" ref="G331">IF($H331="","",IFERROR(INDEX('Game Records'!$M:$M,$H331),""))</f>
        <v/>
      </c>
      <c r="H331" s="3"/>
    </row>
    <row r="332" ht="24.0" customHeight="1">
      <c r="A332" s="18" t="str">
        <f t="shared" si="1"/>
        <v/>
      </c>
      <c r="B332" s="18" t="str">
        <f t="shared" si="2"/>
        <v/>
      </c>
      <c r="C332" s="23" t="str">
        <f t="array" ref="C332">IF($H332="","",IFERROR(INDEX('Game Records'!$A:$A,$H332),""))</f>
        <v/>
      </c>
      <c r="D332" s="23" t="str">
        <f t="array" ref="D332">IF($H332="","",IFERROR(INDEX('Game Records'!$U:$U,$H332),""))</f>
        <v/>
      </c>
      <c r="E332" s="23" t="str">
        <f t="array" ref="E332">IF($H332="","",LET(r,$H332,mode,LOWER(INDEX('Game Records'!$D:$D,r)&amp;""),endDate,INDEX('Game Records'!$C:$C,r),IF(mode="estimate",IF(endDate="","Estimate — End Date missing",IF(NOT(ISNUMBER(endDate)),"Estimate — Check End Date",IF(INT(endDate)&gt;=TODAY(),"In Progress — ends "&amp;TEXT(endDate,"mmm d, yyyy"),"Ready to Finalize"))),IF($F332="","No Highlighted Fields","Highlighted Fields Present"))))</f>
        <v/>
      </c>
      <c r="F332" s="23" t="str">
        <f t="array" ref="F332">IF($H332="","",IF(OR(NOT(_xlfn.ISFORMULA(INDEX('Game Records'!$N:$N,$H332))),NOT(_xlfn.ISFORMULA(INDEX('Game Records'!$O:$O,$H332))),NOT(_xlfn.ISFORMULA(INDEX('Game Records'!$P:$P,$H332))),NOT(_xlfn.ISFORMULA(INDEX('Game Records'!$Q:$Q,$H332))),NOT(_xlfn.ISFORMULA(INDEX('Game Records'!$R:$R,$H332))),NOT(_xlfn.ISFORMULA(INDEX('Game Records'!$S:$S,$H332))),NOT(_xlfn.ISFORMULA(INDEX('Game Records'!$T:$T,$H332))),NOT(_xlfn.ISFORMULA(INDEX('Game Records'!$U:$U,$H332))),NOT(_xlfn.ISFORMULA(INDEX('Game Records'!$V:$V,$H332))),NOT(_xlfn.ISFORMULA(INDEX('Game Records'!$W:$W,$H332))),NOT(_xlfn.ISFORMULA(INDEX('Game Records'!$X:$X,$H332))),NOT(_xlfn.ISFORMULA(INDEX('Game Records'!$Y:$Y,$H332))),NOT(_xlfn.ISFORMULA(INDEX('Game Records'!$Z:$Z,$H332)))),"","")&amp;IF(INDEX('Game Records'!$B:$B,$H332)="","Start Date; ","")&amp;IF(INDEX('Game Records'!$C:$C,$H332)="","End Date; ","")&amp;IF(AND(INDEX('Game Records'!$U:$U,$H332)&lt;&gt;"Subscription",INDEX('Game Records'!$U:$U,$H332)&lt;&gt;"Free Game",INDEX('Game Records'!$U:$U,$H332)&lt;&gt;"Disqualified — Free Game",OR(INDEX('Game Records'!$D:$D,$H332)="",LOWER(INDEX('Game Records'!$D:$D,$H332)&amp;"")="n/a")),"Entry Mode; ","")&amp;IF(AND(INDEX('Game Records'!$U:$U,$H332)&lt;&gt;"Subscription",INDEX('Game Records'!$U:$U,$H332)&lt;&gt;"Free Game",INDEX('Game Records'!$U:$U,$H332)&lt;&gt;"Disqualified — Free Game",OR(INDEX('Game Records'!$E:$E,$H332)="",LOWER(INDEX('Game Records'!$E:$E,$H332)&amp;"")="n/a")),"Game Type; ","")&amp;IF(INDEX('Game Records'!$F:$F,$H332)="","Payment Type; ","")&amp;IF(AND(INDEX('Game Records'!$U:$U,$H332)&lt;&gt;"Subscription",INDEX('Game Records'!$U:$U,$H332)&lt;&gt;"Free Game",INDEX('Game Records'!$U:$U,$H332)&lt;&gt;"Disqualified — Free Game",INDEX('Game Records'!$G:$G,$H332)=""),"Gross Pot; ","")&amp;IF(AND(INDEX('Game Records'!$U:$U,$H332)&lt;&gt;"Free Game",INDEX('Game Records'!$U:$U,$H332)&lt;&gt;"Disqualified — Free Game",INDEX('Game Records'!$H:$H,$H332)=""),"Entry Fee; ","")&amp;IF(AND(INDEX('Game Records'!$U:$U,$H332)&lt;&gt;"Subscription",INDEX('Game Records'!$U:$U,$H332)&lt;&gt;"Free Game",INDEX('Game Records'!$U:$U,$H332)&lt;&gt;"Disqualified — Free Game",INDEX('Game Records'!$I:$I,$H332)=""),"Eligible Players; ","")&amp;IF(AND(INDEX('Game Records'!$U:$U,$H332)&lt;&gt;"Subscription",INDEX('Game Records'!$U:$U,$H332)&lt;&gt;"Free Game",INDEX('Game Records'!$U:$U,$H332)&lt;&gt;"Disqualified — Free Game",INDEX('Game Records'!$J:$J,$H332)=""),"Total Players; ","")&amp;IF(AND(LOWER(INDEX('Game Records'!$D:$D,$H332)&amp;"")="finalized",LOWER(INDEX('Game Records'!$L:$L,$H332)&amp;"")&lt;&gt;"yes",INDEX('Game Records'!$U:$U,$H332)&lt;&gt;"Subscription",INDEX('Game Records'!$U:$U,$H332)&lt;&gt;"Free Game",INDEX('Game Records'!$U:$U,$H332)&lt;&gt;"Disqualified — Free Game",INDEX('Game Records'!$K:$K,$H332)=""),"Final Payout; ","")&amp;IF(AND(LOWER(INDEX('Game Records'!$D:$D,$H332)&amp;"")="finalized",INDEX('Game Records'!$U:$U,$H332)&lt;&gt;"Subscription",INDEX('Game Records'!$U:$U,$H332)&lt;&gt;"Free Game",INDEX('Game Records'!$U:$U,$H332)&lt;&gt;"Disqualified — Free Game",OR(INDEX('Game Records'!$L:$L,$H332)="",LOWER(INDEX('Game Records'!$L:$L,$H332)&amp;"")="n/a")),"Disqualified Status; ",""))</f>
        <v/>
      </c>
      <c r="G332" s="23" t="str">
        <f t="array" ref="G332">IF($H332="","",IFERROR(INDEX('Game Records'!$M:$M,$H332),""))</f>
        <v/>
      </c>
      <c r="H332" s="3"/>
    </row>
    <row r="333" ht="24.0" customHeight="1">
      <c r="A333" s="18" t="str">
        <f t="shared" si="1"/>
        <v/>
      </c>
      <c r="B333" s="18" t="str">
        <f t="shared" si="2"/>
        <v/>
      </c>
      <c r="C333" s="23" t="str">
        <f t="array" ref="C333">IF($H333="","",IFERROR(INDEX('Game Records'!$A:$A,$H333),""))</f>
        <v/>
      </c>
      <c r="D333" s="23" t="str">
        <f t="array" ref="D333">IF($H333="","",IFERROR(INDEX('Game Records'!$U:$U,$H333),""))</f>
        <v/>
      </c>
      <c r="E333" s="23" t="str">
        <f t="array" ref="E333">IF($H333="","",LET(r,$H333,mode,LOWER(INDEX('Game Records'!$D:$D,r)&amp;""),endDate,INDEX('Game Records'!$C:$C,r),IF(mode="estimate",IF(endDate="","Estimate — End Date missing",IF(NOT(ISNUMBER(endDate)),"Estimate — Check End Date",IF(INT(endDate)&gt;=TODAY(),"In Progress — ends "&amp;TEXT(endDate,"mmm d, yyyy"),"Ready to Finalize"))),IF($F333="","No Highlighted Fields","Highlighted Fields Present"))))</f>
        <v/>
      </c>
      <c r="F333" s="23" t="str">
        <f t="array" ref="F333">IF($H333="","",IF(OR(NOT(_xlfn.ISFORMULA(INDEX('Game Records'!$N:$N,$H333))),NOT(_xlfn.ISFORMULA(INDEX('Game Records'!$O:$O,$H333))),NOT(_xlfn.ISFORMULA(INDEX('Game Records'!$P:$P,$H333))),NOT(_xlfn.ISFORMULA(INDEX('Game Records'!$Q:$Q,$H333))),NOT(_xlfn.ISFORMULA(INDEX('Game Records'!$R:$R,$H333))),NOT(_xlfn.ISFORMULA(INDEX('Game Records'!$S:$S,$H333))),NOT(_xlfn.ISFORMULA(INDEX('Game Records'!$T:$T,$H333))),NOT(_xlfn.ISFORMULA(INDEX('Game Records'!$U:$U,$H333))),NOT(_xlfn.ISFORMULA(INDEX('Game Records'!$V:$V,$H333))),NOT(_xlfn.ISFORMULA(INDEX('Game Records'!$W:$W,$H333))),NOT(_xlfn.ISFORMULA(INDEX('Game Records'!$X:$X,$H333))),NOT(_xlfn.ISFORMULA(INDEX('Game Records'!$Y:$Y,$H333))),NOT(_xlfn.ISFORMULA(INDEX('Game Records'!$Z:$Z,$H333)))),"","")&amp;IF(INDEX('Game Records'!$B:$B,$H333)="","Start Date; ","")&amp;IF(INDEX('Game Records'!$C:$C,$H333)="","End Date; ","")&amp;IF(AND(INDEX('Game Records'!$U:$U,$H333)&lt;&gt;"Subscription",INDEX('Game Records'!$U:$U,$H333)&lt;&gt;"Free Game",INDEX('Game Records'!$U:$U,$H333)&lt;&gt;"Disqualified — Free Game",OR(INDEX('Game Records'!$D:$D,$H333)="",LOWER(INDEX('Game Records'!$D:$D,$H333)&amp;"")="n/a")),"Entry Mode; ","")&amp;IF(AND(INDEX('Game Records'!$U:$U,$H333)&lt;&gt;"Subscription",INDEX('Game Records'!$U:$U,$H333)&lt;&gt;"Free Game",INDEX('Game Records'!$U:$U,$H333)&lt;&gt;"Disqualified — Free Game",OR(INDEX('Game Records'!$E:$E,$H333)="",LOWER(INDEX('Game Records'!$E:$E,$H333)&amp;"")="n/a")),"Game Type; ","")&amp;IF(INDEX('Game Records'!$F:$F,$H333)="","Payment Type; ","")&amp;IF(AND(INDEX('Game Records'!$U:$U,$H333)&lt;&gt;"Subscription",INDEX('Game Records'!$U:$U,$H333)&lt;&gt;"Free Game",INDEX('Game Records'!$U:$U,$H333)&lt;&gt;"Disqualified — Free Game",INDEX('Game Records'!$G:$G,$H333)=""),"Gross Pot; ","")&amp;IF(AND(INDEX('Game Records'!$U:$U,$H333)&lt;&gt;"Free Game",INDEX('Game Records'!$U:$U,$H333)&lt;&gt;"Disqualified — Free Game",INDEX('Game Records'!$H:$H,$H333)=""),"Entry Fee; ","")&amp;IF(AND(INDEX('Game Records'!$U:$U,$H333)&lt;&gt;"Subscription",INDEX('Game Records'!$U:$U,$H333)&lt;&gt;"Free Game",INDEX('Game Records'!$U:$U,$H333)&lt;&gt;"Disqualified — Free Game",INDEX('Game Records'!$I:$I,$H333)=""),"Eligible Players; ","")&amp;IF(AND(INDEX('Game Records'!$U:$U,$H333)&lt;&gt;"Subscription",INDEX('Game Records'!$U:$U,$H333)&lt;&gt;"Free Game",INDEX('Game Records'!$U:$U,$H333)&lt;&gt;"Disqualified — Free Game",INDEX('Game Records'!$J:$J,$H333)=""),"Total Players; ","")&amp;IF(AND(LOWER(INDEX('Game Records'!$D:$D,$H333)&amp;"")="finalized",LOWER(INDEX('Game Records'!$L:$L,$H333)&amp;"")&lt;&gt;"yes",INDEX('Game Records'!$U:$U,$H333)&lt;&gt;"Subscription",INDEX('Game Records'!$U:$U,$H333)&lt;&gt;"Free Game",INDEX('Game Records'!$U:$U,$H333)&lt;&gt;"Disqualified — Free Game",INDEX('Game Records'!$K:$K,$H333)=""),"Final Payout; ","")&amp;IF(AND(LOWER(INDEX('Game Records'!$D:$D,$H333)&amp;"")="finalized",INDEX('Game Records'!$U:$U,$H333)&lt;&gt;"Subscription",INDEX('Game Records'!$U:$U,$H333)&lt;&gt;"Free Game",INDEX('Game Records'!$U:$U,$H333)&lt;&gt;"Disqualified — Free Game",OR(INDEX('Game Records'!$L:$L,$H333)="",LOWER(INDEX('Game Records'!$L:$L,$H333)&amp;"")="n/a")),"Disqualified Status; ",""))</f>
        <v/>
      </c>
      <c r="G333" s="23" t="str">
        <f t="array" ref="G333">IF($H333="","",IFERROR(INDEX('Game Records'!$M:$M,$H333),""))</f>
        <v/>
      </c>
      <c r="H333" s="3"/>
    </row>
    <row r="334" ht="24.0" customHeight="1">
      <c r="A334" s="18" t="str">
        <f t="shared" si="1"/>
        <v/>
      </c>
      <c r="B334" s="18" t="str">
        <f t="shared" si="2"/>
        <v/>
      </c>
      <c r="C334" s="23" t="str">
        <f t="array" ref="C334">IF($H334="","",IFERROR(INDEX('Game Records'!$A:$A,$H334),""))</f>
        <v/>
      </c>
      <c r="D334" s="23" t="str">
        <f t="array" ref="D334">IF($H334="","",IFERROR(INDEX('Game Records'!$U:$U,$H334),""))</f>
        <v/>
      </c>
      <c r="E334" s="23" t="str">
        <f t="array" ref="E334">IF($H334="","",LET(r,$H334,mode,LOWER(INDEX('Game Records'!$D:$D,r)&amp;""),endDate,INDEX('Game Records'!$C:$C,r),IF(mode="estimate",IF(endDate="","Estimate — End Date missing",IF(NOT(ISNUMBER(endDate)),"Estimate — Check End Date",IF(INT(endDate)&gt;=TODAY(),"In Progress — ends "&amp;TEXT(endDate,"mmm d, yyyy"),"Ready to Finalize"))),IF($F334="","No Highlighted Fields","Highlighted Fields Present"))))</f>
        <v/>
      </c>
      <c r="F334" s="23" t="str">
        <f t="array" ref="F334">IF($H334="","",IF(OR(NOT(_xlfn.ISFORMULA(INDEX('Game Records'!$N:$N,$H334))),NOT(_xlfn.ISFORMULA(INDEX('Game Records'!$O:$O,$H334))),NOT(_xlfn.ISFORMULA(INDEX('Game Records'!$P:$P,$H334))),NOT(_xlfn.ISFORMULA(INDEX('Game Records'!$Q:$Q,$H334))),NOT(_xlfn.ISFORMULA(INDEX('Game Records'!$R:$R,$H334))),NOT(_xlfn.ISFORMULA(INDEX('Game Records'!$S:$S,$H334))),NOT(_xlfn.ISFORMULA(INDEX('Game Records'!$T:$T,$H334))),NOT(_xlfn.ISFORMULA(INDEX('Game Records'!$U:$U,$H334))),NOT(_xlfn.ISFORMULA(INDEX('Game Records'!$V:$V,$H334))),NOT(_xlfn.ISFORMULA(INDEX('Game Records'!$W:$W,$H334))),NOT(_xlfn.ISFORMULA(INDEX('Game Records'!$X:$X,$H334))),NOT(_xlfn.ISFORMULA(INDEX('Game Records'!$Y:$Y,$H334))),NOT(_xlfn.ISFORMULA(INDEX('Game Records'!$Z:$Z,$H334)))),"","")&amp;IF(INDEX('Game Records'!$B:$B,$H334)="","Start Date; ","")&amp;IF(INDEX('Game Records'!$C:$C,$H334)="","End Date; ","")&amp;IF(AND(INDEX('Game Records'!$U:$U,$H334)&lt;&gt;"Subscription",INDEX('Game Records'!$U:$U,$H334)&lt;&gt;"Free Game",INDEX('Game Records'!$U:$U,$H334)&lt;&gt;"Disqualified — Free Game",OR(INDEX('Game Records'!$D:$D,$H334)="",LOWER(INDEX('Game Records'!$D:$D,$H334)&amp;"")="n/a")),"Entry Mode; ","")&amp;IF(AND(INDEX('Game Records'!$U:$U,$H334)&lt;&gt;"Subscription",INDEX('Game Records'!$U:$U,$H334)&lt;&gt;"Free Game",INDEX('Game Records'!$U:$U,$H334)&lt;&gt;"Disqualified — Free Game",OR(INDEX('Game Records'!$E:$E,$H334)="",LOWER(INDEX('Game Records'!$E:$E,$H334)&amp;"")="n/a")),"Game Type; ","")&amp;IF(INDEX('Game Records'!$F:$F,$H334)="","Payment Type; ","")&amp;IF(AND(INDEX('Game Records'!$U:$U,$H334)&lt;&gt;"Subscription",INDEX('Game Records'!$U:$U,$H334)&lt;&gt;"Free Game",INDEX('Game Records'!$U:$U,$H334)&lt;&gt;"Disqualified — Free Game",INDEX('Game Records'!$G:$G,$H334)=""),"Gross Pot; ","")&amp;IF(AND(INDEX('Game Records'!$U:$U,$H334)&lt;&gt;"Free Game",INDEX('Game Records'!$U:$U,$H334)&lt;&gt;"Disqualified — Free Game",INDEX('Game Records'!$H:$H,$H334)=""),"Entry Fee; ","")&amp;IF(AND(INDEX('Game Records'!$U:$U,$H334)&lt;&gt;"Subscription",INDEX('Game Records'!$U:$U,$H334)&lt;&gt;"Free Game",INDEX('Game Records'!$U:$U,$H334)&lt;&gt;"Disqualified — Free Game",INDEX('Game Records'!$I:$I,$H334)=""),"Eligible Players; ","")&amp;IF(AND(INDEX('Game Records'!$U:$U,$H334)&lt;&gt;"Subscription",INDEX('Game Records'!$U:$U,$H334)&lt;&gt;"Free Game",INDEX('Game Records'!$U:$U,$H334)&lt;&gt;"Disqualified — Free Game",INDEX('Game Records'!$J:$J,$H334)=""),"Total Players; ","")&amp;IF(AND(LOWER(INDEX('Game Records'!$D:$D,$H334)&amp;"")="finalized",LOWER(INDEX('Game Records'!$L:$L,$H334)&amp;"")&lt;&gt;"yes",INDEX('Game Records'!$U:$U,$H334)&lt;&gt;"Subscription",INDEX('Game Records'!$U:$U,$H334)&lt;&gt;"Free Game",INDEX('Game Records'!$U:$U,$H334)&lt;&gt;"Disqualified — Free Game",INDEX('Game Records'!$K:$K,$H334)=""),"Final Payout; ","")&amp;IF(AND(LOWER(INDEX('Game Records'!$D:$D,$H334)&amp;"")="finalized",INDEX('Game Records'!$U:$U,$H334)&lt;&gt;"Subscription",INDEX('Game Records'!$U:$U,$H334)&lt;&gt;"Free Game",INDEX('Game Records'!$U:$U,$H334)&lt;&gt;"Disqualified — Free Game",OR(INDEX('Game Records'!$L:$L,$H334)="",LOWER(INDEX('Game Records'!$L:$L,$H334)&amp;"")="n/a")),"Disqualified Status; ",""))</f>
        <v/>
      </c>
      <c r="G334" s="23" t="str">
        <f t="array" ref="G334">IF($H334="","",IFERROR(INDEX('Game Records'!$M:$M,$H334),""))</f>
        <v/>
      </c>
      <c r="H334" s="3"/>
    </row>
    <row r="335" ht="24.0" customHeight="1">
      <c r="A335" s="18" t="str">
        <f t="shared" si="1"/>
        <v/>
      </c>
      <c r="B335" s="18" t="str">
        <f t="shared" si="2"/>
        <v/>
      </c>
      <c r="C335" s="23" t="str">
        <f t="array" ref="C335">IF($H335="","",IFERROR(INDEX('Game Records'!$A:$A,$H335),""))</f>
        <v/>
      </c>
      <c r="D335" s="23" t="str">
        <f t="array" ref="D335">IF($H335="","",IFERROR(INDEX('Game Records'!$U:$U,$H335),""))</f>
        <v/>
      </c>
      <c r="E335" s="23" t="str">
        <f t="array" ref="E335">IF($H335="","",LET(r,$H335,mode,LOWER(INDEX('Game Records'!$D:$D,r)&amp;""),endDate,INDEX('Game Records'!$C:$C,r),IF(mode="estimate",IF(endDate="","Estimate — End Date missing",IF(NOT(ISNUMBER(endDate)),"Estimate — Check End Date",IF(INT(endDate)&gt;=TODAY(),"In Progress — ends "&amp;TEXT(endDate,"mmm d, yyyy"),"Ready to Finalize"))),IF($F335="","No Highlighted Fields","Highlighted Fields Present"))))</f>
        <v/>
      </c>
      <c r="F335" s="23" t="str">
        <f t="array" ref="F335">IF($H335="","",IF(OR(NOT(_xlfn.ISFORMULA(INDEX('Game Records'!$N:$N,$H335))),NOT(_xlfn.ISFORMULA(INDEX('Game Records'!$O:$O,$H335))),NOT(_xlfn.ISFORMULA(INDEX('Game Records'!$P:$P,$H335))),NOT(_xlfn.ISFORMULA(INDEX('Game Records'!$Q:$Q,$H335))),NOT(_xlfn.ISFORMULA(INDEX('Game Records'!$R:$R,$H335))),NOT(_xlfn.ISFORMULA(INDEX('Game Records'!$S:$S,$H335))),NOT(_xlfn.ISFORMULA(INDEX('Game Records'!$T:$T,$H335))),NOT(_xlfn.ISFORMULA(INDEX('Game Records'!$U:$U,$H335))),NOT(_xlfn.ISFORMULA(INDEX('Game Records'!$V:$V,$H335))),NOT(_xlfn.ISFORMULA(INDEX('Game Records'!$W:$W,$H335))),NOT(_xlfn.ISFORMULA(INDEX('Game Records'!$X:$X,$H335))),NOT(_xlfn.ISFORMULA(INDEX('Game Records'!$Y:$Y,$H335))),NOT(_xlfn.ISFORMULA(INDEX('Game Records'!$Z:$Z,$H335)))),"","")&amp;IF(INDEX('Game Records'!$B:$B,$H335)="","Start Date; ","")&amp;IF(INDEX('Game Records'!$C:$C,$H335)="","End Date; ","")&amp;IF(AND(INDEX('Game Records'!$U:$U,$H335)&lt;&gt;"Subscription",INDEX('Game Records'!$U:$U,$H335)&lt;&gt;"Free Game",INDEX('Game Records'!$U:$U,$H335)&lt;&gt;"Disqualified — Free Game",OR(INDEX('Game Records'!$D:$D,$H335)="",LOWER(INDEX('Game Records'!$D:$D,$H335)&amp;"")="n/a")),"Entry Mode; ","")&amp;IF(AND(INDEX('Game Records'!$U:$U,$H335)&lt;&gt;"Subscription",INDEX('Game Records'!$U:$U,$H335)&lt;&gt;"Free Game",INDEX('Game Records'!$U:$U,$H335)&lt;&gt;"Disqualified — Free Game",OR(INDEX('Game Records'!$E:$E,$H335)="",LOWER(INDEX('Game Records'!$E:$E,$H335)&amp;"")="n/a")),"Game Type; ","")&amp;IF(INDEX('Game Records'!$F:$F,$H335)="","Payment Type; ","")&amp;IF(AND(INDEX('Game Records'!$U:$U,$H335)&lt;&gt;"Subscription",INDEX('Game Records'!$U:$U,$H335)&lt;&gt;"Free Game",INDEX('Game Records'!$U:$U,$H335)&lt;&gt;"Disqualified — Free Game",INDEX('Game Records'!$G:$G,$H335)=""),"Gross Pot; ","")&amp;IF(AND(INDEX('Game Records'!$U:$U,$H335)&lt;&gt;"Free Game",INDEX('Game Records'!$U:$U,$H335)&lt;&gt;"Disqualified — Free Game",INDEX('Game Records'!$H:$H,$H335)=""),"Entry Fee; ","")&amp;IF(AND(INDEX('Game Records'!$U:$U,$H335)&lt;&gt;"Subscription",INDEX('Game Records'!$U:$U,$H335)&lt;&gt;"Free Game",INDEX('Game Records'!$U:$U,$H335)&lt;&gt;"Disqualified — Free Game",INDEX('Game Records'!$I:$I,$H335)=""),"Eligible Players; ","")&amp;IF(AND(INDEX('Game Records'!$U:$U,$H335)&lt;&gt;"Subscription",INDEX('Game Records'!$U:$U,$H335)&lt;&gt;"Free Game",INDEX('Game Records'!$U:$U,$H335)&lt;&gt;"Disqualified — Free Game",INDEX('Game Records'!$J:$J,$H335)=""),"Total Players; ","")&amp;IF(AND(LOWER(INDEX('Game Records'!$D:$D,$H335)&amp;"")="finalized",LOWER(INDEX('Game Records'!$L:$L,$H335)&amp;"")&lt;&gt;"yes",INDEX('Game Records'!$U:$U,$H335)&lt;&gt;"Subscription",INDEX('Game Records'!$U:$U,$H335)&lt;&gt;"Free Game",INDEX('Game Records'!$U:$U,$H335)&lt;&gt;"Disqualified — Free Game",INDEX('Game Records'!$K:$K,$H335)=""),"Final Payout; ","")&amp;IF(AND(LOWER(INDEX('Game Records'!$D:$D,$H335)&amp;"")="finalized",INDEX('Game Records'!$U:$U,$H335)&lt;&gt;"Subscription",INDEX('Game Records'!$U:$U,$H335)&lt;&gt;"Free Game",INDEX('Game Records'!$U:$U,$H335)&lt;&gt;"Disqualified — Free Game",OR(INDEX('Game Records'!$L:$L,$H335)="",LOWER(INDEX('Game Records'!$L:$L,$H335)&amp;"")="n/a")),"Disqualified Status; ",""))</f>
        <v/>
      </c>
      <c r="G335" s="23" t="str">
        <f t="array" ref="G335">IF($H335="","",IFERROR(INDEX('Game Records'!$M:$M,$H335),""))</f>
        <v/>
      </c>
      <c r="H335" s="3"/>
    </row>
    <row r="336" ht="24.0" customHeight="1">
      <c r="A336" s="18" t="str">
        <f t="shared" si="1"/>
        <v/>
      </c>
      <c r="B336" s="18" t="str">
        <f t="shared" si="2"/>
        <v/>
      </c>
      <c r="C336" s="23" t="str">
        <f t="array" ref="C336">IF($H336="","",IFERROR(INDEX('Game Records'!$A:$A,$H336),""))</f>
        <v/>
      </c>
      <c r="D336" s="23" t="str">
        <f t="array" ref="D336">IF($H336="","",IFERROR(INDEX('Game Records'!$U:$U,$H336),""))</f>
        <v/>
      </c>
      <c r="E336" s="23" t="str">
        <f t="array" ref="E336">IF($H336="","",LET(r,$H336,mode,LOWER(INDEX('Game Records'!$D:$D,r)&amp;""),endDate,INDEX('Game Records'!$C:$C,r),IF(mode="estimate",IF(endDate="","Estimate — End Date missing",IF(NOT(ISNUMBER(endDate)),"Estimate — Check End Date",IF(INT(endDate)&gt;=TODAY(),"In Progress — ends "&amp;TEXT(endDate,"mmm d, yyyy"),"Ready to Finalize"))),IF($F336="","No Highlighted Fields","Highlighted Fields Present"))))</f>
        <v/>
      </c>
      <c r="F336" s="23" t="str">
        <f t="array" ref="F336">IF($H336="","",IF(OR(NOT(_xlfn.ISFORMULA(INDEX('Game Records'!$N:$N,$H336))),NOT(_xlfn.ISFORMULA(INDEX('Game Records'!$O:$O,$H336))),NOT(_xlfn.ISFORMULA(INDEX('Game Records'!$P:$P,$H336))),NOT(_xlfn.ISFORMULA(INDEX('Game Records'!$Q:$Q,$H336))),NOT(_xlfn.ISFORMULA(INDEX('Game Records'!$R:$R,$H336))),NOT(_xlfn.ISFORMULA(INDEX('Game Records'!$S:$S,$H336))),NOT(_xlfn.ISFORMULA(INDEX('Game Records'!$T:$T,$H336))),NOT(_xlfn.ISFORMULA(INDEX('Game Records'!$U:$U,$H336))),NOT(_xlfn.ISFORMULA(INDEX('Game Records'!$V:$V,$H336))),NOT(_xlfn.ISFORMULA(INDEX('Game Records'!$W:$W,$H336))),NOT(_xlfn.ISFORMULA(INDEX('Game Records'!$X:$X,$H336))),NOT(_xlfn.ISFORMULA(INDEX('Game Records'!$Y:$Y,$H336))),NOT(_xlfn.ISFORMULA(INDEX('Game Records'!$Z:$Z,$H336)))),"","")&amp;IF(INDEX('Game Records'!$B:$B,$H336)="","Start Date; ","")&amp;IF(INDEX('Game Records'!$C:$C,$H336)="","End Date; ","")&amp;IF(AND(INDEX('Game Records'!$U:$U,$H336)&lt;&gt;"Subscription",INDEX('Game Records'!$U:$U,$H336)&lt;&gt;"Free Game",INDEX('Game Records'!$U:$U,$H336)&lt;&gt;"Disqualified — Free Game",OR(INDEX('Game Records'!$D:$D,$H336)="",LOWER(INDEX('Game Records'!$D:$D,$H336)&amp;"")="n/a")),"Entry Mode; ","")&amp;IF(AND(INDEX('Game Records'!$U:$U,$H336)&lt;&gt;"Subscription",INDEX('Game Records'!$U:$U,$H336)&lt;&gt;"Free Game",INDEX('Game Records'!$U:$U,$H336)&lt;&gt;"Disqualified — Free Game",OR(INDEX('Game Records'!$E:$E,$H336)="",LOWER(INDEX('Game Records'!$E:$E,$H336)&amp;"")="n/a")),"Game Type; ","")&amp;IF(INDEX('Game Records'!$F:$F,$H336)="","Payment Type; ","")&amp;IF(AND(INDEX('Game Records'!$U:$U,$H336)&lt;&gt;"Subscription",INDEX('Game Records'!$U:$U,$H336)&lt;&gt;"Free Game",INDEX('Game Records'!$U:$U,$H336)&lt;&gt;"Disqualified — Free Game",INDEX('Game Records'!$G:$G,$H336)=""),"Gross Pot; ","")&amp;IF(AND(INDEX('Game Records'!$U:$U,$H336)&lt;&gt;"Free Game",INDEX('Game Records'!$U:$U,$H336)&lt;&gt;"Disqualified — Free Game",INDEX('Game Records'!$H:$H,$H336)=""),"Entry Fee; ","")&amp;IF(AND(INDEX('Game Records'!$U:$U,$H336)&lt;&gt;"Subscription",INDEX('Game Records'!$U:$U,$H336)&lt;&gt;"Free Game",INDEX('Game Records'!$U:$U,$H336)&lt;&gt;"Disqualified — Free Game",INDEX('Game Records'!$I:$I,$H336)=""),"Eligible Players; ","")&amp;IF(AND(INDEX('Game Records'!$U:$U,$H336)&lt;&gt;"Subscription",INDEX('Game Records'!$U:$U,$H336)&lt;&gt;"Free Game",INDEX('Game Records'!$U:$U,$H336)&lt;&gt;"Disqualified — Free Game",INDEX('Game Records'!$J:$J,$H336)=""),"Total Players; ","")&amp;IF(AND(LOWER(INDEX('Game Records'!$D:$D,$H336)&amp;"")="finalized",LOWER(INDEX('Game Records'!$L:$L,$H336)&amp;"")&lt;&gt;"yes",INDEX('Game Records'!$U:$U,$H336)&lt;&gt;"Subscription",INDEX('Game Records'!$U:$U,$H336)&lt;&gt;"Free Game",INDEX('Game Records'!$U:$U,$H336)&lt;&gt;"Disqualified — Free Game",INDEX('Game Records'!$K:$K,$H336)=""),"Final Payout; ","")&amp;IF(AND(LOWER(INDEX('Game Records'!$D:$D,$H336)&amp;"")="finalized",INDEX('Game Records'!$U:$U,$H336)&lt;&gt;"Subscription",INDEX('Game Records'!$U:$U,$H336)&lt;&gt;"Free Game",INDEX('Game Records'!$U:$U,$H336)&lt;&gt;"Disqualified — Free Game",OR(INDEX('Game Records'!$L:$L,$H336)="",LOWER(INDEX('Game Records'!$L:$L,$H336)&amp;"")="n/a")),"Disqualified Status; ",""))</f>
        <v/>
      </c>
      <c r="G336" s="23" t="str">
        <f t="array" ref="G336">IF($H336="","",IFERROR(INDEX('Game Records'!$M:$M,$H336),""))</f>
        <v/>
      </c>
      <c r="H336" s="3"/>
    </row>
    <row r="337" ht="24.0" customHeight="1">
      <c r="A337" s="18" t="str">
        <f t="shared" si="1"/>
        <v/>
      </c>
      <c r="B337" s="18" t="str">
        <f t="shared" si="2"/>
        <v/>
      </c>
      <c r="C337" s="23" t="str">
        <f t="array" ref="C337">IF($H337="","",IFERROR(INDEX('Game Records'!$A:$A,$H337),""))</f>
        <v/>
      </c>
      <c r="D337" s="23" t="str">
        <f t="array" ref="D337">IF($H337="","",IFERROR(INDEX('Game Records'!$U:$U,$H337),""))</f>
        <v/>
      </c>
      <c r="E337" s="23" t="str">
        <f t="array" ref="E337">IF($H337="","",LET(r,$H337,mode,LOWER(INDEX('Game Records'!$D:$D,r)&amp;""),endDate,INDEX('Game Records'!$C:$C,r),IF(mode="estimate",IF(endDate="","Estimate — End Date missing",IF(NOT(ISNUMBER(endDate)),"Estimate — Check End Date",IF(INT(endDate)&gt;=TODAY(),"In Progress — ends "&amp;TEXT(endDate,"mmm d, yyyy"),"Ready to Finalize"))),IF($F337="","No Highlighted Fields","Highlighted Fields Present"))))</f>
        <v/>
      </c>
      <c r="F337" s="23" t="str">
        <f t="array" ref="F337">IF($H337="","",IF(OR(NOT(_xlfn.ISFORMULA(INDEX('Game Records'!$N:$N,$H337))),NOT(_xlfn.ISFORMULA(INDEX('Game Records'!$O:$O,$H337))),NOT(_xlfn.ISFORMULA(INDEX('Game Records'!$P:$P,$H337))),NOT(_xlfn.ISFORMULA(INDEX('Game Records'!$Q:$Q,$H337))),NOT(_xlfn.ISFORMULA(INDEX('Game Records'!$R:$R,$H337))),NOT(_xlfn.ISFORMULA(INDEX('Game Records'!$S:$S,$H337))),NOT(_xlfn.ISFORMULA(INDEX('Game Records'!$T:$T,$H337))),NOT(_xlfn.ISFORMULA(INDEX('Game Records'!$U:$U,$H337))),NOT(_xlfn.ISFORMULA(INDEX('Game Records'!$V:$V,$H337))),NOT(_xlfn.ISFORMULA(INDEX('Game Records'!$W:$W,$H337))),NOT(_xlfn.ISFORMULA(INDEX('Game Records'!$X:$X,$H337))),NOT(_xlfn.ISFORMULA(INDEX('Game Records'!$Y:$Y,$H337))),NOT(_xlfn.ISFORMULA(INDEX('Game Records'!$Z:$Z,$H337)))),"","")&amp;IF(INDEX('Game Records'!$B:$B,$H337)="","Start Date; ","")&amp;IF(INDEX('Game Records'!$C:$C,$H337)="","End Date; ","")&amp;IF(AND(INDEX('Game Records'!$U:$U,$H337)&lt;&gt;"Subscription",INDEX('Game Records'!$U:$U,$H337)&lt;&gt;"Free Game",INDEX('Game Records'!$U:$U,$H337)&lt;&gt;"Disqualified — Free Game",OR(INDEX('Game Records'!$D:$D,$H337)="",LOWER(INDEX('Game Records'!$D:$D,$H337)&amp;"")="n/a")),"Entry Mode; ","")&amp;IF(AND(INDEX('Game Records'!$U:$U,$H337)&lt;&gt;"Subscription",INDEX('Game Records'!$U:$U,$H337)&lt;&gt;"Free Game",INDEX('Game Records'!$U:$U,$H337)&lt;&gt;"Disqualified — Free Game",OR(INDEX('Game Records'!$E:$E,$H337)="",LOWER(INDEX('Game Records'!$E:$E,$H337)&amp;"")="n/a")),"Game Type; ","")&amp;IF(INDEX('Game Records'!$F:$F,$H337)="","Payment Type; ","")&amp;IF(AND(INDEX('Game Records'!$U:$U,$H337)&lt;&gt;"Subscription",INDEX('Game Records'!$U:$U,$H337)&lt;&gt;"Free Game",INDEX('Game Records'!$U:$U,$H337)&lt;&gt;"Disqualified — Free Game",INDEX('Game Records'!$G:$G,$H337)=""),"Gross Pot; ","")&amp;IF(AND(INDEX('Game Records'!$U:$U,$H337)&lt;&gt;"Free Game",INDEX('Game Records'!$U:$U,$H337)&lt;&gt;"Disqualified — Free Game",INDEX('Game Records'!$H:$H,$H337)=""),"Entry Fee; ","")&amp;IF(AND(INDEX('Game Records'!$U:$U,$H337)&lt;&gt;"Subscription",INDEX('Game Records'!$U:$U,$H337)&lt;&gt;"Free Game",INDEX('Game Records'!$U:$U,$H337)&lt;&gt;"Disqualified — Free Game",INDEX('Game Records'!$I:$I,$H337)=""),"Eligible Players; ","")&amp;IF(AND(INDEX('Game Records'!$U:$U,$H337)&lt;&gt;"Subscription",INDEX('Game Records'!$U:$U,$H337)&lt;&gt;"Free Game",INDEX('Game Records'!$U:$U,$H337)&lt;&gt;"Disqualified — Free Game",INDEX('Game Records'!$J:$J,$H337)=""),"Total Players; ","")&amp;IF(AND(LOWER(INDEX('Game Records'!$D:$D,$H337)&amp;"")="finalized",LOWER(INDEX('Game Records'!$L:$L,$H337)&amp;"")&lt;&gt;"yes",INDEX('Game Records'!$U:$U,$H337)&lt;&gt;"Subscription",INDEX('Game Records'!$U:$U,$H337)&lt;&gt;"Free Game",INDEX('Game Records'!$U:$U,$H337)&lt;&gt;"Disqualified — Free Game",INDEX('Game Records'!$K:$K,$H337)=""),"Final Payout; ","")&amp;IF(AND(LOWER(INDEX('Game Records'!$D:$D,$H337)&amp;"")="finalized",INDEX('Game Records'!$U:$U,$H337)&lt;&gt;"Subscription",INDEX('Game Records'!$U:$U,$H337)&lt;&gt;"Free Game",INDEX('Game Records'!$U:$U,$H337)&lt;&gt;"Disqualified — Free Game",OR(INDEX('Game Records'!$L:$L,$H337)="",LOWER(INDEX('Game Records'!$L:$L,$H337)&amp;"")="n/a")),"Disqualified Status; ",""))</f>
        <v/>
      </c>
      <c r="G337" s="23" t="str">
        <f t="array" ref="G337">IF($H337="","",IFERROR(INDEX('Game Records'!$M:$M,$H337),""))</f>
        <v/>
      </c>
      <c r="H337" s="3"/>
    </row>
    <row r="338" ht="24.0" customHeight="1">
      <c r="A338" s="18" t="str">
        <f t="shared" si="1"/>
        <v/>
      </c>
      <c r="B338" s="18" t="str">
        <f t="shared" si="2"/>
        <v/>
      </c>
      <c r="C338" s="23" t="str">
        <f t="array" ref="C338">IF($H338="","",IFERROR(INDEX('Game Records'!$A:$A,$H338),""))</f>
        <v/>
      </c>
      <c r="D338" s="23" t="str">
        <f t="array" ref="D338">IF($H338="","",IFERROR(INDEX('Game Records'!$U:$U,$H338),""))</f>
        <v/>
      </c>
      <c r="E338" s="23" t="str">
        <f t="array" ref="E338">IF($H338="","",LET(r,$H338,mode,LOWER(INDEX('Game Records'!$D:$D,r)&amp;""),endDate,INDEX('Game Records'!$C:$C,r),IF(mode="estimate",IF(endDate="","Estimate — End Date missing",IF(NOT(ISNUMBER(endDate)),"Estimate — Check End Date",IF(INT(endDate)&gt;=TODAY(),"In Progress — ends "&amp;TEXT(endDate,"mmm d, yyyy"),"Ready to Finalize"))),IF($F338="","No Highlighted Fields","Highlighted Fields Present"))))</f>
        <v/>
      </c>
      <c r="F338" s="23" t="str">
        <f t="array" ref="F338">IF($H338="","",IF(OR(NOT(_xlfn.ISFORMULA(INDEX('Game Records'!$N:$N,$H338))),NOT(_xlfn.ISFORMULA(INDEX('Game Records'!$O:$O,$H338))),NOT(_xlfn.ISFORMULA(INDEX('Game Records'!$P:$P,$H338))),NOT(_xlfn.ISFORMULA(INDEX('Game Records'!$Q:$Q,$H338))),NOT(_xlfn.ISFORMULA(INDEX('Game Records'!$R:$R,$H338))),NOT(_xlfn.ISFORMULA(INDEX('Game Records'!$S:$S,$H338))),NOT(_xlfn.ISFORMULA(INDEX('Game Records'!$T:$T,$H338))),NOT(_xlfn.ISFORMULA(INDEX('Game Records'!$U:$U,$H338))),NOT(_xlfn.ISFORMULA(INDEX('Game Records'!$V:$V,$H338))),NOT(_xlfn.ISFORMULA(INDEX('Game Records'!$W:$W,$H338))),NOT(_xlfn.ISFORMULA(INDEX('Game Records'!$X:$X,$H338))),NOT(_xlfn.ISFORMULA(INDEX('Game Records'!$Y:$Y,$H338))),NOT(_xlfn.ISFORMULA(INDEX('Game Records'!$Z:$Z,$H338)))),"","")&amp;IF(INDEX('Game Records'!$B:$B,$H338)="","Start Date; ","")&amp;IF(INDEX('Game Records'!$C:$C,$H338)="","End Date; ","")&amp;IF(AND(INDEX('Game Records'!$U:$U,$H338)&lt;&gt;"Subscription",INDEX('Game Records'!$U:$U,$H338)&lt;&gt;"Free Game",INDEX('Game Records'!$U:$U,$H338)&lt;&gt;"Disqualified — Free Game",OR(INDEX('Game Records'!$D:$D,$H338)="",LOWER(INDEX('Game Records'!$D:$D,$H338)&amp;"")="n/a")),"Entry Mode; ","")&amp;IF(AND(INDEX('Game Records'!$U:$U,$H338)&lt;&gt;"Subscription",INDEX('Game Records'!$U:$U,$H338)&lt;&gt;"Free Game",INDEX('Game Records'!$U:$U,$H338)&lt;&gt;"Disqualified — Free Game",OR(INDEX('Game Records'!$E:$E,$H338)="",LOWER(INDEX('Game Records'!$E:$E,$H338)&amp;"")="n/a")),"Game Type; ","")&amp;IF(INDEX('Game Records'!$F:$F,$H338)="","Payment Type; ","")&amp;IF(AND(INDEX('Game Records'!$U:$U,$H338)&lt;&gt;"Subscription",INDEX('Game Records'!$U:$U,$H338)&lt;&gt;"Free Game",INDEX('Game Records'!$U:$U,$H338)&lt;&gt;"Disqualified — Free Game",INDEX('Game Records'!$G:$G,$H338)=""),"Gross Pot; ","")&amp;IF(AND(INDEX('Game Records'!$U:$U,$H338)&lt;&gt;"Free Game",INDEX('Game Records'!$U:$U,$H338)&lt;&gt;"Disqualified — Free Game",INDEX('Game Records'!$H:$H,$H338)=""),"Entry Fee; ","")&amp;IF(AND(INDEX('Game Records'!$U:$U,$H338)&lt;&gt;"Subscription",INDEX('Game Records'!$U:$U,$H338)&lt;&gt;"Free Game",INDEX('Game Records'!$U:$U,$H338)&lt;&gt;"Disqualified — Free Game",INDEX('Game Records'!$I:$I,$H338)=""),"Eligible Players; ","")&amp;IF(AND(INDEX('Game Records'!$U:$U,$H338)&lt;&gt;"Subscription",INDEX('Game Records'!$U:$U,$H338)&lt;&gt;"Free Game",INDEX('Game Records'!$U:$U,$H338)&lt;&gt;"Disqualified — Free Game",INDEX('Game Records'!$J:$J,$H338)=""),"Total Players; ","")&amp;IF(AND(LOWER(INDEX('Game Records'!$D:$D,$H338)&amp;"")="finalized",LOWER(INDEX('Game Records'!$L:$L,$H338)&amp;"")&lt;&gt;"yes",INDEX('Game Records'!$U:$U,$H338)&lt;&gt;"Subscription",INDEX('Game Records'!$U:$U,$H338)&lt;&gt;"Free Game",INDEX('Game Records'!$U:$U,$H338)&lt;&gt;"Disqualified — Free Game",INDEX('Game Records'!$K:$K,$H338)=""),"Final Payout; ","")&amp;IF(AND(LOWER(INDEX('Game Records'!$D:$D,$H338)&amp;"")="finalized",INDEX('Game Records'!$U:$U,$H338)&lt;&gt;"Subscription",INDEX('Game Records'!$U:$U,$H338)&lt;&gt;"Free Game",INDEX('Game Records'!$U:$U,$H338)&lt;&gt;"Disqualified — Free Game",OR(INDEX('Game Records'!$L:$L,$H338)="",LOWER(INDEX('Game Records'!$L:$L,$H338)&amp;"")="n/a")),"Disqualified Status; ",""))</f>
        <v/>
      </c>
      <c r="G338" s="23" t="str">
        <f t="array" ref="G338">IF($H338="","",IFERROR(INDEX('Game Records'!$M:$M,$H338),""))</f>
        <v/>
      </c>
      <c r="H338" s="3"/>
    </row>
    <row r="339" ht="24.0" customHeight="1">
      <c r="A339" s="18" t="str">
        <f t="shared" si="1"/>
        <v/>
      </c>
      <c r="B339" s="18" t="str">
        <f t="shared" si="2"/>
        <v/>
      </c>
      <c r="C339" s="23" t="str">
        <f t="array" ref="C339">IF($H339="","",IFERROR(INDEX('Game Records'!$A:$A,$H339),""))</f>
        <v/>
      </c>
      <c r="D339" s="23" t="str">
        <f t="array" ref="D339">IF($H339="","",IFERROR(INDEX('Game Records'!$U:$U,$H339),""))</f>
        <v/>
      </c>
      <c r="E339" s="23" t="str">
        <f t="array" ref="E339">IF($H339="","",LET(r,$H339,mode,LOWER(INDEX('Game Records'!$D:$D,r)&amp;""),endDate,INDEX('Game Records'!$C:$C,r),IF(mode="estimate",IF(endDate="","Estimate — End Date missing",IF(NOT(ISNUMBER(endDate)),"Estimate — Check End Date",IF(INT(endDate)&gt;=TODAY(),"In Progress — ends "&amp;TEXT(endDate,"mmm d, yyyy"),"Ready to Finalize"))),IF($F339="","No Highlighted Fields","Highlighted Fields Present"))))</f>
        <v/>
      </c>
      <c r="F339" s="23" t="str">
        <f t="array" ref="F339">IF($H339="","",IF(OR(NOT(_xlfn.ISFORMULA(INDEX('Game Records'!$N:$N,$H339))),NOT(_xlfn.ISFORMULA(INDEX('Game Records'!$O:$O,$H339))),NOT(_xlfn.ISFORMULA(INDEX('Game Records'!$P:$P,$H339))),NOT(_xlfn.ISFORMULA(INDEX('Game Records'!$Q:$Q,$H339))),NOT(_xlfn.ISFORMULA(INDEX('Game Records'!$R:$R,$H339))),NOT(_xlfn.ISFORMULA(INDEX('Game Records'!$S:$S,$H339))),NOT(_xlfn.ISFORMULA(INDEX('Game Records'!$T:$T,$H339))),NOT(_xlfn.ISFORMULA(INDEX('Game Records'!$U:$U,$H339))),NOT(_xlfn.ISFORMULA(INDEX('Game Records'!$V:$V,$H339))),NOT(_xlfn.ISFORMULA(INDEX('Game Records'!$W:$W,$H339))),NOT(_xlfn.ISFORMULA(INDEX('Game Records'!$X:$X,$H339))),NOT(_xlfn.ISFORMULA(INDEX('Game Records'!$Y:$Y,$H339))),NOT(_xlfn.ISFORMULA(INDEX('Game Records'!$Z:$Z,$H339)))),"","")&amp;IF(INDEX('Game Records'!$B:$B,$H339)="","Start Date; ","")&amp;IF(INDEX('Game Records'!$C:$C,$H339)="","End Date; ","")&amp;IF(AND(INDEX('Game Records'!$U:$U,$H339)&lt;&gt;"Subscription",INDEX('Game Records'!$U:$U,$H339)&lt;&gt;"Free Game",INDEX('Game Records'!$U:$U,$H339)&lt;&gt;"Disqualified — Free Game",OR(INDEX('Game Records'!$D:$D,$H339)="",LOWER(INDEX('Game Records'!$D:$D,$H339)&amp;"")="n/a")),"Entry Mode; ","")&amp;IF(AND(INDEX('Game Records'!$U:$U,$H339)&lt;&gt;"Subscription",INDEX('Game Records'!$U:$U,$H339)&lt;&gt;"Free Game",INDEX('Game Records'!$U:$U,$H339)&lt;&gt;"Disqualified — Free Game",OR(INDEX('Game Records'!$E:$E,$H339)="",LOWER(INDEX('Game Records'!$E:$E,$H339)&amp;"")="n/a")),"Game Type; ","")&amp;IF(INDEX('Game Records'!$F:$F,$H339)="","Payment Type; ","")&amp;IF(AND(INDEX('Game Records'!$U:$U,$H339)&lt;&gt;"Subscription",INDEX('Game Records'!$U:$U,$H339)&lt;&gt;"Free Game",INDEX('Game Records'!$U:$U,$H339)&lt;&gt;"Disqualified — Free Game",INDEX('Game Records'!$G:$G,$H339)=""),"Gross Pot; ","")&amp;IF(AND(INDEX('Game Records'!$U:$U,$H339)&lt;&gt;"Free Game",INDEX('Game Records'!$U:$U,$H339)&lt;&gt;"Disqualified — Free Game",INDEX('Game Records'!$H:$H,$H339)=""),"Entry Fee; ","")&amp;IF(AND(INDEX('Game Records'!$U:$U,$H339)&lt;&gt;"Subscription",INDEX('Game Records'!$U:$U,$H339)&lt;&gt;"Free Game",INDEX('Game Records'!$U:$U,$H339)&lt;&gt;"Disqualified — Free Game",INDEX('Game Records'!$I:$I,$H339)=""),"Eligible Players; ","")&amp;IF(AND(INDEX('Game Records'!$U:$U,$H339)&lt;&gt;"Subscription",INDEX('Game Records'!$U:$U,$H339)&lt;&gt;"Free Game",INDEX('Game Records'!$U:$U,$H339)&lt;&gt;"Disqualified — Free Game",INDEX('Game Records'!$J:$J,$H339)=""),"Total Players; ","")&amp;IF(AND(LOWER(INDEX('Game Records'!$D:$D,$H339)&amp;"")="finalized",LOWER(INDEX('Game Records'!$L:$L,$H339)&amp;"")&lt;&gt;"yes",INDEX('Game Records'!$U:$U,$H339)&lt;&gt;"Subscription",INDEX('Game Records'!$U:$U,$H339)&lt;&gt;"Free Game",INDEX('Game Records'!$U:$U,$H339)&lt;&gt;"Disqualified — Free Game",INDEX('Game Records'!$K:$K,$H339)=""),"Final Payout; ","")&amp;IF(AND(LOWER(INDEX('Game Records'!$D:$D,$H339)&amp;"")="finalized",INDEX('Game Records'!$U:$U,$H339)&lt;&gt;"Subscription",INDEX('Game Records'!$U:$U,$H339)&lt;&gt;"Free Game",INDEX('Game Records'!$U:$U,$H339)&lt;&gt;"Disqualified — Free Game",OR(INDEX('Game Records'!$L:$L,$H339)="",LOWER(INDEX('Game Records'!$L:$L,$H339)&amp;"")="n/a")),"Disqualified Status; ",""))</f>
        <v/>
      </c>
      <c r="G339" s="23" t="str">
        <f t="array" ref="G339">IF($H339="","",IFERROR(INDEX('Game Records'!$M:$M,$H339),""))</f>
        <v/>
      </c>
      <c r="H339" s="3"/>
    </row>
    <row r="340" ht="24.0" customHeight="1">
      <c r="A340" s="18" t="str">
        <f t="shared" si="1"/>
        <v/>
      </c>
      <c r="B340" s="18" t="str">
        <f t="shared" si="2"/>
        <v/>
      </c>
      <c r="C340" s="23" t="str">
        <f t="array" ref="C340">IF($H340="","",IFERROR(INDEX('Game Records'!$A:$A,$H340),""))</f>
        <v/>
      </c>
      <c r="D340" s="23" t="str">
        <f t="array" ref="D340">IF($H340="","",IFERROR(INDEX('Game Records'!$U:$U,$H340),""))</f>
        <v/>
      </c>
      <c r="E340" s="23" t="str">
        <f t="array" ref="E340">IF($H340="","",LET(r,$H340,mode,LOWER(INDEX('Game Records'!$D:$D,r)&amp;""),endDate,INDEX('Game Records'!$C:$C,r),IF(mode="estimate",IF(endDate="","Estimate — End Date missing",IF(NOT(ISNUMBER(endDate)),"Estimate — Check End Date",IF(INT(endDate)&gt;=TODAY(),"In Progress — ends "&amp;TEXT(endDate,"mmm d, yyyy"),"Ready to Finalize"))),IF($F340="","No Highlighted Fields","Highlighted Fields Present"))))</f>
        <v/>
      </c>
      <c r="F340" s="23" t="str">
        <f t="array" ref="F340">IF($H340="","",IF(OR(NOT(_xlfn.ISFORMULA(INDEX('Game Records'!$N:$N,$H340))),NOT(_xlfn.ISFORMULA(INDEX('Game Records'!$O:$O,$H340))),NOT(_xlfn.ISFORMULA(INDEX('Game Records'!$P:$P,$H340))),NOT(_xlfn.ISFORMULA(INDEX('Game Records'!$Q:$Q,$H340))),NOT(_xlfn.ISFORMULA(INDEX('Game Records'!$R:$R,$H340))),NOT(_xlfn.ISFORMULA(INDEX('Game Records'!$S:$S,$H340))),NOT(_xlfn.ISFORMULA(INDEX('Game Records'!$T:$T,$H340))),NOT(_xlfn.ISFORMULA(INDEX('Game Records'!$U:$U,$H340))),NOT(_xlfn.ISFORMULA(INDEX('Game Records'!$V:$V,$H340))),NOT(_xlfn.ISFORMULA(INDEX('Game Records'!$W:$W,$H340))),NOT(_xlfn.ISFORMULA(INDEX('Game Records'!$X:$X,$H340))),NOT(_xlfn.ISFORMULA(INDEX('Game Records'!$Y:$Y,$H340))),NOT(_xlfn.ISFORMULA(INDEX('Game Records'!$Z:$Z,$H340)))),"","")&amp;IF(INDEX('Game Records'!$B:$B,$H340)="","Start Date; ","")&amp;IF(INDEX('Game Records'!$C:$C,$H340)="","End Date; ","")&amp;IF(AND(INDEX('Game Records'!$U:$U,$H340)&lt;&gt;"Subscription",INDEX('Game Records'!$U:$U,$H340)&lt;&gt;"Free Game",INDEX('Game Records'!$U:$U,$H340)&lt;&gt;"Disqualified — Free Game",OR(INDEX('Game Records'!$D:$D,$H340)="",LOWER(INDEX('Game Records'!$D:$D,$H340)&amp;"")="n/a")),"Entry Mode; ","")&amp;IF(AND(INDEX('Game Records'!$U:$U,$H340)&lt;&gt;"Subscription",INDEX('Game Records'!$U:$U,$H340)&lt;&gt;"Free Game",INDEX('Game Records'!$U:$U,$H340)&lt;&gt;"Disqualified — Free Game",OR(INDEX('Game Records'!$E:$E,$H340)="",LOWER(INDEX('Game Records'!$E:$E,$H340)&amp;"")="n/a")),"Game Type; ","")&amp;IF(INDEX('Game Records'!$F:$F,$H340)="","Payment Type; ","")&amp;IF(AND(INDEX('Game Records'!$U:$U,$H340)&lt;&gt;"Subscription",INDEX('Game Records'!$U:$U,$H340)&lt;&gt;"Free Game",INDEX('Game Records'!$U:$U,$H340)&lt;&gt;"Disqualified — Free Game",INDEX('Game Records'!$G:$G,$H340)=""),"Gross Pot; ","")&amp;IF(AND(INDEX('Game Records'!$U:$U,$H340)&lt;&gt;"Free Game",INDEX('Game Records'!$U:$U,$H340)&lt;&gt;"Disqualified — Free Game",INDEX('Game Records'!$H:$H,$H340)=""),"Entry Fee; ","")&amp;IF(AND(INDEX('Game Records'!$U:$U,$H340)&lt;&gt;"Subscription",INDEX('Game Records'!$U:$U,$H340)&lt;&gt;"Free Game",INDEX('Game Records'!$U:$U,$H340)&lt;&gt;"Disqualified — Free Game",INDEX('Game Records'!$I:$I,$H340)=""),"Eligible Players; ","")&amp;IF(AND(INDEX('Game Records'!$U:$U,$H340)&lt;&gt;"Subscription",INDEX('Game Records'!$U:$U,$H340)&lt;&gt;"Free Game",INDEX('Game Records'!$U:$U,$H340)&lt;&gt;"Disqualified — Free Game",INDEX('Game Records'!$J:$J,$H340)=""),"Total Players; ","")&amp;IF(AND(LOWER(INDEX('Game Records'!$D:$D,$H340)&amp;"")="finalized",LOWER(INDEX('Game Records'!$L:$L,$H340)&amp;"")&lt;&gt;"yes",INDEX('Game Records'!$U:$U,$H340)&lt;&gt;"Subscription",INDEX('Game Records'!$U:$U,$H340)&lt;&gt;"Free Game",INDEX('Game Records'!$U:$U,$H340)&lt;&gt;"Disqualified — Free Game",INDEX('Game Records'!$K:$K,$H340)=""),"Final Payout; ","")&amp;IF(AND(LOWER(INDEX('Game Records'!$D:$D,$H340)&amp;"")="finalized",INDEX('Game Records'!$U:$U,$H340)&lt;&gt;"Subscription",INDEX('Game Records'!$U:$U,$H340)&lt;&gt;"Free Game",INDEX('Game Records'!$U:$U,$H340)&lt;&gt;"Disqualified — Free Game",OR(INDEX('Game Records'!$L:$L,$H340)="",LOWER(INDEX('Game Records'!$L:$L,$H340)&amp;"")="n/a")),"Disqualified Status; ",""))</f>
        <v/>
      </c>
      <c r="G340" s="23" t="str">
        <f t="array" ref="G340">IF($H340="","",IFERROR(INDEX('Game Records'!$M:$M,$H340),""))</f>
        <v/>
      </c>
      <c r="H340" s="3"/>
    </row>
    <row r="341" ht="24.0" customHeight="1">
      <c r="A341" s="18" t="str">
        <f t="shared" si="1"/>
        <v/>
      </c>
      <c r="B341" s="18" t="str">
        <f t="shared" si="2"/>
        <v/>
      </c>
      <c r="C341" s="23" t="str">
        <f t="array" ref="C341">IF($H341="","",IFERROR(INDEX('Game Records'!$A:$A,$H341),""))</f>
        <v/>
      </c>
      <c r="D341" s="23" t="str">
        <f t="array" ref="D341">IF($H341="","",IFERROR(INDEX('Game Records'!$U:$U,$H341),""))</f>
        <v/>
      </c>
      <c r="E341" s="23" t="str">
        <f t="array" ref="E341">IF($H341="","",LET(r,$H341,mode,LOWER(INDEX('Game Records'!$D:$D,r)&amp;""),endDate,INDEX('Game Records'!$C:$C,r),IF(mode="estimate",IF(endDate="","Estimate — End Date missing",IF(NOT(ISNUMBER(endDate)),"Estimate — Check End Date",IF(INT(endDate)&gt;=TODAY(),"In Progress — ends "&amp;TEXT(endDate,"mmm d, yyyy"),"Ready to Finalize"))),IF($F341="","No Highlighted Fields","Highlighted Fields Present"))))</f>
        <v/>
      </c>
      <c r="F341" s="23" t="str">
        <f t="array" ref="F341">IF($H341="","",IF(OR(NOT(_xlfn.ISFORMULA(INDEX('Game Records'!$N:$N,$H341))),NOT(_xlfn.ISFORMULA(INDEX('Game Records'!$O:$O,$H341))),NOT(_xlfn.ISFORMULA(INDEX('Game Records'!$P:$P,$H341))),NOT(_xlfn.ISFORMULA(INDEX('Game Records'!$Q:$Q,$H341))),NOT(_xlfn.ISFORMULA(INDEX('Game Records'!$R:$R,$H341))),NOT(_xlfn.ISFORMULA(INDEX('Game Records'!$S:$S,$H341))),NOT(_xlfn.ISFORMULA(INDEX('Game Records'!$T:$T,$H341))),NOT(_xlfn.ISFORMULA(INDEX('Game Records'!$U:$U,$H341))),NOT(_xlfn.ISFORMULA(INDEX('Game Records'!$V:$V,$H341))),NOT(_xlfn.ISFORMULA(INDEX('Game Records'!$W:$W,$H341))),NOT(_xlfn.ISFORMULA(INDEX('Game Records'!$X:$X,$H341))),NOT(_xlfn.ISFORMULA(INDEX('Game Records'!$Y:$Y,$H341))),NOT(_xlfn.ISFORMULA(INDEX('Game Records'!$Z:$Z,$H341)))),"","")&amp;IF(INDEX('Game Records'!$B:$B,$H341)="","Start Date; ","")&amp;IF(INDEX('Game Records'!$C:$C,$H341)="","End Date; ","")&amp;IF(AND(INDEX('Game Records'!$U:$U,$H341)&lt;&gt;"Subscription",INDEX('Game Records'!$U:$U,$H341)&lt;&gt;"Free Game",INDEX('Game Records'!$U:$U,$H341)&lt;&gt;"Disqualified — Free Game",OR(INDEX('Game Records'!$D:$D,$H341)="",LOWER(INDEX('Game Records'!$D:$D,$H341)&amp;"")="n/a")),"Entry Mode; ","")&amp;IF(AND(INDEX('Game Records'!$U:$U,$H341)&lt;&gt;"Subscription",INDEX('Game Records'!$U:$U,$H341)&lt;&gt;"Free Game",INDEX('Game Records'!$U:$U,$H341)&lt;&gt;"Disqualified — Free Game",OR(INDEX('Game Records'!$E:$E,$H341)="",LOWER(INDEX('Game Records'!$E:$E,$H341)&amp;"")="n/a")),"Game Type; ","")&amp;IF(INDEX('Game Records'!$F:$F,$H341)="","Payment Type; ","")&amp;IF(AND(INDEX('Game Records'!$U:$U,$H341)&lt;&gt;"Subscription",INDEX('Game Records'!$U:$U,$H341)&lt;&gt;"Free Game",INDEX('Game Records'!$U:$U,$H341)&lt;&gt;"Disqualified — Free Game",INDEX('Game Records'!$G:$G,$H341)=""),"Gross Pot; ","")&amp;IF(AND(INDEX('Game Records'!$U:$U,$H341)&lt;&gt;"Free Game",INDEX('Game Records'!$U:$U,$H341)&lt;&gt;"Disqualified — Free Game",INDEX('Game Records'!$H:$H,$H341)=""),"Entry Fee; ","")&amp;IF(AND(INDEX('Game Records'!$U:$U,$H341)&lt;&gt;"Subscription",INDEX('Game Records'!$U:$U,$H341)&lt;&gt;"Free Game",INDEX('Game Records'!$U:$U,$H341)&lt;&gt;"Disqualified — Free Game",INDEX('Game Records'!$I:$I,$H341)=""),"Eligible Players; ","")&amp;IF(AND(INDEX('Game Records'!$U:$U,$H341)&lt;&gt;"Subscription",INDEX('Game Records'!$U:$U,$H341)&lt;&gt;"Free Game",INDEX('Game Records'!$U:$U,$H341)&lt;&gt;"Disqualified — Free Game",INDEX('Game Records'!$J:$J,$H341)=""),"Total Players; ","")&amp;IF(AND(LOWER(INDEX('Game Records'!$D:$D,$H341)&amp;"")="finalized",LOWER(INDEX('Game Records'!$L:$L,$H341)&amp;"")&lt;&gt;"yes",INDEX('Game Records'!$U:$U,$H341)&lt;&gt;"Subscription",INDEX('Game Records'!$U:$U,$H341)&lt;&gt;"Free Game",INDEX('Game Records'!$U:$U,$H341)&lt;&gt;"Disqualified — Free Game",INDEX('Game Records'!$K:$K,$H341)=""),"Final Payout; ","")&amp;IF(AND(LOWER(INDEX('Game Records'!$D:$D,$H341)&amp;"")="finalized",INDEX('Game Records'!$U:$U,$H341)&lt;&gt;"Subscription",INDEX('Game Records'!$U:$U,$H341)&lt;&gt;"Free Game",INDEX('Game Records'!$U:$U,$H341)&lt;&gt;"Disqualified — Free Game",OR(INDEX('Game Records'!$L:$L,$H341)="",LOWER(INDEX('Game Records'!$L:$L,$H341)&amp;"")="n/a")),"Disqualified Status; ",""))</f>
        <v/>
      </c>
      <c r="G341" s="23" t="str">
        <f t="array" ref="G341">IF($H341="","",IFERROR(INDEX('Game Records'!$M:$M,$H341),""))</f>
        <v/>
      </c>
      <c r="H341" s="3"/>
    </row>
    <row r="342" ht="24.0" customHeight="1">
      <c r="A342" s="18" t="str">
        <f t="shared" si="1"/>
        <v/>
      </c>
      <c r="B342" s="18" t="str">
        <f t="shared" si="2"/>
        <v/>
      </c>
      <c r="C342" s="23" t="str">
        <f t="array" ref="C342">IF($H342="","",IFERROR(INDEX('Game Records'!$A:$A,$H342),""))</f>
        <v/>
      </c>
      <c r="D342" s="23" t="str">
        <f t="array" ref="D342">IF($H342="","",IFERROR(INDEX('Game Records'!$U:$U,$H342),""))</f>
        <v/>
      </c>
      <c r="E342" s="23" t="str">
        <f t="array" ref="E342">IF($H342="","",LET(r,$H342,mode,LOWER(INDEX('Game Records'!$D:$D,r)&amp;""),endDate,INDEX('Game Records'!$C:$C,r),IF(mode="estimate",IF(endDate="","Estimate — End Date missing",IF(NOT(ISNUMBER(endDate)),"Estimate — Check End Date",IF(INT(endDate)&gt;=TODAY(),"In Progress — ends "&amp;TEXT(endDate,"mmm d, yyyy"),"Ready to Finalize"))),IF($F342="","No Highlighted Fields","Highlighted Fields Present"))))</f>
        <v/>
      </c>
      <c r="F342" s="23" t="str">
        <f t="array" ref="F342">IF($H342="","",IF(OR(NOT(_xlfn.ISFORMULA(INDEX('Game Records'!$N:$N,$H342))),NOT(_xlfn.ISFORMULA(INDEX('Game Records'!$O:$O,$H342))),NOT(_xlfn.ISFORMULA(INDEX('Game Records'!$P:$P,$H342))),NOT(_xlfn.ISFORMULA(INDEX('Game Records'!$Q:$Q,$H342))),NOT(_xlfn.ISFORMULA(INDEX('Game Records'!$R:$R,$H342))),NOT(_xlfn.ISFORMULA(INDEX('Game Records'!$S:$S,$H342))),NOT(_xlfn.ISFORMULA(INDEX('Game Records'!$T:$T,$H342))),NOT(_xlfn.ISFORMULA(INDEX('Game Records'!$U:$U,$H342))),NOT(_xlfn.ISFORMULA(INDEX('Game Records'!$V:$V,$H342))),NOT(_xlfn.ISFORMULA(INDEX('Game Records'!$W:$W,$H342))),NOT(_xlfn.ISFORMULA(INDEX('Game Records'!$X:$X,$H342))),NOT(_xlfn.ISFORMULA(INDEX('Game Records'!$Y:$Y,$H342))),NOT(_xlfn.ISFORMULA(INDEX('Game Records'!$Z:$Z,$H342)))),"","")&amp;IF(INDEX('Game Records'!$B:$B,$H342)="","Start Date; ","")&amp;IF(INDEX('Game Records'!$C:$C,$H342)="","End Date; ","")&amp;IF(AND(INDEX('Game Records'!$U:$U,$H342)&lt;&gt;"Subscription",INDEX('Game Records'!$U:$U,$H342)&lt;&gt;"Free Game",INDEX('Game Records'!$U:$U,$H342)&lt;&gt;"Disqualified — Free Game",OR(INDEX('Game Records'!$D:$D,$H342)="",LOWER(INDEX('Game Records'!$D:$D,$H342)&amp;"")="n/a")),"Entry Mode; ","")&amp;IF(AND(INDEX('Game Records'!$U:$U,$H342)&lt;&gt;"Subscription",INDEX('Game Records'!$U:$U,$H342)&lt;&gt;"Free Game",INDEX('Game Records'!$U:$U,$H342)&lt;&gt;"Disqualified — Free Game",OR(INDEX('Game Records'!$E:$E,$H342)="",LOWER(INDEX('Game Records'!$E:$E,$H342)&amp;"")="n/a")),"Game Type; ","")&amp;IF(INDEX('Game Records'!$F:$F,$H342)="","Payment Type; ","")&amp;IF(AND(INDEX('Game Records'!$U:$U,$H342)&lt;&gt;"Subscription",INDEX('Game Records'!$U:$U,$H342)&lt;&gt;"Free Game",INDEX('Game Records'!$U:$U,$H342)&lt;&gt;"Disqualified — Free Game",INDEX('Game Records'!$G:$G,$H342)=""),"Gross Pot; ","")&amp;IF(AND(INDEX('Game Records'!$U:$U,$H342)&lt;&gt;"Free Game",INDEX('Game Records'!$U:$U,$H342)&lt;&gt;"Disqualified — Free Game",INDEX('Game Records'!$H:$H,$H342)=""),"Entry Fee; ","")&amp;IF(AND(INDEX('Game Records'!$U:$U,$H342)&lt;&gt;"Subscription",INDEX('Game Records'!$U:$U,$H342)&lt;&gt;"Free Game",INDEX('Game Records'!$U:$U,$H342)&lt;&gt;"Disqualified — Free Game",INDEX('Game Records'!$I:$I,$H342)=""),"Eligible Players; ","")&amp;IF(AND(INDEX('Game Records'!$U:$U,$H342)&lt;&gt;"Subscription",INDEX('Game Records'!$U:$U,$H342)&lt;&gt;"Free Game",INDEX('Game Records'!$U:$U,$H342)&lt;&gt;"Disqualified — Free Game",INDEX('Game Records'!$J:$J,$H342)=""),"Total Players; ","")&amp;IF(AND(LOWER(INDEX('Game Records'!$D:$D,$H342)&amp;"")="finalized",LOWER(INDEX('Game Records'!$L:$L,$H342)&amp;"")&lt;&gt;"yes",INDEX('Game Records'!$U:$U,$H342)&lt;&gt;"Subscription",INDEX('Game Records'!$U:$U,$H342)&lt;&gt;"Free Game",INDEX('Game Records'!$U:$U,$H342)&lt;&gt;"Disqualified — Free Game",INDEX('Game Records'!$K:$K,$H342)=""),"Final Payout; ","")&amp;IF(AND(LOWER(INDEX('Game Records'!$D:$D,$H342)&amp;"")="finalized",INDEX('Game Records'!$U:$U,$H342)&lt;&gt;"Subscription",INDEX('Game Records'!$U:$U,$H342)&lt;&gt;"Free Game",INDEX('Game Records'!$U:$U,$H342)&lt;&gt;"Disqualified — Free Game",OR(INDEX('Game Records'!$L:$L,$H342)="",LOWER(INDEX('Game Records'!$L:$L,$H342)&amp;"")="n/a")),"Disqualified Status; ",""))</f>
        <v/>
      </c>
      <c r="G342" s="23" t="str">
        <f t="array" ref="G342">IF($H342="","",IFERROR(INDEX('Game Records'!$M:$M,$H342),""))</f>
        <v/>
      </c>
      <c r="H342" s="3"/>
    </row>
    <row r="343" ht="24.0" customHeight="1">
      <c r="A343" s="18" t="str">
        <f t="shared" si="1"/>
        <v/>
      </c>
      <c r="B343" s="18" t="str">
        <f t="shared" si="2"/>
        <v/>
      </c>
      <c r="C343" s="23" t="str">
        <f t="array" ref="C343">IF($H343="","",IFERROR(INDEX('Game Records'!$A:$A,$H343),""))</f>
        <v/>
      </c>
      <c r="D343" s="23" t="str">
        <f t="array" ref="D343">IF($H343="","",IFERROR(INDEX('Game Records'!$U:$U,$H343),""))</f>
        <v/>
      </c>
      <c r="E343" s="23" t="str">
        <f t="array" ref="E343">IF($H343="","",LET(r,$H343,mode,LOWER(INDEX('Game Records'!$D:$D,r)&amp;""),endDate,INDEX('Game Records'!$C:$C,r),IF(mode="estimate",IF(endDate="","Estimate — End Date missing",IF(NOT(ISNUMBER(endDate)),"Estimate — Check End Date",IF(INT(endDate)&gt;=TODAY(),"In Progress — ends "&amp;TEXT(endDate,"mmm d, yyyy"),"Ready to Finalize"))),IF($F343="","No Highlighted Fields","Highlighted Fields Present"))))</f>
        <v/>
      </c>
      <c r="F343" s="23" t="str">
        <f t="array" ref="F343">IF($H343="","",IF(OR(NOT(_xlfn.ISFORMULA(INDEX('Game Records'!$N:$N,$H343))),NOT(_xlfn.ISFORMULA(INDEX('Game Records'!$O:$O,$H343))),NOT(_xlfn.ISFORMULA(INDEX('Game Records'!$P:$P,$H343))),NOT(_xlfn.ISFORMULA(INDEX('Game Records'!$Q:$Q,$H343))),NOT(_xlfn.ISFORMULA(INDEX('Game Records'!$R:$R,$H343))),NOT(_xlfn.ISFORMULA(INDEX('Game Records'!$S:$S,$H343))),NOT(_xlfn.ISFORMULA(INDEX('Game Records'!$T:$T,$H343))),NOT(_xlfn.ISFORMULA(INDEX('Game Records'!$U:$U,$H343))),NOT(_xlfn.ISFORMULA(INDEX('Game Records'!$V:$V,$H343))),NOT(_xlfn.ISFORMULA(INDEX('Game Records'!$W:$W,$H343))),NOT(_xlfn.ISFORMULA(INDEX('Game Records'!$X:$X,$H343))),NOT(_xlfn.ISFORMULA(INDEX('Game Records'!$Y:$Y,$H343))),NOT(_xlfn.ISFORMULA(INDEX('Game Records'!$Z:$Z,$H343)))),"","")&amp;IF(INDEX('Game Records'!$B:$B,$H343)="","Start Date; ","")&amp;IF(INDEX('Game Records'!$C:$C,$H343)="","End Date; ","")&amp;IF(AND(INDEX('Game Records'!$U:$U,$H343)&lt;&gt;"Subscription",INDEX('Game Records'!$U:$U,$H343)&lt;&gt;"Free Game",INDEX('Game Records'!$U:$U,$H343)&lt;&gt;"Disqualified — Free Game",OR(INDEX('Game Records'!$D:$D,$H343)="",LOWER(INDEX('Game Records'!$D:$D,$H343)&amp;"")="n/a")),"Entry Mode; ","")&amp;IF(AND(INDEX('Game Records'!$U:$U,$H343)&lt;&gt;"Subscription",INDEX('Game Records'!$U:$U,$H343)&lt;&gt;"Free Game",INDEX('Game Records'!$U:$U,$H343)&lt;&gt;"Disqualified — Free Game",OR(INDEX('Game Records'!$E:$E,$H343)="",LOWER(INDEX('Game Records'!$E:$E,$H343)&amp;"")="n/a")),"Game Type; ","")&amp;IF(INDEX('Game Records'!$F:$F,$H343)="","Payment Type; ","")&amp;IF(AND(INDEX('Game Records'!$U:$U,$H343)&lt;&gt;"Subscription",INDEX('Game Records'!$U:$U,$H343)&lt;&gt;"Free Game",INDEX('Game Records'!$U:$U,$H343)&lt;&gt;"Disqualified — Free Game",INDEX('Game Records'!$G:$G,$H343)=""),"Gross Pot; ","")&amp;IF(AND(INDEX('Game Records'!$U:$U,$H343)&lt;&gt;"Free Game",INDEX('Game Records'!$U:$U,$H343)&lt;&gt;"Disqualified — Free Game",INDEX('Game Records'!$H:$H,$H343)=""),"Entry Fee; ","")&amp;IF(AND(INDEX('Game Records'!$U:$U,$H343)&lt;&gt;"Subscription",INDEX('Game Records'!$U:$U,$H343)&lt;&gt;"Free Game",INDEX('Game Records'!$U:$U,$H343)&lt;&gt;"Disqualified — Free Game",INDEX('Game Records'!$I:$I,$H343)=""),"Eligible Players; ","")&amp;IF(AND(INDEX('Game Records'!$U:$U,$H343)&lt;&gt;"Subscription",INDEX('Game Records'!$U:$U,$H343)&lt;&gt;"Free Game",INDEX('Game Records'!$U:$U,$H343)&lt;&gt;"Disqualified — Free Game",INDEX('Game Records'!$J:$J,$H343)=""),"Total Players; ","")&amp;IF(AND(LOWER(INDEX('Game Records'!$D:$D,$H343)&amp;"")="finalized",LOWER(INDEX('Game Records'!$L:$L,$H343)&amp;"")&lt;&gt;"yes",INDEX('Game Records'!$U:$U,$H343)&lt;&gt;"Subscription",INDEX('Game Records'!$U:$U,$H343)&lt;&gt;"Free Game",INDEX('Game Records'!$U:$U,$H343)&lt;&gt;"Disqualified — Free Game",INDEX('Game Records'!$K:$K,$H343)=""),"Final Payout; ","")&amp;IF(AND(LOWER(INDEX('Game Records'!$D:$D,$H343)&amp;"")="finalized",INDEX('Game Records'!$U:$U,$H343)&lt;&gt;"Subscription",INDEX('Game Records'!$U:$U,$H343)&lt;&gt;"Free Game",INDEX('Game Records'!$U:$U,$H343)&lt;&gt;"Disqualified — Free Game",OR(INDEX('Game Records'!$L:$L,$H343)="",LOWER(INDEX('Game Records'!$L:$L,$H343)&amp;"")="n/a")),"Disqualified Status; ",""))</f>
        <v/>
      </c>
      <c r="G343" s="23" t="str">
        <f t="array" ref="G343">IF($H343="","",IFERROR(INDEX('Game Records'!$M:$M,$H343),""))</f>
        <v/>
      </c>
      <c r="H343" s="3"/>
    </row>
    <row r="344" ht="24.0" customHeight="1">
      <c r="A344" s="18" t="str">
        <f t="shared" si="1"/>
        <v/>
      </c>
      <c r="B344" s="18" t="str">
        <f t="shared" si="2"/>
        <v/>
      </c>
      <c r="C344" s="23" t="str">
        <f t="array" ref="C344">IF($H344="","",IFERROR(INDEX('Game Records'!$A:$A,$H344),""))</f>
        <v/>
      </c>
      <c r="D344" s="23" t="str">
        <f t="array" ref="D344">IF($H344="","",IFERROR(INDEX('Game Records'!$U:$U,$H344),""))</f>
        <v/>
      </c>
      <c r="E344" s="23" t="str">
        <f t="array" ref="E344">IF($H344="","",LET(r,$H344,mode,LOWER(INDEX('Game Records'!$D:$D,r)&amp;""),endDate,INDEX('Game Records'!$C:$C,r),IF(mode="estimate",IF(endDate="","Estimate — End Date missing",IF(NOT(ISNUMBER(endDate)),"Estimate — Check End Date",IF(INT(endDate)&gt;=TODAY(),"In Progress — ends "&amp;TEXT(endDate,"mmm d, yyyy"),"Ready to Finalize"))),IF($F344="","No Highlighted Fields","Highlighted Fields Present"))))</f>
        <v/>
      </c>
      <c r="F344" s="23" t="str">
        <f t="array" ref="F344">IF($H344="","",IF(OR(NOT(_xlfn.ISFORMULA(INDEX('Game Records'!$N:$N,$H344))),NOT(_xlfn.ISFORMULA(INDEX('Game Records'!$O:$O,$H344))),NOT(_xlfn.ISFORMULA(INDEX('Game Records'!$P:$P,$H344))),NOT(_xlfn.ISFORMULA(INDEX('Game Records'!$Q:$Q,$H344))),NOT(_xlfn.ISFORMULA(INDEX('Game Records'!$R:$R,$H344))),NOT(_xlfn.ISFORMULA(INDEX('Game Records'!$S:$S,$H344))),NOT(_xlfn.ISFORMULA(INDEX('Game Records'!$T:$T,$H344))),NOT(_xlfn.ISFORMULA(INDEX('Game Records'!$U:$U,$H344))),NOT(_xlfn.ISFORMULA(INDEX('Game Records'!$V:$V,$H344))),NOT(_xlfn.ISFORMULA(INDEX('Game Records'!$W:$W,$H344))),NOT(_xlfn.ISFORMULA(INDEX('Game Records'!$X:$X,$H344))),NOT(_xlfn.ISFORMULA(INDEX('Game Records'!$Y:$Y,$H344))),NOT(_xlfn.ISFORMULA(INDEX('Game Records'!$Z:$Z,$H344)))),"","")&amp;IF(INDEX('Game Records'!$B:$B,$H344)="","Start Date; ","")&amp;IF(INDEX('Game Records'!$C:$C,$H344)="","End Date; ","")&amp;IF(AND(INDEX('Game Records'!$U:$U,$H344)&lt;&gt;"Subscription",INDEX('Game Records'!$U:$U,$H344)&lt;&gt;"Free Game",INDEX('Game Records'!$U:$U,$H344)&lt;&gt;"Disqualified — Free Game",OR(INDEX('Game Records'!$D:$D,$H344)="",LOWER(INDEX('Game Records'!$D:$D,$H344)&amp;"")="n/a")),"Entry Mode; ","")&amp;IF(AND(INDEX('Game Records'!$U:$U,$H344)&lt;&gt;"Subscription",INDEX('Game Records'!$U:$U,$H344)&lt;&gt;"Free Game",INDEX('Game Records'!$U:$U,$H344)&lt;&gt;"Disqualified — Free Game",OR(INDEX('Game Records'!$E:$E,$H344)="",LOWER(INDEX('Game Records'!$E:$E,$H344)&amp;"")="n/a")),"Game Type; ","")&amp;IF(INDEX('Game Records'!$F:$F,$H344)="","Payment Type; ","")&amp;IF(AND(INDEX('Game Records'!$U:$U,$H344)&lt;&gt;"Subscription",INDEX('Game Records'!$U:$U,$H344)&lt;&gt;"Free Game",INDEX('Game Records'!$U:$U,$H344)&lt;&gt;"Disqualified — Free Game",INDEX('Game Records'!$G:$G,$H344)=""),"Gross Pot; ","")&amp;IF(AND(INDEX('Game Records'!$U:$U,$H344)&lt;&gt;"Free Game",INDEX('Game Records'!$U:$U,$H344)&lt;&gt;"Disqualified — Free Game",INDEX('Game Records'!$H:$H,$H344)=""),"Entry Fee; ","")&amp;IF(AND(INDEX('Game Records'!$U:$U,$H344)&lt;&gt;"Subscription",INDEX('Game Records'!$U:$U,$H344)&lt;&gt;"Free Game",INDEX('Game Records'!$U:$U,$H344)&lt;&gt;"Disqualified — Free Game",INDEX('Game Records'!$I:$I,$H344)=""),"Eligible Players; ","")&amp;IF(AND(INDEX('Game Records'!$U:$U,$H344)&lt;&gt;"Subscription",INDEX('Game Records'!$U:$U,$H344)&lt;&gt;"Free Game",INDEX('Game Records'!$U:$U,$H344)&lt;&gt;"Disqualified — Free Game",INDEX('Game Records'!$J:$J,$H344)=""),"Total Players; ","")&amp;IF(AND(LOWER(INDEX('Game Records'!$D:$D,$H344)&amp;"")="finalized",LOWER(INDEX('Game Records'!$L:$L,$H344)&amp;"")&lt;&gt;"yes",INDEX('Game Records'!$U:$U,$H344)&lt;&gt;"Subscription",INDEX('Game Records'!$U:$U,$H344)&lt;&gt;"Free Game",INDEX('Game Records'!$U:$U,$H344)&lt;&gt;"Disqualified — Free Game",INDEX('Game Records'!$K:$K,$H344)=""),"Final Payout; ","")&amp;IF(AND(LOWER(INDEX('Game Records'!$D:$D,$H344)&amp;"")="finalized",INDEX('Game Records'!$U:$U,$H344)&lt;&gt;"Subscription",INDEX('Game Records'!$U:$U,$H344)&lt;&gt;"Free Game",INDEX('Game Records'!$U:$U,$H344)&lt;&gt;"Disqualified — Free Game",OR(INDEX('Game Records'!$L:$L,$H344)="",LOWER(INDEX('Game Records'!$L:$L,$H344)&amp;"")="n/a")),"Disqualified Status; ",""))</f>
        <v/>
      </c>
      <c r="G344" s="23" t="str">
        <f t="array" ref="G344">IF($H344="","",IFERROR(INDEX('Game Records'!$M:$M,$H344),""))</f>
        <v/>
      </c>
      <c r="H344" s="3"/>
    </row>
    <row r="345" ht="24.0" customHeight="1">
      <c r="A345" s="18" t="str">
        <f t="shared" si="1"/>
        <v/>
      </c>
      <c r="B345" s="18" t="str">
        <f t="shared" si="2"/>
        <v/>
      </c>
      <c r="C345" s="23" t="str">
        <f t="array" ref="C345">IF($H345="","",IFERROR(INDEX('Game Records'!$A:$A,$H345),""))</f>
        <v/>
      </c>
      <c r="D345" s="23" t="str">
        <f t="array" ref="D345">IF($H345="","",IFERROR(INDEX('Game Records'!$U:$U,$H345),""))</f>
        <v/>
      </c>
      <c r="E345" s="23" t="str">
        <f t="array" ref="E345">IF($H345="","",LET(r,$H345,mode,LOWER(INDEX('Game Records'!$D:$D,r)&amp;""),endDate,INDEX('Game Records'!$C:$C,r),IF(mode="estimate",IF(endDate="","Estimate — End Date missing",IF(NOT(ISNUMBER(endDate)),"Estimate — Check End Date",IF(INT(endDate)&gt;=TODAY(),"In Progress — ends "&amp;TEXT(endDate,"mmm d, yyyy"),"Ready to Finalize"))),IF($F345="","No Highlighted Fields","Highlighted Fields Present"))))</f>
        <v/>
      </c>
      <c r="F345" s="23" t="str">
        <f t="array" ref="F345">IF($H345="","",IF(OR(NOT(_xlfn.ISFORMULA(INDEX('Game Records'!$N:$N,$H345))),NOT(_xlfn.ISFORMULA(INDEX('Game Records'!$O:$O,$H345))),NOT(_xlfn.ISFORMULA(INDEX('Game Records'!$P:$P,$H345))),NOT(_xlfn.ISFORMULA(INDEX('Game Records'!$Q:$Q,$H345))),NOT(_xlfn.ISFORMULA(INDEX('Game Records'!$R:$R,$H345))),NOT(_xlfn.ISFORMULA(INDEX('Game Records'!$S:$S,$H345))),NOT(_xlfn.ISFORMULA(INDEX('Game Records'!$T:$T,$H345))),NOT(_xlfn.ISFORMULA(INDEX('Game Records'!$U:$U,$H345))),NOT(_xlfn.ISFORMULA(INDEX('Game Records'!$V:$V,$H345))),NOT(_xlfn.ISFORMULA(INDEX('Game Records'!$W:$W,$H345))),NOT(_xlfn.ISFORMULA(INDEX('Game Records'!$X:$X,$H345))),NOT(_xlfn.ISFORMULA(INDEX('Game Records'!$Y:$Y,$H345))),NOT(_xlfn.ISFORMULA(INDEX('Game Records'!$Z:$Z,$H345)))),"","")&amp;IF(INDEX('Game Records'!$B:$B,$H345)="","Start Date; ","")&amp;IF(INDEX('Game Records'!$C:$C,$H345)="","End Date; ","")&amp;IF(AND(INDEX('Game Records'!$U:$U,$H345)&lt;&gt;"Subscription",INDEX('Game Records'!$U:$U,$H345)&lt;&gt;"Free Game",INDEX('Game Records'!$U:$U,$H345)&lt;&gt;"Disqualified — Free Game",OR(INDEX('Game Records'!$D:$D,$H345)="",LOWER(INDEX('Game Records'!$D:$D,$H345)&amp;"")="n/a")),"Entry Mode; ","")&amp;IF(AND(INDEX('Game Records'!$U:$U,$H345)&lt;&gt;"Subscription",INDEX('Game Records'!$U:$U,$H345)&lt;&gt;"Free Game",INDEX('Game Records'!$U:$U,$H345)&lt;&gt;"Disqualified — Free Game",OR(INDEX('Game Records'!$E:$E,$H345)="",LOWER(INDEX('Game Records'!$E:$E,$H345)&amp;"")="n/a")),"Game Type; ","")&amp;IF(INDEX('Game Records'!$F:$F,$H345)="","Payment Type; ","")&amp;IF(AND(INDEX('Game Records'!$U:$U,$H345)&lt;&gt;"Subscription",INDEX('Game Records'!$U:$U,$H345)&lt;&gt;"Free Game",INDEX('Game Records'!$U:$U,$H345)&lt;&gt;"Disqualified — Free Game",INDEX('Game Records'!$G:$G,$H345)=""),"Gross Pot; ","")&amp;IF(AND(INDEX('Game Records'!$U:$U,$H345)&lt;&gt;"Free Game",INDEX('Game Records'!$U:$U,$H345)&lt;&gt;"Disqualified — Free Game",INDEX('Game Records'!$H:$H,$H345)=""),"Entry Fee; ","")&amp;IF(AND(INDEX('Game Records'!$U:$U,$H345)&lt;&gt;"Subscription",INDEX('Game Records'!$U:$U,$H345)&lt;&gt;"Free Game",INDEX('Game Records'!$U:$U,$H345)&lt;&gt;"Disqualified — Free Game",INDEX('Game Records'!$I:$I,$H345)=""),"Eligible Players; ","")&amp;IF(AND(INDEX('Game Records'!$U:$U,$H345)&lt;&gt;"Subscription",INDEX('Game Records'!$U:$U,$H345)&lt;&gt;"Free Game",INDEX('Game Records'!$U:$U,$H345)&lt;&gt;"Disqualified — Free Game",INDEX('Game Records'!$J:$J,$H345)=""),"Total Players; ","")&amp;IF(AND(LOWER(INDEX('Game Records'!$D:$D,$H345)&amp;"")="finalized",LOWER(INDEX('Game Records'!$L:$L,$H345)&amp;"")&lt;&gt;"yes",INDEX('Game Records'!$U:$U,$H345)&lt;&gt;"Subscription",INDEX('Game Records'!$U:$U,$H345)&lt;&gt;"Free Game",INDEX('Game Records'!$U:$U,$H345)&lt;&gt;"Disqualified — Free Game",INDEX('Game Records'!$K:$K,$H345)=""),"Final Payout; ","")&amp;IF(AND(LOWER(INDEX('Game Records'!$D:$D,$H345)&amp;"")="finalized",INDEX('Game Records'!$U:$U,$H345)&lt;&gt;"Subscription",INDEX('Game Records'!$U:$U,$H345)&lt;&gt;"Free Game",INDEX('Game Records'!$U:$U,$H345)&lt;&gt;"Disqualified — Free Game",OR(INDEX('Game Records'!$L:$L,$H345)="",LOWER(INDEX('Game Records'!$L:$L,$H345)&amp;"")="n/a")),"Disqualified Status; ",""))</f>
        <v/>
      </c>
      <c r="G345" s="23" t="str">
        <f t="array" ref="G345">IF($H345="","",IFERROR(INDEX('Game Records'!$M:$M,$H345),""))</f>
        <v/>
      </c>
      <c r="H345" s="3"/>
    </row>
    <row r="346" ht="24.0" customHeight="1">
      <c r="A346" s="18" t="str">
        <f t="shared" si="1"/>
        <v/>
      </c>
      <c r="B346" s="18" t="str">
        <f t="shared" si="2"/>
        <v/>
      </c>
      <c r="C346" s="23" t="str">
        <f t="array" ref="C346">IF($H346="","",IFERROR(INDEX('Game Records'!$A:$A,$H346),""))</f>
        <v/>
      </c>
      <c r="D346" s="23" t="str">
        <f t="array" ref="D346">IF($H346="","",IFERROR(INDEX('Game Records'!$U:$U,$H346),""))</f>
        <v/>
      </c>
      <c r="E346" s="23" t="str">
        <f t="array" ref="E346">IF($H346="","",LET(r,$H346,mode,LOWER(INDEX('Game Records'!$D:$D,r)&amp;""),endDate,INDEX('Game Records'!$C:$C,r),IF(mode="estimate",IF(endDate="","Estimate — End Date missing",IF(NOT(ISNUMBER(endDate)),"Estimate — Check End Date",IF(INT(endDate)&gt;=TODAY(),"In Progress — ends "&amp;TEXT(endDate,"mmm d, yyyy"),"Ready to Finalize"))),IF($F346="","No Highlighted Fields","Highlighted Fields Present"))))</f>
        <v/>
      </c>
      <c r="F346" s="23" t="str">
        <f t="array" ref="F346">IF($H346="","",IF(OR(NOT(_xlfn.ISFORMULA(INDEX('Game Records'!$N:$N,$H346))),NOT(_xlfn.ISFORMULA(INDEX('Game Records'!$O:$O,$H346))),NOT(_xlfn.ISFORMULA(INDEX('Game Records'!$P:$P,$H346))),NOT(_xlfn.ISFORMULA(INDEX('Game Records'!$Q:$Q,$H346))),NOT(_xlfn.ISFORMULA(INDEX('Game Records'!$R:$R,$H346))),NOT(_xlfn.ISFORMULA(INDEX('Game Records'!$S:$S,$H346))),NOT(_xlfn.ISFORMULA(INDEX('Game Records'!$T:$T,$H346))),NOT(_xlfn.ISFORMULA(INDEX('Game Records'!$U:$U,$H346))),NOT(_xlfn.ISFORMULA(INDEX('Game Records'!$V:$V,$H346))),NOT(_xlfn.ISFORMULA(INDEX('Game Records'!$W:$W,$H346))),NOT(_xlfn.ISFORMULA(INDEX('Game Records'!$X:$X,$H346))),NOT(_xlfn.ISFORMULA(INDEX('Game Records'!$Y:$Y,$H346))),NOT(_xlfn.ISFORMULA(INDEX('Game Records'!$Z:$Z,$H346)))),"","")&amp;IF(INDEX('Game Records'!$B:$B,$H346)="","Start Date; ","")&amp;IF(INDEX('Game Records'!$C:$C,$H346)="","End Date; ","")&amp;IF(AND(INDEX('Game Records'!$U:$U,$H346)&lt;&gt;"Subscription",INDEX('Game Records'!$U:$U,$H346)&lt;&gt;"Free Game",INDEX('Game Records'!$U:$U,$H346)&lt;&gt;"Disqualified — Free Game",OR(INDEX('Game Records'!$D:$D,$H346)="",LOWER(INDEX('Game Records'!$D:$D,$H346)&amp;"")="n/a")),"Entry Mode; ","")&amp;IF(AND(INDEX('Game Records'!$U:$U,$H346)&lt;&gt;"Subscription",INDEX('Game Records'!$U:$U,$H346)&lt;&gt;"Free Game",INDEX('Game Records'!$U:$U,$H346)&lt;&gt;"Disqualified — Free Game",OR(INDEX('Game Records'!$E:$E,$H346)="",LOWER(INDEX('Game Records'!$E:$E,$H346)&amp;"")="n/a")),"Game Type; ","")&amp;IF(INDEX('Game Records'!$F:$F,$H346)="","Payment Type; ","")&amp;IF(AND(INDEX('Game Records'!$U:$U,$H346)&lt;&gt;"Subscription",INDEX('Game Records'!$U:$U,$H346)&lt;&gt;"Free Game",INDEX('Game Records'!$U:$U,$H346)&lt;&gt;"Disqualified — Free Game",INDEX('Game Records'!$G:$G,$H346)=""),"Gross Pot; ","")&amp;IF(AND(INDEX('Game Records'!$U:$U,$H346)&lt;&gt;"Free Game",INDEX('Game Records'!$U:$U,$H346)&lt;&gt;"Disqualified — Free Game",INDEX('Game Records'!$H:$H,$H346)=""),"Entry Fee; ","")&amp;IF(AND(INDEX('Game Records'!$U:$U,$H346)&lt;&gt;"Subscription",INDEX('Game Records'!$U:$U,$H346)&lt;&gt;"Free Game",INDEX('Game Records'!$U:$U,$H346)&lt;&gt;"Disqualified — Free Game",INDEX('Game Records'!$I:$I,$H346)=""),"Eligible Players; ","")&amp;IF(AND(INDEX('Game Records'!$U:$U,$H346)&lt;&gt;"Subscription",INDEX('Game Records'!$U:$U,$H346)&lt;&gt;"Free Game",INDEX('Game Records'!$U:$U,$H346)&lt;&gt;"Disqualified — Free Game",INDEX('Game Records'!$J:$J,$H346)=""),"Total Players; ","")&amp;IF(AND(LOWER(INDEX('Game Records'!$D:$D,$H346)&amp;"")="finalized",LOWER(INDEX('Game Records'!$L:$L,$H346)&amp;"")&lt;&gt;"yes",INDEX('Game Records'!$U:$U,$H346)&lt;&gt;"Subscription",INDEX('Game Records'!$U:$U,$H346)&lt;&gt;"Free Game",INDEX('Game Records'!$U:$U,$H346)&lt;&gt;"Disqualified — Free Game",INDEX('Game Records'!$K:$K,$H346)=""),"Final Payout; ","")&amp;IF(AND(LOWER(INDEX('Game Records'!$D:$D,$H346)&amp;"")="finalized",INDEX('Game Records'!$U:$U,$H346)&lt;&gt;"Subscription",INDEX('Game Records'!$U:$U,$H346)&lt;&gt;"Free Game",INDEX('Game Records'!$U:$U,$H346)&lt;&gt;"Disqualified — Free Game",OR(INDEX('Game Records'!$L:$L,$H346)="",LOWER(INDEX('Game Records'!$L:$L,$H346)&amp;"")="n/a")),"Disqualified Status; ",""))</f>
        <v/>
      </c>
      <c r="G346" s="23" t="str">
        <f t="array" ref="G346">IF($H346="","",IFERROR(INDEX('Game Records'!$M:$M,$H346),""))</f>
        <v/>
      </c>
      <c r="H346" s="3"/>
    </row>
    <row r="347" ht="24.0" customHeight="1">
      <c r="A347" s="18" t="str">
        <f t="shared" si="1"/>
        <v/>
      </c>
      <c r="B347" s="18" t="str">
        <f t="shared" si="2"/>
        <v/>
      </c>
      <c r="C347" s="23" t="str">
        <f t="array" ref="C347">IF($H347="","",IFERROR(INDEX('Game Records'!$A:$A,$H347),""))</f>
        <v/>
      </c>
      <c r="D347" s="23" t="str">
        <f t="array" ref="D347">IF($H347="","",IFERROR(INDEX('Game Records'!$U:$U,$H347),""))</f>
        <v/>
      </c>
      <c r="E347" s="23" t="str">
        <f t="array" ref="E347">IF($H347="","",LET(r,$H347,mode,LOWER(INDEX('Game Records'!$D:$D,r)&amp;""),endDate,INDEX('Game Records'!$C:$C,r),IF(mode="estimate",IF(endDate="","Estimate — End Date missing",IF(NOT(ISNUMBER(endDate)),"Estimate — Check End Date",IF(INT(endDate)&gt;=TODAY(),"In Progress — ends "&amp;TEXT(endDate,"mmm d, yyyy"),"Ready to Finalize"))),IF($F347="","No Highlighted Fields","Highlighted Fields Present"))))</f>
        <v/>
      </c>
      <c r="F347" s="23" t="str">
        <f t="array" ref="F347">IF($H347="","",IF(OR(NOT(_xlfn.ISFORMULA(INDEX('Game Records'!$N:$N,$H347))),NOT(_xlfn.ISFORMULA(INDEX('Game Records'!$O:$O,$H347))),NOT(_xlfn.ISFORMULA(INDEX('Game Records'!$P:$P,$H347))),NOT(_xlfn.ISFORMULA(INDEX('Game Records'!$Q:$Q,$H347))),NOT(_xlfn.ISFORMULA(INDEX('Game Records'!$R:$R,$H347))),NOT(_xlfn.ISFORMULA(INDEX('Game Records'!$S:$S,$H347))),NOT(_xlfn.ISFORMULA(INDEX('Game Records'!$T:$T,$H347))),NOT(_xlfn.ISFORMULA(INDEX('Game Records'!$U:$U,$H347))),NOT(_xlfn.ISFORMULA(INDEX('Game Records'!$V:$V,$H347))),NOT(_xlfn.ISFORMULA(INDEX('Game Records'!$W:$W,$H347))),NOT(_xlfn.ISFORMULA(INDEX('Game Records'!$X:$X,$H347))),NOT(_xlfn.ISFORMULA(INDEX('Game Records'!$Y:$Y,$H347))),NOT(_xlfn.ISFORMULA(INDEX('Game Records'!$Z:$Z,$H347)))),"","")&amp;IF(INDEX('Game Records'!$B:$B,$H347)="","Start Date; ","")&amp;IF(INDEX('Game Records'!$C:$C,$H347)="","End Date; ","")&amp;IF(AND(INDEX('Game Records'!$U:$U,$H347)&lt;&gt;"Subscription",INDEX('Game Records'!$U:$U,$H347)&lt;&gt;"Free Game",INDEX('Game Records'!$U:$U,$H347)&lt;&gt;"Disqualified — Free Game",OR(INDEX('Game Records'!$D:$D,$H347)="",LOWER(INDEX('Game Records'!$D:$D,$H347)&amp;"")="n/a")),"Entry Mode; ","")&amp;IF(AND(INDEX('Game Records'!$U:$U,$H347)&lt;&gt;"Subscription",INDEX('Game Records'!$U:$U,$H347)&lt;&gt;"Free Game",INDEX('Game Records'!$U:$U,$H347)&lt;&gt;"Disqualified — Free Game",OR(INDEX('Game Records'!$E:$E,$H347)="",LOWER(INDEX('Game Records'!$E:$E,$H347)&amp;"")="n/a")),"Game Type; ","")&amp;IF(INDEX('Game Records'!$F:$F,$H347)="","Payment Type; ","")&amp;IF(AND(INDEX('Game Records'!$U:$U,$H347)&lt;&gt;"Subscription",INDEX('Game Records'!$U:$U,$H347)&lt;&gt;"Free Game",INDEX('Game Records'!$U:$U,$H347)&lt;&gt;"Disqualified — Free Game",INDEX('Game Records'!$G:$G,$H347)=""),"Gross Pot; ","")&amp;IF(AND(INDEX('Game Records'!$U:$U,$H347)&lt;&gt;"Free Game",INDEX('Game Records'!$U:$U,$H347)&lt;&gt;"Disqualified — Free Game",INDEX('Game Records'!$H:$H,$H347)=""),"Entry Fee; ","")&amp;IF(AND(INDEX('Game Records'!$U:$U,$H347)&lt;&gt;"Subscription",INDEX('Game Records'!$U:$U,$H347)&lt;&gt;"Free Game",INDEX('Game Records'!$U:$U,$H347)&lt;&gt;"Disqualified — Free Game",INDEX('Game Records'!$I:$I,$H347)=""),"Eligible Players; ","")&amp;IF(AND(INDEX('Game Records'!$U:$U,$H347)&lt;&gt;"Subscription",INDEX('Game Records'!$U:$U,$H347)&lt;&gt;"Free Game",INDEX('Game Records'!$U:$U,$H347)&lt;&gt;"Disqualified — Free Game",INDEX('Game Records'!$J:$J,$H347)=""),"Total Players; ","")&amp;IF(AND(LOWER(INDEX('Game Records'!$D:$D,$H347)&amp;"")="finalized",LOWER(INDEX('Game Records'!$L:$L,$H347)&amp;"")&lt;&gt;"yes",INDEX('Game Records'!$U:$U,$H347)&lt;&gt;"Subscription",INDEX('Game Records'!$U:$U,$H347)&lt;&gt;"Free Game",INDEX('Game Records'!$U:$U,$H347)&lt;&gt;"Disqualified — Free Game",INDEX('Game Records'!$K:$K,$H347)=""),"Final Payout; ","")&amp;IF(AND(LOWER(INDEX('Game Records'!$D:$D,$H347)&amp;"")="finalized",INDEX('Game Records'!$U:$U,$H347)&lt;&gt;"Subscription",INDEX('Game Records'!$U:$U,$H347)&lt;&gt;"Free Game",INDEX('Game Records'!$U:$U,$H347)&lt;&gt;"Disqualified — Free Game",OR(INDEX('Game Records'!$L:$L,$H347)="",LOWER(INDEX('Game Records'!$L:$L,$H347)&amp;"")="n/a")),"Disqualified Status; ",""))</f>
        <v/>
      </c>
      <c r="G347" s="23" t="str">
        <f t="array" ref="G347">IF($H347="","",IFERROR(INDEX('Game Records'!$M:$M,$H347),""))</f>
        <v/>
      </c>
      <c r="H347" s="3"/>
    </row>
    <row r="348" ht="24.0" customHeight="1">
      <c r="A348" s="18" t="str">
        <f t="shared" si="1"/>
        <v/>
      </c>
      <c r="B348" s="18" t="str">
        <f t="shared" si="2"/>
        <v/>
      </c>
      <c r="C348" s="23" t="str">
        <f t="array" ref="C348">IF($H348="","",IFERROR(INDEX('Game Records'!$A:$A,$H348),""))</f>
        <v/>
      </c>
      <c r="D348" s="23" t="str">
        <f t="array" ref="D348">IF($H348="","",IFERROR(INDEX('Game Records'!$U:$U,$H348),""))</f>
        <v/>
      </c>
      <c r="E348" s="23" t="str">
        <f t="array" ref="E348">IF($H348="","",LET(r,$H348,mode,LOWER(INDEX('Game Records'!$D:$D,r)&amp;""),endDate,INDEX('Game Records'!$C:$C,r),IF(mode="estimate",IF(endDate="","Estimate — End Date missing",IF(NOT(ISNUMBER(endDate)),"Estimate — Check End Date",IF(INT(endDate)&gt;=TODAY(),"In Progress — ends "&amp;TEXT(endDate,"mmm d, yyyy"),"Ready to Finalize"))),IF($F348="","No Highlighted Fields","Highlighted Fields Present"))))</f>
        <v/>
      </c>
      <c r="F348" s="23" t="str">
        <f t="array" ref="F348">IF($H348="","",IF(OR(NOT(_xlfn.ISFORMULA(INDEX('Game Records'!$N:$N,$H348))),NOT(_xlfn.ISFORMULA(INDEX('Game Records'!$O:$O,$H348))),NOT(_xlfn.ISFORMULA(INDEX('Game Records'!$P:$P,$H348))),NOT(_xlfn.ISFORMULA(INDEX('Game Records'!$Q:$Q,$H348))),NOT(_xlfn.ISFORMULA(INDEX('Game Records'!$R:$R,$H348))),NOT(_xlfn.ISFORMULA(INDEX('Game Records'!$S:$S,$H348))),NOT(_xlfn.ISFORMULA(INDEX('Game Records'!$T:$T,$H348))),NOT(_xlfn.ISFORMULA(INDEX('Game Records'!$U:$U,$H348))),NOT(_xlfn.ISFORMULA(INDEX('Game Records'!$V:$V,$H348))),NOT(_xlfn.ISFORMULA(INDEX('Game Records'!$W:$W,$H348))),NOT(_xlfn.ISFORMULA(INDEX('Game Records'!$X:$X,$H348))),NOT(_xlfn.ISFORMULA(INDEX('Game Records'!$Y:$Y,$H348))),NOT(_xlfn.ISFORMULA(INDEX('Game Records'!$Z:$Z,$H348)))),"","")&amp;IF(INDEX('Game Records'!$B:$B,$H348)="","Start Date; ","")&amp;IF(INDEX('Game Records'!$C:$C,$H348)="","End Date; ","")&amp;IF(AND(INDEX('Game Records'!$U:$U,$H348)&lt;&gt;"Subscription",INDEX('Game Records'!$U:$U,$H348)&lt;&gt;"Free Game",INDEX('Game Records'!$U:$U,$H348)&lt;&gt;"Disqualified — Free Game",OR(INDEX('Game Records'!$D:$D,$H348)="",LOWER(INDEX('Game Records'!$D:$D,$H348)&amp;"")="n/a")),"Entry Mode; ","")&amp;IF(AND(INDEX('Game Records'!$U:$U,$H348)&lt;&gt;"Subscription",INDEX('Game Records'!$U:$U,$H348)&lt;&gt;"Free Game",INDEX('Game Records'!$U:$U,$H348)&lt;&gt;"Disqualified — Free Game",OR(INDEX('Game Records'!$E:$E,$H348)="",LOWER(INDEX('Game Records'!$E:$E,$H348)&amp;"")="n/a")),"Game Type; ","")&amp;IF(INDEX('Game Records'!$F:$F,$H348)="","Payment Type; ","")&amp;IF(AND(INDEX('Game Records'!$U:$U,$H348)&lt;&gt;"Subscription",INDEX('Game Records'!$U:$U,$H348)&lt;&gt;"Free Game",INDEX('Game Records'!$U:$U,$H348)&lt;&gt;"Disqualified — Free Game",INDEX('Game Records'!$G:$G,$H348)=""),"Gross Pot; ","")&amp;IF(AND(INDEX('Game Records'!$U:$U,$H348)&lt;&gt;"Free Game",INDEX('Game Records'!$U:$U,$H348)&lt;&gt;"Disqualified — Free Game",INDEX('Game Records'!$H:$H,$H348)=""),"Entry Fee; ","")&amp;IF(AND(INDEX('Game Records'!$U:$U,$H348)&lt;&gt;"Subscription",INDEX('Game Records'!$U:$U,$H348)&lt;&gt;"Free Game",INDEX('Game Records'!$U:$U,$H348)&lt;&gt;"Disqualified — Free Game",INDEX('Game Records'!$I:$I,$H348)=""),"Eligible Players; ","")&amp;IF(AND(INDEX('Game Records'!$U:$U,$H348)&lt;&gt;"Subscription",INDEX('Game Records'!$U:$U,$H348)&lt;&gt;"Free Game",INDEX('Game Records'!$U:$U,$H348)&lt;&gt;"Disqualified — Free Game",INDEX('Game Records'!$J:$J,$H348)=""),"Total Players; ","")&amp;IF(AND(LOWER(INDEX('Game Records'!$D:$D,$H348)&amp;"")="finalized",LOWER(INDEX('Game Records'!$L:$L,$H348)&amp;"")&lt;&gt;"yes",INDEX('Game Records'!$U:$U,$H348)&lt;&gt;"Subscription",INDEX('Game Records'!$U:$U,$H348)&lt;&gt;"Free Game",INDEX('Game Records'!$U:$U,$H348)&lt;&gt;"Disqualified — Free Game",INDEX('Game Records'!$K:$K,$H348)=""),"Final Payout; ","")&amp;IF(AND(LOWER(INDEX('Game Records'!$D:$D,$H348)&amp;"")="finalized",INDEX('Game Records'!$U:$U,$H348)&lt;&gt;"Subscription",INDEX('Game Records'!$U:$U,$H348)&lt;&gt;"Free Game",INDEX('Game Records'!$U:$U,$H348)&lt;&gt;"Disqualified — Free Game",OR(INDEX('Game Records'!$L:$L,$H348)="",LOWER(INDEX('Game Records'!$L:$L,$H348)&amp;"")="n/a")),"Disqualified Status; ",""))</f>
        <v/>
      </c>
      <c r="G348" s="23" t="str">
        <f t="array" ref="G348">IF($H348="","",IFERROR(INDEX('Game Records'!$M:$M,$H348),""))</f>
        <v/>
      </c>
      <c r="H348" s="3"/>
    </row>
    <row r="349" ht="24.0" customHeight="1">
      <c r="A349" s="18" t="str">
        <f t="shared" si="1"/>
        <v/>
      </c>
      <c r="B349" s="18" t="str">
        <f t="shared" si="2"/>
        <v/>
      </c>
      <c r="C349" s="23" t="str">
        <f t="array" ref="C349">IF($H349="","",IFERROR(INDEX('Game Records'!$A:$A,$H349),""))</f>
        <v/>
      </c>
      <c r="D349" s="23" t="str">
        <f t="array" ref="D349">IF($H349="","",IFERROR(INDEX('Game Records'!$U:$U,$H349),""))</f>
        <v/>
      </c>
      <c r="E349" s="23" t="str">
        <f t="array" ref="E349">IF($H349="","",LET(r,$H349,mode,LOWER(INDEX('Game Records'!$D:$D,r)&amp;""),endDate,INDEX('Game Records'!$C:$C,r),IF(mode="estimate",IF(endDate="","Estimate — End Date missing",IF(NOT(ISNUMBER(endDate)),"Estimate — Check End Date",IF(INT(endDate)&gt;=TODAY(),"In Progress — ends "&amp;TEXT(endDate,"mmm d, yyyy"),"Ready to Finalize"))),IF($F349="","No Highlighted Fields","Highlighted Fields Present"))))</f>
        <v/>
      </c>
      <c r="F349" s="23" t="str">
        <f t="array" ref="F349">IF($H349="","",IF(OR(NOT(_xlfn.ISFORMULA(INDEX('Game Records'!$N:$N,$H349))),NOT(_xlfn.ISFORMULA(INDEX('Game Records'!$O:$O,$H349))),NOT(_xlfn.ISFORMULA(INDEX('Game Records'!$P:$P,$H349))),NOT(_xlfn.ISFORMULA(INDEX('Game Records'!$Q:$Q,$H349))),NOT(_xlfn.ISFORMULA(INDEX('Game Records'!$R:$R,$H349))),NOT(_xlfn.ISFORMULA(INDEX('Game Records'!$S:$S,$H349))),NOT(_xlfn.ISFORMULA(INDEX('Game Records'!$T:$T,$H349))),NOT(_xlfn.ISFORMULA(INDEX('Game Records'!$U:$U,$H349))),NOT(_xlfn.ISFORMULA(INDEX('Game Records'!$V:$V,$H349))),NOT(_xlfn.ISFORMULA(INDEX('Game Records'!$W:$W,$H349))),NOT(_xlfn.ISFORMULA(INDEX('Game Records'!$X:$X,$H349))),NOT(_xlfn.ISFORMULA(INDEX('Game Records'!$Y:$Y,$H349))),NOT(_xlfn.ISFORMULA(INDEX('Game Records'!$Z:$Z,$H349)))),"","")&amp;IF(INDEX('Game Records'!$B:$B,$H349)="","Start Date; ","")&amp;IF(INDEX('Game Records'!$C:$C,$H349)="","End Date; ","")&amp;IF(AND(INDEX('Game Records'!$U:$U,$H349)&lt;&gt;"Subscription",INDEX('Game Records'!$U:$U,$H349)&lt;&gt;"Free Game",INDEX('Game Records'!$U:$U,$H349)&lt;&gt;"Disqualified — Free Game",OR(INDEX('Game Records'!$D:$D,$H349)="",LOWER(INDEX('Game Records'!$D:$D,$H349)&amp;"")="n/a")),"Entry Mode; ","")&amp;IF(AND(INDEX('Game Records'!$U:$U,$H349)&lt;&gt;"Subscription",INDEX('Game Records'!$U:$U,$H349)&lt;&gt;"Free Game",INDEX('Game Records'!$U:$U,$H349)&lt;&gt;"Disqualified — Free Game",OR(INDEX('Game Records'!$E:$E,$H349)="",LOWER(INDEX('Game Records'!$E:$E,$H349)&amp;"")="n/a")),"Game Type; ","")&amp;IF(INDEX('Game Records'!$F:$F,$H349)="","Payment Type; ","")&amp;IF(AND(INDEX('Game Records'!$U:$U,$H349)&lt;&gt;"Subscription",INDEX('Game Records'!$U:$U,$H349)&lt;&gt;"Free Game",INDEX('Game Records'!$U:$U,$H349)&lt;&gt;"Disqualified — Free Game",INDEX('Game Records'!$G:$G,$H349)=""),"Gross Pot; ","")&amp;IF(AND(INDEX('Game Records'!$U:$U,$H349)&lt;&gt;"Free Game",INDEX('Game Records'!$U:$U,$H349)&lt;&gt;"Disqualified — Free Game",INDEX('Game Records'!$H:$H,$H349)=""),"Entry Fee; ","")&amp;IF(AND(INDEX('Game Records'!$U:$U,$H349)&lt;&gt;"Subscription",INDEX('Game Records'!$U:$U,$H349)&lt;&gt;"Free Game",INDEX('Game Records'!$U:$U,$H349)&lt;&gt;"Disqualified — Free Game",INDEX('Game Records'!$I:$I,$H349)=""),"Eligible Players; ","")&amp;IF(AND(INDEX('Game Records'!$U:$U,$H349)&lt;&gt;"Subscription",INDEX('Game Records'!$U:$U,$H349)&lt;&gt;"Free Game",INDEX('Game Records'!$U:$U,$H349)&lt;&gt;"Disqualified — Free Game",INDEX('Game Records'!$J:$J,$H349)=""),"Total Players; ","")&amp;IF(AND(LOWER(INDEX('Game Records'!$D:$D,$H349)&amp;"")="finalized",LOWER(INDEX('Game Records'!$L:$L,$H349)&amp;"")&lt;&gt;"yes",INDEX('Game Records'!$U:$U,$H349)&lt;&gt;"Subscription",INDEX('Game Records'!$U:$U,$H349)&lt;&gt;"Free Game",INDEX('Game Records'!$U:$U,$H349)&lt;&gt;"Disqualified — Free Game",INDEX('Game Records'!$K:$K,$H349)=""),"Final Payout; ","")&amp;IF(AND(LOWER(INDEX('Game Records'!$D:$D,$H349)&amp;"")="finalized",INDEX('Game Records'!$U:$U,$H349)&lt;&gt;"Subscription",INDEX('Game Records'!$U:$U,$H349)&lt;&gt;"Free Game",INDEX('Game Records'!$U:$U,$H349)&lt;&gt;"Disqualified — Free Game",OR(INDEX('Game Records'!$L:$L,$H349)="",LOWER(INDEX('Game Records'!$L:$L,$H349)&amp;"")="n/a")),"Disqualified Status; ",""))</f>
        <v/>
      </c>
      <c r="G349" s="23" t="str">
        <f t="array" ref="G349">IF($H349="","",IFERROR(INDEX('Game Records'!$M:$M,$H349),""))</f>
        <v/>
      </c>
      <c r="H349" s="3"/>
    </row>
    <row r="350" ht="24.0" customHeight="1">
      <c r="A350" s="18" t="str">
        <f t="shared" si="1"/>
        <v/>
      </c>
      <c r="B350" s="18" t="str">
        <f t="shared" si="2"/>
        <v/>
      </c>
      <c r="C350" s="23" t="str">
        <f t="array" ref="C350">IF($H350="","",IFERROR(INDEX('Game Records'!$A:$A,$H350),""))</f>
        <v/>
      </c>
      <c r="D350" s="23" t="str">
        <f t="array" ref="D350">IF($H350="","",IFERROR(INDEX('Game Records'!$U:$U,$H350),""))</f>
        <v/>
      </c>
      <c r="E350" s="23" t="str">
        <f t="array" ref="E350">IF($H350="","",LET(r,$H350,mode,LOWER(INDEX('Game Records'!$D:$D,r)&amp;""),endDate,INDEX('Game Records'!$C:$C,r),IF(mode="estimate",IF(endDate="","Estimate — End Date missing",IF(NOT(ISNUMBER(endDate)),"Estimate — Check End Date",IF(INT(endDate)&gt;=TODAY(),"In Progress — ends "&amp;TEXT(endDate,"mmm d, yyyy"),"Ready to Finalize"))),IF($F350="","No Highlighted Fields","Highlighted Fields Present"))))</f>
        <v/>
      </c>
      <c r="F350" s="23" t="str">
        <f t="array" ref="F350">IF($H350="","",IF(OR(NOT(_xlfn.ISFORMULA(INDEX('Game Records'!$N:$N,$H350))),NOT(_xlfn.ISFORMULA(INDEX('Game Records'!$O:$O,$H350))),NOT(_xlfn.ISFORMULA(INDEX('Game Records'!$P:$P,$H350))),NOT(_xlfn.ISFORMULA(INDEX('Game Records'!$Q:$Q,$H350))),NOT(_xlfn.ISFORMULA(INDEX('Game Records'!$R:$R,$H350))),NOT(_xlfn.ISFORMULA(INDEX('Game Records'!$S:$S,$H350))),NOT(_xlfn.ISFORMULA(INDEX('Game Records'!$T:$T,$H350))),NOT(_xlfn.ISFORMULA(INDEX('Game Records'!$U:$U,$H350))),NOT(_xlfn.ISFORMULA(INDEX('Game Records'!$V:$V,$H350))),NOT(_xlfn.ISFORMULA(INDEX('Game Records'!$W:$W,$H350))),NOT(_xlfn.ISFORMULA(INDEX('Game Records'!$X:$X,$H350))),NOT(_xlfn.ISFORMULA(INDEX('Game Records'!$Y:$Y,$H350))),NOT(_xlfn.ISFORMULA(INDEX('Game Records'!$Z:$Z,$H350)))),"","")&amp;IF(INDEX('Game Records'!$B:$B,$H350)="","Start Date; ","")&amp;IF(INDEX('Game Records'!$C:$C,$H350)="","End Date; ","")&amp;IF(AND(INDEX('Game Records'!$U:$U,$H350)&lt;&gt;"Subscription",INDEX('Game Records'!$U:$U,$H350)&lt;&gt;"Free Game",INDEX('Game Records'!$U:$U,$H350)&lt;&gt;"Disqualified — Free Game",OR(INDEX('Game Records'!$D:$D,$H350)="",LOWER(INDEX('Game Records'!$D:$D,$H350)&amp;"")="n/a")),"Entry Mode; ","")&amp;IF(AND(INDEX('Game Records'!$U:$U,$H350)&lt;&gt;"Subscription",INDEX('Game Records'!$U:$U,$H350)&lt;&gt;"Free Game",INDEX('Game Records'!$U:$U,$H350)&lt;&gt;"Disqualified — Free Game",OR(INDEX('Game Records'!$E:$E,$H350)="",LOWER(INDEX('Game Records'!$E:$E,$H350)&amp;"")="n/a")),"Game Type; ","")&amp;IF(INDEX('Game Records'!$F:$F,$H350)="","Payment Type; ","")&amp;IF(AND(INDEX('Game Records'!$U:$U,$H350)&lt;&gt;"Subscription",INDEX('Game Records'!$U:$U,$H350)&lt;&gt;"Free Game",INDEX('Game Records'!$U:$U,$H350)&lt;&gt;"Disqualified — Free Game",INDEX('Game Records'!$G:$G,$H350)=""),"Gross Pot; ","")&amp;IF(AND(INDEX('Game Records'!$U:$U,$H350)&lt;&gt;"Free Game",INDEX('Game Records'!$U:$U,$H350)&lt;&gt;"Disqualified — Free Game",INDEX('Game Records'!$H:$H,$H350)=""),"Entry Fee; ","")&amp;IF(AND(INDEX('Game Records'!$U:$U,$H350)&lt;&gt;"Subscription",INDEX('Game Records'!$U:$U,$H350)&lt;&gt;"Free Game",INDEX('Game Records'!$U:$U,$H350)&lt;&gt;"Disqualified — Free Game",INDEX('Game Records'!$I:$I,$H350)=""),"Eligible Players; ","")&amp;IF(AND(INDEX('Game Records'!$U:$U,$H350)&lt;&gt;"Subscription",INDEX('Game Records'!$U:$U,$H350)&lt;&gt;"Free Game",INDEX('Game Records'!$U:$U,$H350)&lt;&gt;"Disqualified — Free Game",INDEX('Game Records'!$J:$J,$H350)=""),"Total Players; ","")&amp;IF(AND(LOWER(INDEX('Game Records'!$D:$D,$H350)&amp;"")="finalized",LOWER(INDEX('Game Records'!$L:$L,$H350)&amp;"")&lt;&gt;"yes",INDEX('Game Records'!$U:$U,$H350)&lt;&gt;"Subscription",INDEX('Game Records'!$U:$U,$H350)&lt;&gt;"Free Game",INDEX('Game Records'!$U:$U,$H350)&lt;&gt;"Disqualified — Free Game",INDEX('Game Records'!$K:$K,$H350)=""),"Final Payout; ","")&amp;IF(AND(LOWER(INDEX('Game Records'!$D:$D,$H350)&amp;"")="finalized",INDEX('Game Records'!$U:$U,$H350)&lt;&gt;"Subscription",INDEX('Game Records'!$U:$U,$H350)&lt;&gt;"Free Game",INDEX('Game Records'!$U:$U,$H350)&lt;&gt;"Disqualified — Free Game",OR(INDEX('Game Records'!$L:$L,$H350)="",LOWER(INDEX('Game Records'!$L:$L,$H350)&amp;"")="n/a")),"Disqualified Status; ",""))</f>
        <v/>
      </c>
      <c r="G350" s="23" t="str">
        <f t="array" ref="G350">IF($H350="","",IFERROR(INDEX('Game Records'!$M:$M,$H350),""))</f>
        <v/>
      </c>
      <c r="H350" s="3"/>
    </row>
    <row r="351" ht="24.0" customHeight="1">
      <c r="A351" s="18" t="str">
        <f t="shared" si="1"/>
        <v/>
      </c>
      <c r="B351" s="18" t="str">
        <f t="shared" si="2"/>
        <v/>
      </c>
      <c r="C351" s="23" t="str">
        <f t="array" ref="C351">IF($H351="","",IFERROR(INDEX('Game Records'!$A:$A,$H351),""))</f>
        <v/>
      </c>
      <c r="D351" s="23" t="str">
        <f t="array" ref="D351">IF($H351="","",IFERROR(INDEX('Game Records'!$U:$U,$H351),""))</f>
        <v/>
      </c>
      <c r="E351" s="23" t="str">
        <f t="array" ref="E351">IF($H351="","",LET(r,$H351,mode,LOWER(INDEX('Game Records'!$D:$D,r)&amp;""),endDate,INDEX('Game Records'!$C:$C,r),IF(mode="estimate",IF(endDate="","Estimate — End Date missing",IF(NOT(ISNUMBER(endDate)),"Estimate — Check End Date",IF(INT(endDate)&gt;=TODAY(),"In Progress — ends "&amp;TEXT(endDate,"mmm d, yyyy"),"Ready to Finalize"))),IF($F351="","No Highlighted Fields","Highlighted Fields Present"))))</f>
        <v/>
      </c>
      <c r="F351" s="23" t="str">
        <f t="array" ref="F351">IF($H351="","",IF(OR(NOT(_xlfn.ISFORMULA(INDEX('Game Records'!$N:$N,$H351))),NOT(_xlfn.ISFORMULA(INDEX('Game Records'!$O:$O,$H351))),NOT(_xlfn.ISFORMULA(INDEX('Game Records'!$P:$P,$H351))),NOT(_xlfn.ISFORMULA(INDEX('Game Records'!$Q:$Q,$H351))),NOT(_xlfn.ISFORMULA(INDEX('Game Records'!$R:$R,$H351))),NOT(_xlfn.ISFORMULA(INDEX('Game Records'!$S:$S,$H351))),NOT(_xlfn.ISFORMULA(INDEX('Game Records'!$T:$T,$H351))),NOT(_xlfn.ISFORMULA(INDEX('Game Records'!$U:$U,$H351))),NOT(_xlfn.ISFORMULA(INDEX('Game Records'!$V:$V,$H351))),NOT(_xlfn.ISFORMULA(INDEX('Game Records'!$W:$W,$H351))),NOT(_xlfn.ISFORMULA(INDEX('Game Records'!$X:$X,$H351))),NOT(_xlfn.ISFORMULA(INDEX('Game Records'!$Y:$Y,$H351))),NOT(_xlfn.ISFORMULA(INDEX('Game Records'!$Z:$Z,$H351)))),"","")&amp;IF(INDEX('Game Records'!$B:$B,$H351)="","Start Date; ","")&amp;IF(INDEX('Game Records'!$C:$C,$H351)="","End Date; ","")&amp;IF(AND(INDEX('Game Records'!$U:$U,$H351)&lt;&gt;"Subscription",INDEX('Game Records'!$U:$U,$H351)&lt;&gt;"Free Game",INDEX('Game Records'!$U:$U,$H351)&lt;&gt;"Disqualified — Free Game",OR(INDEX('Game Records'!$D:$D,$H351)="",LOWER(INDEX('Game Records'!$D:$D,$H351)&amp;"")="n/a")),"Entry Mode; ","")&amp;IF(AND(INDEX('Game Records'!$U:$U,$H351)&lt;&gt;"Subscription",INDEX('Game Records'!$U:$U,$H351)&lt;&gt;"Free Game",INDEX('Game Records'!$U:$U,$H351)&lt;&gt;"Disqualified — Free Game",OR(INDEX('Game Records'!$E:$E,$H351)="",LOWER(INDEX('Game Records'!$E:$E,$H351)&amp;"")="n/a")),"Game Type; ","")&amp;IF(INDEX('Game Records'!$F:$F,$H351)="","Payment Type; ","")&amp;IF(AND(INDEX('Game Records'!$U:$U,$H351)&lt;&gt;"Subscription",INDEX('Game Records'!$U:$U,$H351)&lt;&gt;"Free Game",INDEX('Game Records'!$U:$U,$H351)&lt;&gt;"Disqualified — Free Game",INDEX('Game Records'!$G:$G,$H351)=""),"Gross Pot; ","")&amp;IF(AND(INDEX('Game Records'!$U:$U,$H351)&lt;&gt;"Free Game",INDEX('Game Records'!$U:$U,$H351)&lt;&gt;"Disqualified — Free Game",INDEX('Game Records'!$H:$H,$H351)=""),"Entry Fee; ","")&amp;IF(AND(INDEX('Game Records'!$U:$U,$H351)&lt;&gt;"Subscription",INDEX('Game Records'!$U:$U,$H351)&lt;&gt;"Free Game",INDEX('Game Records'!$U:$U,$H351)&lt;&gt;"Disqualified — Free Game",INDEX('Game Records'!$I:$I,$H351)=""),"Eligible Players; ","")&amp;IF(AND(INDEX('Game Records'!$U:$U,$H351)&lt;&gt;"Subscription",INDEX('Game Records'!$U:$U,$H351)&lt;&gt;"Free Game",INDEX('Game Records'!$U:$U,$H351)&lt;&gt;"Disqualified — Free Game",INDEX('Game Records'!$J:$J,$H351)=""),"Total Players; ","")&amp;IF(AND(LOWER(INDEX('Game Records'!$D:$D,$H351)&amp;"")="finalized",LOWER(INDEX('Game Records'!$L:$L,$H351)&amp;"")&lt;&gt;"yes",INDEX('Game Records'!$U:$U,$H351)&lt;&gt;"Subscription",INDEX('Game Records'!$U:$U,$H351)&lt;&gt;"Free Game",INDEX('Game Records'!$U:$U,$H351)&lt;&gt;"Disqualified — Free Game",INDEX('Game Records'!$K:$K,$H351)=""),"Final Payout; ","")&amp;IF(AND(LOWER(INDEX('Game Records'!$D:$D,$H351)&amp;"")="finalized",INDEX('Game Records'!$U:$U,$H351)&lt;&gt;"Subscription",INDEX('Game Records'!$U:$U,$H351)&lt;&gt;"Free Game",INDEX('Game Records'!$U:$U,$H351)&lt;&gt;"Disqualified — Free Game",OR(INDEX('Game Records'!$L:$L,$H351)="",LOWER(INDEX('Game Records'!$L:$L,$H351)&amp;"")="n/a")),"Disqualified Status; ",""))</f>
        <v/>
      </c>
      <c r="G351" s="23" t="str">
        <f t="array" ref="G351">IF($H351="","",IFERROR(INDEX('Game Records'!$M:$M,$H351),""))</f>
        <v/>
      </c>
      <c r="H351" s="3"/>
    </row>
    <row r="352" ht="24.0" customHeight="1">
      <c r="A352" s="18" t="str">
        <f t="shared" si="1"/>
        <v/>
      </c>
      <c r="B352" s="18" t="str">
        <f t="shared" si="2"/>
        <v/>
      </c>
      <c r="C352" s="23" t="str">
        <f t="array" ref="C352">IF($H352="","",IFERROR(INDEX('Game Records'!$A:$A,$H352),""))</f>
        <v/>
      </c>
      <c r="D352" s="23" t="str">
        <f t="array" ref="D352">IF($H352="","",IFERROR(INDEX('Game Records'!$U:$U,$H352),""))</f>
        <v/>
      </c>
      <c r="E352" s="23" t="str">
        <f t="array" ref="E352">IF($H352="","",LET(r,$H352,mode,LOWER(INDEX('Game Records'!$D:$D,r)&amp;""),endDate,INDEX('Game Records'!$C:$C,r),IF(mode="estimate",IF(endDate="","Estimate — End Date missing",IF(NOT(ISNUMBER(endDate)),"Estimate — Check End Date",IF(INT(endDate)&gt;=TODAY(),"In Progress — ends "&amp;TEXT(endDate,"mmm d, yyyy"),"Ready to Finalize"))),IF($F352="","No Highlighted Fields","Highlighted Fields Present"))))</f>
        <v/>
      </c>
      <c r="F352" s="23" t="str">
        <f t="array" ref="F352">IF($H352="","",IF(OR(NOT(_xlfn.ISFORMULA(INDEX('Game Records'!$N:$N,$H352))),NOT(_xlfn.ISFORMULA(INDEX('Game Records'!$O:$O,$H352))),NOT(_xlfn.ISFORMULA(INDEX('Game Records'!$P:$P,$H352))),NOT(_xlfn.ISFORMULA(INDEX('Game Records'!$Q:$Q,$H352))),NOT(_xlfn.ISFORMULA(INDEX('Game Records'!$R:$R,$H352))),NOT(_xlfn.ISFORMULA(INDEX('Game Records'!$S:$S,$H352))),NOT(_xlfn.ISFORMULA(INDEX('Game Records'!$T:$T,$H352))),NOT(_xlfn.ISFORMULA(INDEX('Game Records'!$U:$U,$H352))),NOT(_xlfn.ISFORMULA(INDEX('Game Records'!$V:$V,$H352))),NOT(_xlfn.ISFORMULA(INDEX('Game Records'!$W:$W,$H352))),NOT(_xlfn.ISFORMULA(INDEX('Game Records'!$X:$X,$H352))),NOT(_xlfn.ISFORMULA(INDEX('Game Records'!$Y:$Y,$H352))),NOT(_xlfn.ISFORMULA(INDEX('Game Records'!$Z:$Z,$H352)))),"","")&amp;IF(INDEX('Game Records'!$B:$B,$H352)="","Start Date; ","")&amp;IF(INDEX('Game Records'!$C:$C,$H352)="","End Date; ","")&amp;IF(AND(INDEX('Game Records'!$U:$U,$H352)&lt;&gt;"Subscription",INDEX('Game Records'!$U:$U,$H352)&lt;&gt;"Free Game",INDEX('Game Records'!$U:$U,$H352)&lt;&gt;"Disqualified — Free Game",OR(INDEX('Game Records'!$D:$D,$H352)="",LOWER(INDEX('Game Records'!$D:$D,$H352)&amp;"")="n/a")),"Entry Mode; ","")&amp;IF(AND(INDEX('Game Records'!$U:$U,$H352)&lt;&gt;"Subscription",INDEX('Game Records'!$U:$U,$H352)&lt;&gt;"Free Game",INDEX('Game Records'!$U:$U,$H352)&lt;&gt;"Disqualified — Free Game",OR(INDEX('Game Records'!$E:$E,$H352)="",LOWER(INDEX('Game Records'!$E:$E,$H352)&amp;"")="n/a")),"Game Type; ","")&amp;IF(INDEX('Game Records'!$F:$F,$H352)="","Payment Type; ","")&amp;IF(AND(INDEX('Game Records'!$U:$U,$H352)&lt;&gt;"Subscription",INDEX('Game Records'!$U:$U,$H352)&lt;&gt;"Free Game",INDEX('Game Records'!$U:$U,$H352)&lt;&gt;"Disqualified — Free Game",INDEX('Game Records'!$G:$G,$H352)=""),"Gross Pot; ","")&amp;IF(AND(INDEX('Game Records'!$U:$U,$H352)&lt;&gt;"Free Game",INDEX('Game Records'!$U:$U,$H352)&lt;&gt;"Disqualified — Free Game",INDEX('Game Records'!$H:$H,$H352)=""),"Entry Fee; ","")&amp;IF(AND(INDEX('Game Records'!$U:$U,$H352)&lt;&gt;"Subscription",INDEX('Game Records'!$U:$U,$H352)&lt;&gt;"Free Game",INDEX('Game Records'!$U:$U,$H352)&lt;&gt;"Disqualified — Free Game",INDEX('Game Records'!$I:$I,$H352)=""),"Eligible Players; ","")&amp;IF(AND(INDEX('Game Records'!$U:$U,$H352)&lt;&gt;"Subscription",INDEX('Game Records'!$U:$U,$H352)&lt;&gt;"Free Game",INDEX('Game Records'!$U:$U,$H352)&lt;&gt;"Disqualified — Free Game",INDEX('Game Records'!$J:$J,$H352)=""),"Total Players; ","")&amp;IF(AND(LOWER(INDEX('Game Records'!$D:$D,$H352)&amp;"")="finalized",LOWER(INDEX('Game Records'!$L:$L,$H352)&amp;"")&lt;&gt;"yes",INDEX('Game Records'!$U:$U,$H352)&lt;&gt;"Subscription",INDEX('Game Records'!$U:$U,$H352)&lt;&gt;"Free Game",INDEX('Game Records'!$U:$U,$H352)&lt;&gt;"Disqualified — Free Game",INDEX('Game Records'!$K:$K,$H352)=""),"Final Payout; ","")&amp;IF(AND(LOWER(INDEX('Game Records'!$D:$D,$H352)&amp;"")="finalized",INDEX('Game Records'!$U:$U,$H352)&lt;&gt;"Subscription",INDEX('Game Records'!$U:$U,$H352)&lt;&gt;"Free Game",INDEX('Game Records'!$U:$U,$H352)&lt;&gt;"Disqualified — Free Game",OR(INDEX('Game Records'!$L:$L,$H352)="",LOWER(INDEX('Game Records'!$L:$L,$H352)&amp;"")="n/a")),"Disqualified Status; ",""))</f>
        <v/>
      </c>
      <c r="G352" s="23" t="str">
        <f t="array" ref="G352">IF($H352="","",IFERROR(INDEX('Game Records'!$M:$M,$H352),""))</f>
        <v/>
      </c>
      <c r="H352" s="3"/>
    </row>
    <row r="353" ht="24.0" customHeight="1">
      <c r="A353" s="18" t="str">
        <f t="shared" si="1"/>
        <v/>
      </c>
      <c r="B353" s="18" t="str">
        <f t="shared" si="2"/>
        <v/>
      </c>
      <c r="C353" s="23" t="str">
        <f t="array" ref="C353">IF($H353="","",IFERROR(INDEX('Game Records'!$A:$A,$H353),""))</f>
        <v/>
      </c>
      <c r="D353" s="23" t="str">
        <f t="array" ref="D353">IF($H353="","",IFERROR(INDEX('Game Records'!$U:$U,$H353),""))</f>
        <v/>
      </c>
      <c r="E353" s="23" t="str">
        <f t="array" ref="E353">IF($H353="","",LET(r,$H353,mode,LOWER(INDEX('Game Records'!$D:$D,r)&amp;""),endDate,INDEX('Game Records'!$C:$C,r),IF(mode="estimate",IF(endDate="","Estimate — End Date missing",IF(NOT(ISNUMBER(endDate)),"Estimate — Check End Date",IF(INT(endDate)&gt;=TODAY(),"In Progress — ends "&amp;TEXT(endDate,"mmm d, yyyy"),"Ready to Finalize"))),IF($F353="","No Highlighted Fields","Highlighted Fields Present"))))</f>
        <v/>
      </c>
      <c r="F353" s="23" t="str">
        <f t="array" ref="F353">IF($H353="","",IF(OR(NOT(_xlfn.ISFORMULA(INDEX('Game Records'!$N:$N,$H353))),NOT(_xlfn.ISFORMULA(INDEX('Game Records'!$O:$O,$H353))),NOT(_xlfn.ISFORMULA(INDEX('Game Records'!$P:$P,$H353))),NOT(_xlfn.ISFORMULA(INDEX('Game Records'!$Q:$Q,$H353))),NOT(_xlfn.ISFORMULA(INDEX('Game Records'!$R:$R,$H353))),NOT(_xlfn.ISFORMULA(INDEX('Game Records'!$S:$S,$H353))),NOT(_xlfn.ISFORMULA(INDEX('Game Records'!$T:$T,$H353))),NOT(_xlfn.ISFORMULA(INDEX('Game Records'!$U:$U,$H353))),NOT(_xlfn.ISFORMULA(INDEX('Game Records'!$V:$V,$H353))),NOT(_xlfn.ISFORMULA(INDEX('Game Records'!$W:$W,$H353))),NOT(_xlfn.ISFORMULA(INDEX('Game Records'!$X:$X,$H353))),NOT(_xlfn.ISFORMULA(INDEX('Game Records'!$Y:$Y,$H353))),NOT(_xlfn.ISFORMULA(INDEX('Game Records'!$Z:$Z,$H353)))),"","")&amp;IF(INDEX('Game Records'!$B:$B,$H353)="","Start Date; ","")&amp;IF(INDEX('Game Records'!$C:$C,$H353)="","End Date; ","")&amp;IF(AND(INDEX('Game Records'!$U:$U,$H353)&lt;&gt;"Subscription",INDEX('Game Records'!$U:$U,$H353)&lt;&gt;"Free Game",INDEX('Game Records'!$U:$U,$H353)&lt;&gt;"Disqualified — Free Game",OR(INDEX('Game Records'!$D:$D,$H353)="",LOWER(INDEX('Game Records'!$D:$D,$H353)&amp;"")="n/a")),"Entry Mode; ","")&amp;IF(AND(INDEX('Game Records'!$U:$U,$H353)&lt;&gt;"Subscription",INDEX('Game Records'!$U:$U,$H353)&lt;&gt;"Free Game",INDEX('Game Records'!$U:$U,$H353)&lt;&gt;"Disqualified — Free Game",OR(INDEX('Game Records'!$E:$E,$H353)="",LOWER(INDEX('Game Records'!$E:$E,$H353)&amp;"")="n/a")),"Game Type; ","")&amp;IF(INDEX('Game Records'!$F:$F,$H353)="","Payment Type; ","")&amp;IF(AND(INDEX('Game Records'!$U:$U,$H353)&lt;&gt;"Subscription",INDEX('Game Records'!$U:$U,$H353)&lt;&gt;"Free Game",INDEX('Game Records'!$U:$U,$H353)&lt;&gt;"Disqualified — Free Game",INDEX('Game Records'!$G:$G,$H353)=""),"Gross Pot; ","")&amp;IF(AND(INDEX('Game Records'!$U:$U,$H353)&lt;&gt;"Free Game",INDEX('Game Records'!$U:$U,$H353)&lt;&gt;"Disqualified — Free Game",INDEX('Game Records'!$H:$H,$H353)=""),"Entry Fee; ","")&amp;IF(AND(INDEX('Game Records'!$U:$U,$H353)&lt;&gt;"Subscription",INDEX('Game Records'!$U:$U,$H353)&lt;&gt;"Free Game",INDEX('Game Records'!$U:$U,$H353)&lt;&gt;"Disqualified — Free Game",INDEX('Game Records'!$I:$I,$H353)=""),"Eligible Players; ","")&amp;IF(AND(INDEX('Game Records'!$U:$U,$H353)&lt;&gt;"Subscription",INDEX('Game Records'!$U:$U,$H353)&lt;&gt;"Free Game",INDEX('Game Records'!$U:$U,$H353)&lt;&gt;"Disqualified — Free Game",INDEX('Game Records'!$J:$J,$H353)=""),"Total Players; ","")&amp;IF(AND(LOWER(INDEX('Game Records'!$D:$D,$H353)&amp;"")="finalized",LOWER(INDEX('Game Records'!$L:$L,$H353)&amp;"")&lt;&gt;"yes",INDEX('Game Records'!$U:$U,$H353)&lt;&gt;"Subscription",INDEX('Game Records'!$U:$U,$H353)&lt;&gt;"Free Game",INDEX('Game Records'!$U:$U,$H353)&lt;&gt;"Disqualified — Free Game",INDEX('Game Records'!$K:$K,$H353)=""),"Final Payout; ","")&amp;IF(AND(LOWER(INDEX('Game Records'!$D:$D,$H353)&amp;"")="finalized",INDEX('Game Records'!$U:$U,$H353)&lt;&gt;"Subscription",INDEX('Game Records'!$U:$U,$H353)&lt;&gt;"Free Game",INDEX('Game Records'!$U:$U,$H353)&lt;&gt;"Disqualified — Free Game",OR(INDEX('Game Records'!$L:$L,$H353)="",LOWER(INDEX('Game Records'!$L:$L,$H353)&amp;"")="n/a")),"Disqualified Status; ",""))</f>
        <v/>
      </c>
      <c r="G353" s="23" t="str">
        <f t="array" ref="G353">IF($H353="","",IFERROR(INDEX('Game Records'!$M:$M,$H353),""))</f>
        <v/>
      </c>
      <c r="H353" s="3"/>
    </row>
    <row r="354" ht="24.0" customHeight="1">
      <c r="A354" s="18" t="str">
        <f t="shared" si="1"/>
        <v/>
      </c>
      <c r="B354" s="18" t="str">
        <f t="shared" si="2"/>
        <v/>
      </c>
      <c r="C354" s="23" t="str">
        <f t="array" ref="C354">IF($H354="","",IFERROR(INDEX('Game Records'!$A:$A,$H354),""))</f>
        <v/>
      </c>
      <c r="D354" s="23" t="str">
        <f t="array" ref="D354">IF($H354="","",IFERROR(INDEX('Game Records'!$U:$U,$H354),""))</f>
        <v/>
      </c>
      <c r="E354" s="23" t="str">
        <f t="array" ref="E354">IF($H354="","",LET(r,$H354,mode,LOWER(INDEX('Game Records'!$D:$D,r)&amp;""),endDate,INDEX('Game Records'!$C:$C,r),IF(mode="estimate",IF(endDate="","Estimate — End Date missing",IF(NOT(ISNUMBER(endDate)),"Estimate — Check End Date",IF(INT(endDate)&gt;=TODAY(),"In Progress — ends "&amp;TEXT(endDate,"mmm d, yyyy"),"Ready to Finalize"))),IF($F354="","No Highlighted Fields","Highlighted Fields Present"))))</f>
        <v/>
      </c>
      <c r="F354" s="23" t="str">
        <f t="array" ref="F354">IF($H354="","",IF(OR(NOT(_xlfn.ISFORMULA(INDEX('Game Records'!$N:$N,$H354))),NOT(_xlfn.ISFORMULA(INDEX('Game Records'!$O:$O,$H354))),NOT(_xlfn.ISFORMULA(INDEX('Game Records'!$P:$P,$H354))),NOT(_xlfn.ISFORMULA(INDEX('Game Records'!$Q:$Q,$H354))),NOT(_xlfn.ISFORMULA(INDEX('Game Records'!$R:$R,$H354))),NOT(_xlfn.ISFORMULA(INDEX('Game Records'!$S:$S,$H354))),NOT(_xlfn.ISFORMULA(INDEX('Game Records'!$T:$T,$H354))),NOT(_xlfn.ISFORMULA(INDEX('Game Records'!$U:$U,$H354))),NOT(_xlfn.ISFORMULA(INDEX('Game Records'!$V:$V,$H354))),NOT(_xlfn.ISFORMULA(INDEX('Game Records'!$W:$W,$H354))),NOT(_xlfn.ISFORMULA(INDEX('Game Records'!$X:$X,$H354))),NOT(_xlfn.ISFORMULA(INDEX('Game Records'!$Y:$Y,$H354))),NOT(_xlfn.ISFORMULA(INDEX('Game Records'!$Z:$Z,$H354)))),"","")&amp;IF(INDEX('Game Records'!$B:$B,$H354)="","Start Date; ","")&amp;IF(INDEX('Game Records'!$C:$C,$H354)="","End Date; ","")&amp;IF(AND(INDEX('Game Records'!$U:$U,$H354)&lt;&gt;"Subscription",INDEX('Game Records'!$U:$U,$H354)&lt;&gt;"Free Game",INDEX('Game Records'!$U:$U,$H354)&lt;&gt;"Disqualified — Free Game",OR(INDEX('Game Records'!$D:$D,$H354)="",LOWER(INDEX('Game Records'!$D:$D,$H354)&amp;"")="n/a")),"Entry Mode; ","")&amp;IF(AND(INDEX('Game Records'!$U:$U,$H354)&lt;&gt;"Subscription",INDEX('Game Records'!$U:$U,$H354)&lt;&gt;"Free Game",INDEX('Game Records'!$U:$U,$H354)&lt;&gt;"Disqualified — Free Game",OR(INDEX('Game Records'!$E:$E,$H354)="",LOWER(INDEX('Game Records'!$E:$E,$H354)&amp;"")="n/a")),"Game Type; ","")&amp;IF(INDEX('Game Records'!$F:$F,$H354)="","Payment Type; ","")&amp;IF(AND(INDEX('Game Records'!$U:$U,$H354)&lt;&gt;"Subscription",INDEX('Game Records'!$U:$U,$H354)&lt;&gt;"Free Game",INDEX('Game Records'!$U:$U,$H354)&lt;&gt;"Disqualified — Free Game",INDEX('Game Records'!$G:$G,$H354)=""),"Gross Pot; ","")&amp;IF(AND(INDEX('Game Records'!$U:$U,$H354)&lt;&gt;"Free Game",INDEX('Game Records'!$U:$U,$H354)&lt;&gt;"Disqualified — Free Game",INDEX('Game Records'!$H:$H,$H354)=""),"Entry Fee; ","")&amp;IF(AND(INDEX('Game Records'!$U:$U,$H354)&lt;&gt;"Subscription",INDEX('Game Records'!$U:$U,$H354)&lt;&gt;"Free Game",INDEX('Game Records'!$U:$U,$H354)&lt;&gt;"Disqualified — Free Game",INDEX('Game Records'!$I:$I,$H354)=""),"Eligible Players; ","")&amp;IF(AND(INDEX('Game Records'!$U:$U,$H354)&lt;&gt;"Subscription",INDEX('Game Records'!$U:$U,$H354)&lt;&gt;"Free Game",INDEX('Game Records'!$U:$U,$H354)&lt;&gt;"Disqualified — Free Game",INDEX('Game Records'!$J:$J,$H354)=""),"Total Players; ","")&amp;IF(AND(LOWER(INDEX('Game Records'!$D:$D,$H354)&amp;"")="finalized",LOWER(INDEX('Game Records'!$L:$L,$H354)&amp;"")&lt;&gt;"yes",INDEX('Game Records'!$U:$U,$H354)&lt;&gt;"Subscription",INDEX('Game Records'!$U:$U,$H354)&lt;&gt;"Free Game",INDEX('Game Records'!$U:$U,$H354)&lt;&gt;"Disqualified — Free Game",INDEX('Game Records'!$K:$K,$H354)=""),"Final Payout; ","")&amp;IF(AND(LOWER(INDEX('Game Records'!$D:$D,$H354)&amp;"")="finalized",INDEX('Game Records'!$U:$U,$H354)&lt;&gt;"Subscription",INDEX('Game Records'!$U:$U,$H354)&lt;&gt;"Free Game",INDEX('Game Records'!$U:$U,$H354)&lt;&gt;"Disqualified — Free Game",OR(INDEX('Game Records'!$L:$L,$H354)="",LOWER(INDEX('Game Records'!$L:$L,$H354)&amp;"")="n/a")),"Disqualified Status; ",""))</f>
        <v/>
      </c>
      <c r="G354" s="23" t="str">
        <f t="array" ref="G354">IF($H354="","",IFERROR(INDEX('Game Records'!$M:$M,$H354),""))</f>
        <v/>
      </c>
      <c r="H354" s="3"/>
    </row>
    <row r="355" ht="24.0" customHeight="1">
      <c r="A355" s="18" t="str">
        <f t="shared" si="1"/>
        <v/>
      </c>
      <c r="B355" s="18" t="str">
        <f t="shared" si="2"/>
        <v/>
      </c>
      <c r="C355" s="23" t="str">
        <f t="array" ref="C355">IF($H355="","",IFERROR(INDEX('Game Records'!$A:$A,$H355),""))</f>
        <v/>
      </c>
      <c r="D355" s="23" t="str">
        <f t="array" ref="D355">IF($H355="","",IFERROR(INDEX('Game Records'!$U:$U,$H355),""))</f>
        <v/>
      </c>
      <c r="E355" s="23" t="str">
        <f t="array" ref="E355">IF($H355="","",LET(r,$H355,mode,LOWER(INDEX('Game Records'!$D:$D,r)&amp;""),endDate,INDEX('Game Records'!$C:$C,r),IF(mode="estimate",IF(endDate="","Estimate — End Date missing",IF(NOT(ISNUMBER(endDate)),"Estimate — Check End Date",IF(INT(endDate)&gt;=TODAY(),"In Progress — ends "&amp;TEXT(endDate,"mmm d, yyyy"),"Ready to Finalize"))),IF($F355="","No Highlighted Fields","Highlighted Fields Present"))))</f>
        <v/>
      </c>
      <c r="F355" s="23" t="str">
        <f t="array" ref="F355">IF($H355="","",IF(OR(NOT(_xlfn.ISFORMULA(INDEX('Game Records'!$N:$N,$H355))),NOT(_xlfn.ISFORMULA(INDEX('Game Records'!$O:$O,$H355))),NOT(_xlfn.ISFORMULA(INDEX('Game Records'!$P:$P,$H355))),NOT(_xlfn.ISFORMULA(INDEX('Game Records'!$Q:$Q,$H355))),NOT(_xlfn.ISFORMULA(INDEX('Game Records'!$R:$R,$H355))),NOT(_xlfn.ISFORMULA(INDEX('Game Records'!$S:$S,$H355))),NOT(_xlfn.ISFORMULA(INDEX('Game Records'!$T:$T,$H355))),NOT(_xlfn.ISFORMULA(INDEX('Game Records'!$U:$U,$H355))),NOT(_xlfn.ISFORMULA(INDEX('Game Records'!$V:$V,$H355))),NOT(_xlfn.ISFORMULA(INDEX('Game Records'!$W:$W,$H355))),NOT(_xlfn.ISFORMULA(INDEX('Game Records'!$X:$X,$H355))),NOT(_xlfn.ISFORMULA(INDEX('Game Records'!$Y:$Y,$H355))),NOT(_xlfn.ISFORMULA(INDEX('Game Records'!$Z:$Z,$H355)))),"","")&amp;IF(INDEX('Game Records'!$B:$B,$H355)="","Start Date; ","")&amp;IF(INDEX('Game Records'!$C:$C,$H355)="","End Date; ","")&amp;IF(AND(INDEX('Game Records'!$U:$U,$H355)&lt;&gt;"Subscription",INDEX('Game Records'!$U:$U,$H355)&lt;&gt;"Free Game",INDEX('Game Records'!$U:$U,$H355)&lt;&gt;"Disqualified — Free Game",OR(INDEX('Game Records'!$D:$D,$H355)="",LOWER(INDEX('Game Records'!$D:$D,$H355)&amp;"")="n/a")),"Entry Mode; ","")&amp;IF(AND(INDEX('Game Records'!$U:$U,$H355)&lt;&gt;"Subscription",INDEX('Game Records'!$U:$U,$H355)&lt;&gt;"Free Game",INDEX('Game Records'!$U:$U,$H355)&lt;&gt;"Disqualified — Free Game",OR(INDEX('Game Records'!$E:$E,$H355)="",LOWER(INDEX('Game Records'!$E:$E,$H355)&amp;"")="n/a")),"Game Type; ","")&amp;IF(INDEX('Game Records'!$F:$F,$H355)="","Payment Type; ","")&amp;IF(AND(INDEX('Game Records'!$U:$U,$H355)&lt;&gt;"Subscription",INDEX('Game Records'!$U:$U,$H355)&lt;&gt;"Free Game",INDEX('Game Records'!$U:$U,$H355)&lt;&gt;"Disqualified — Free Game",INDEX('Game Records'!$G:$G,$H355)=""),"Gross Pot; ","")&amp;IF(AND(INDEX('Game Records'!$U:$U,$H355)&lt;&gt;"Free Game",INDEX('Game Records'!$U:$U,$H355)&lt;&gt;"Disqualified — Free Game",INDEX('Game Records'!$H:$H,$H355)=""),"Entry Fee; ","")&amp;IF(AND(INDEX('Game Records'!$U:$U,$H355)&lt;&gt;"Subscription",INDEX('Game Records'!$U:$U,$H355)&lt;&gt;"Free Game",INDEX('Game Records'!$U:$U,$H355)&lt;&gt;"Disqualified — Free Game",INDEX('Game Records'!$I:$I,$H355)=""),"Eligible Players; ","")&amp;IF(AND(INDEX('Game Records'!$U:$U,$H355)&lt;&gt;"Subscription",INDEX('Game Records'!$U:$U,$H355)&lt;&gt;"Free Game",INDEX('Game Records'!$U:$U,$H355)&lt;&gt;"Disqualified — Free Game",INDEX('Game Records'!$J:$J,$H355)=""),"Total Players; ","")&amp;IF(AND(LOWER(INDEX('Game Records'!$D:$D,$H355)&amp;"")="finalized",LOWER(INDEX('Game Records'!$L:$L,$H355)&amp;"")&lt;&gt;"yes",INDEX('Game Records'!$U:$U,$H355)&lt;&gt;"Subscription",INDEX('Game Records'!$U:$U,$H355)&lt;&gt;"Free Game",INDEX('Game Records'!$U:$U,$H355)&lt;&gt;"Disqualified — Free Game",INDEX('Game Records'!$K:$K,$H355)=""),"Final Payout; ","")&amp;IF(AND(LOWER(INDEX('Game Records'!$D:$D,$H355)&amp;"")="finalized",INDEX('Game Records'!$U:$U,$H355)&lt;&gt;"Subscription",INDEX('Game Records'!$U:$U,$H355)&lt;&gt;"Free Game",INDEX('Game Records'!$U:$U,$H355)&lt;&gt;"Disqualified — Free Game",OR(INDEX('Game Records'!$L:$L,$H355)="",LOWER(INDEX('Game Records'!$L:$L,$H355)&amp;"")="n/a")),"Disqualified Status; ",""))</f>
        <v/>
      </c>
      <c r="G355" s="23" t="str">
        <f t="array" ref="G355">IF($H355="","",IFERROR(INDEX('Game Records'!$M:$M,$H355),""))</f>
        <v/>
      </c>
      <c r="H355" s="3"/>
    </row>
    <row r="356" ht="24.0" customHeight="1">
      <c r="A356" s="18" t="str">
        <f t="shared" si="1"/>
        <v/>
      </c>
      <c r="B356" s="18" t="str">
        <f t="shared" si="2"/>
        <v/>
      </c>
      <c r="C356" s="23" t="str">
        <f t="array" ref="C356">IF($H356="","",IFERROR(INDEX('Game Records'!$A:$A,$H356),""))</f>
        <v/>
      </c>
      <c r="D356" s="23" t="str">
        <f t="array" ref="D356">IF($H356="","",IFERROR(INDEX('Game Records'!$U:$U,$H356),""))</f>
        <v/>
      </c>
      <c r="E356" s="23" t="str">
        <f t="array" ref="E356">IF($H356="","",LET(r,$H356,mode,LOWER(INDEX('Game Records'!$D:$D,r)&amp;""),endDate,INDEX('Game Records'!$C:$C,r),IF(mode="estimate",IF(endDate="","Estimate — End Date missing",IF(NOT(ISNUMBER(endDate)),"Estimate — Check End Date",IF(INT(endDate)&gt;=TODAY(),"In Progress — ends "&amp;TEXT(endDate,"mmm d, yyyy"),"Ready to Finalize"))),IF($F356="","No Highlighted Fields","Highlighted Fields Present"))))</f>
        <v/>
      </c>
      <c r="F356" s="23" t="str">
        <f t="array" ref="F356">IF($H356="","",IF(OR(NOT(_xlfn.ISFORMULA(INDEX('Game Records'!$N:$N,$H356))),NOT(_xlfn.ISFORMULA(INDEX('Game Records'!$O:$O,$H356))),NOT(_xlfn.ISFORMULA(INDEX('Game Records'!$P:$P,$H356))),NOT(_xlfn.ISFORMULA(INDEX('Game Records'!$Q:$Q,$H356))),NOT(_xlfn.ISFORMULA(INDEX('Game Records'!$R:$R,$H356))),NOT(_xlfn.ISFORMULA(INDEX('Game Records'!$S:$S,$H356))),NOT(_xlfn.ISFORMULA(INDEX('Game Records'!$T:$T,$H356))),NOT(_xlfn.ISFORMULA(INDEX('Game Records'!$U:$U,$H356))),NOT(_xlfn.ISFORMULA(INDEX('Game Records'!$V:$V,$H356))),NOT(_xlfn.ISFORMULA(INDEX('Game Records'!$W:$W,$H356))),NOT(_xlfn.ISFORMULA(INDEX('Game Records'!$X:$X,$H356))),NOT(_xlfn.ISFORMULA(INDEX('Game Records'!$Y:$Y,$H356))),NOT(_xlfn.ISFORMULA(INDEX('Game Records'!$Z:$Z,$H356)))),"","")&amp;IF(INDEX('Game Records'!$B:$B,$H356)="","Start Date; ","")&amp;IF(INDEX('Game Records'!$C:$C,$H356)="","End Date; ","")&amp;IF(AND(INDEX('Game Records'!$U:$U,$H356)&lt;&gt;"Subscription",INDEX('Game Records'!$U:$U,$H356)&lt;&gt;"Free Game",INDEX('Game Records'!$U:$U,$H356)&lt;&gt;"Disqualified — Free Game",OR(INDEX('Game Records'!$D:$D,$H356)="",LOWER(INDEX('Game Records'!$D:$D,$H356)&amp;"")="n/a")),"Entry Mode; ","")&amp;IF(AND(INDEX('Game Records'!$U:$U,$H356)&lt;&gt;"Subscription",INDEX('Game Records'!$U:$U,$H356)&lt;&gt;"Free Game",INDEX('Game Records'!$U:$U,$H356)&lt;&gt;"Disqualified — Free Game",OR(INDEX('Game Records'!$E:$E,$H356)="",LOWER(INDEX('Game Records'!$E:$E,$H356)&amp;"")="n/a")),"Game Type; ","")&amp;IF(INDEX('Game Records'!$F:$F,$H356)="","Payment Type; ","")&amp;IF(AND(INDEX('Game Records'!$U:$U,$H356)&lt;&gt;"Subscription",INDEX('Game Records'!$U:$U,$H356)&lt;&gt;"Free Game",INDEX('Game Records'!$U:$U,$H356)&lt;&gt;"Disqualified — Free Game",INDEX('Game Records'!$G:$G,$H356)=""),"Gross Pot; ","")&amp;IF(AND(INDEX('Game Records'!$U:$U,$H356)&lt;&gt;"Free Game",INDEX('Game Records'!$U:$U,$H356)&lt;&gt;"Disqualified — Free Game",INDEX('Game Records'!$H:$H,$H356)=""),"Entry Fee; ","")&amp;IF(AND(INDEX('Game Records'!$U:$U,$H356)&lt;&gt;"Subscription",INDEX('Game Records'!$U:$U,$H356)&lt;&gt;"Free Game",INDEX('Game Records'!$U:$U,$H356)&lt;&gt;"Disqualified — Free Game",INDEX('Game Records'!$I:$I,$H356)=""),"Eligible Players; ","")&amp;IF(AND(INDEX('Game Records'!$U:$U,$H356)&lt;&gt;"Subscription",INDEX('Game Records'!$U:$U,$H356)&lt;&gt;"Free Game",INDEX('Game Records'!$U:$U,$H356)&lt;&gt;"Disqualified — Free Game",INDEX('Game Records'!$J:$J,$H356)=""),"Total Players; ","")&amp;IF(AND(LOWER(INDEX('Game Records'!$D:$D,$H356)&amp;"")="finalized",LOWER(INDEX('Game Records'!$L:$L,$H356)&amp;"")&lt;&gt;"yes",INDEX('Game Records'!$U:$U,$H356)&lt;&gt;"Subscription",INDEX('Game Records'!$U:$U,$H356)&lt;&gt;"Free Game",INDEX('Game Records'!$U:$U,$H356)&lt;&gt;"Disqualified — Free Game",INDEX('Game Records'!$K:$K,$H356)=""),"Final Payout; ","")&amp;IF(AND(LOWER(INDEX('Game Records'!$D:$D,$H356)&amp;"")="finalized",INDEX('Game Records'!$U:$U,$H356)&lt;&gt;"Subscription",INDEX('Game Records'!$U:$U,$H356)&lt;&gt;"Free Game",INDEX('Game Records'!$U:$U,$H356)&lt;&gt;"Disqualified — Free Game",OR(INDEX('Game Records'!$L:$L,$H356)="",LOWER(INDEX('Game Records'!$L:$L,$H356)&amp;"")="n/a")),"Disqualified Status; ",""))</f>
        <v/>
      </c>
      <c r="G356" s="23" t="str">
        <f t="array" ref="G356">IF($H356="","",IFERROR(INDEX('Game Records'!$M:$M,$H356),""))</f>
        <v/>
      </c>
      <c r="H356" s="3"/>
    </row>
    <row r="357" ht="24.0" customHeight="1">
      <c r="A357" s="18" t="str">
        <f t="shared" si="1"/>
        <v/>
      </c>
      <c r="B357" s="18" t="str">
        <f t="shared" si="2"/>
        <v/>
      </c>
      <c r="C357" s="23" t="str">
        <f t="array" ref="C357">IF($H357="","",IFERROR(INDEX('Game Records'!$A:$A,$H357),""))</f>
        <v/>
      </c>
      <c r="D357" s="23" t="str">
        <f t="array" ref="D357">IF($H357="","",IFERROR(INDEX('Game Records'!$U:$U,$H357),""))</f>
        <v/>
      </c>
      <c r="E357" s="23" t="str">
        <f t="array" ref="E357">IF($H357="","",LET(r,$H357,mode,LOWER(INDEX('Game Records'!$D:$D,r)&amp;""),endDate,INDEX('Game Records'!$C:$C,r),IF(mode="estimate",IF(endDate="","Estimate — End Date missing",IF(NOT(ISNUMBER(endDate)),"Estimate — Check End Date",IF(INT(endDate)&gt;=TODAY(),"In Progress — ends "&amp;TEXT(endDate,"mmm d, yyyy"),"Ready to Finalize"))),IF($F357="","No Highlighted Fields","Highlighted Fields Present"))))</f>
        <v/>
      </c>
      <c r="F357" s="23" t="str">
        <f t="array" ref="F357">IF($H357="","",IF(OR(NOT(_xlfn.ISFORMULA(INDEX('Game Records'!$N:$N,$H357))),NOT(_xlfn.ISFORMULA(INDEX('Game Records'!$O:$O,$H357))),NOT(_xlfn.ISFORMULA(INDEX('Game Records'!$P:$P,$H357))),NOT(_xlfn.ISFORMULA(INDEX('Game Records'!$Q:$Q,$H357))),NOT(_xlfn.ISFORMULA(INDEX('Game Records'!$R:$R,$H357))),NOT(_xlfn.ISFORMULA(INDEX('Game Records'!$S:$S,$H357))),NOT(_xlfn.ISFORMULA(INDEX('Game Records'!$T:$T,$H357))),NOT(_xlfn.ISFORMULA(INDEX('Game Records'!$U:$U,$H357))),NOT(_xlfn.ISFORMULA(INDEX('Game Records'!$V:$V,$H357))),NOT(_xlfn.ISFORMULA(INDEX('Game Records'!$W:$W,$H357))),NOT(_xlfn.ISFORMULA(INDEX('Game Records'!$X:$X,$H357))),NOT(_xlfn.ISFORMULA(INDEX('Game Records'!$Y:$Y,$H357))),NOT(_xlfn.ISFORMULA(INDEX('Game Records'!$Z:$Z,$H357)))),"","")&amp;IF(INDEX('Game Records'!$B:$B,$H357)="","Start Date; ","")&amp;IF(INDEX('Game Records'!$C:$C,$H357)="","End Date; ","")&amp;IF(AND(INDEX('Game Records'!$U:$U,$H357)&lt;&gt;"Subscription",INDEX('Game Records'!$U:$U,$H357)&lt;&gt;"Free Game",INDEX('Game Records'!$U:$U,$H357)&lt;&gt;"Disqualified — Free Game",OR(INDEX('Game Records'!$D:$D,$H357)="",LOWER(INDEX('Game Records'!$D:$D,$H357)&amp;"")="n/a")),"Entry Mode; ","")&amp;IF(AND(INDEX('Game Records'!$U:$U,$H357)&lt;&gt;"Subscription",INDEX('Game Records'!$U:$U,$H357)&lt;&gt;"Free Game",INDEX('Game Records'!$U:$U,$H357)&lt;&gt;"Disqualified — Free Game",OR(INDEX('Game Records'!$E:$E,$H357)="",LOWER(INDEX('Game Records'!$E:$E,$H357)&amp;"")="n/a")),"Game Type; ","")&amp;IF(INDEX('Game Records'!$F:$F,$H357)="","Payment Type; ","")&amp;IF(AND(INDEX('Game Records'!$U:$U,$H357)&lt;&gt;"Subscription",INDEX('Game Records'!$U:$U,$H357)&lt;&gt;"Free Game",INDEX('Game Records'!$U:$U,$H357)&lt;&gt;"Disqualified — Free Game",INDEX('Game Records'!$G:$G,$H357)=""),"Gross Pot; ","")&amp;IF(AND(INDEX('Game Records'!$U:$U,$H357)&lt;&gt;"Free Game",INDEX('Game Records'!$U:$U,$H357)&lt;&gt;"Disqualified — Free Game",INDEX('Game Records'!$H:$H,$H357)=""),"Entry Fee; ","")&amp;IF(AND(INDEX('Game Records'!$U:$U,$H357)&lt;&gt;"Subscription",INDEX('Game Records'!$U:$U,$H357)&lt;&gt;"Free Game",INDEX('Game Records'!$U:$U,$H357)&lt;&gt;"Disqualified — Free Game",INDEX('Game Records'!$I:$I,$H357)=""),"Eligible Players; ","")&amp;IF(AND(INDEX('Game Records'!$U:$U,$H357)&lt;&gt;"Subscription",INDEX('Game Records'!$U:$U,$H357)&lt;&gt;"Free Game",INDEX('Game Records'!$U:$U,$H357)&lt;&gt;"Disqualified — Free Game",INDEX('Game Records'!$J:$J,$H357)=""),"Total Players; ","")&amp;IF(AND(LOWER(INDEX('Game Records'!$D:$D,$H357)&amp;"")="finalized",LOWER(INDEX('Game Records'!$L:$L,$H357)&amp;"")&lt;&gt;"yes",INDEX('Game Records'!$U:$U,$H357)&lt;&gt;"Subscription",INDEX('Game Records'!$U:$U,$H357)&lt;&gt;"Free Game",INDEX('Game Records'!$U:$U,$H357)&lt;&gt;"Disqualified — Free Game",INDEX('Game Records'!$K:$K,$H357)=""),"Final Payout; ","")&amp;IF(AND(LOWER(INDEX('Game Records'!$D:$D,$H357)&amp;"")="finalized",INDEX('Game Records'!$U:$U,$H357)&lt;&gt;"Subscription",INDEX('Game Records'!$U:$U,$H357)&lt;&gt;"Free Game",INDEX('Game Records'!$U:$U,$H357)&lt;&gt;"Disqualified — Free Game",OR(INDEX('Game Records'!$L:$L,$H357)="",LOWER(INDEX('Game Records'!$L:$L,$H357)&amp;"")="n/a")),"Disqualified Status; ",""))</f>
        <v/>
      </c>
      <c r="G357" s="23" t="str">
        <f t="array" ref="G357">IF($H357="","",IFERROR(INDEX('Game Records'!$M:$M,$H357),""))</f>
        <v/>
      </c>
      <c r="H357" s="3"/>
    </row>
    <row r="358" ht="24.0" customHeight="1">
      <c r="A358" s="18" t="str">
        <f t="shared" si="1"/>
        <v/>
      </c>
      <c r="B358" s="18" t="str">
        <f t="shared" si="2"/>
        <v/>
      </c>
      <c r="C358" s="23" t="str">
        <f t="array" ref="C358">IF($H358="","",IFERROR(INDEX('Game Records'!$A:$A,$H358),""))</f>
        <v/>
      </c>
      <c r="D358" s="23" t="str">
        <f t="array" ref="D358">IF($H358="","",IFERROR(INDEX('Game Records'!$U:$U,$H358),""))</f>
        <v/>
      </c>
      <c r="E358" s="23" t="str">
        <f t="array" ref="E358">IF($H358="","",LET(r,$H358,mode,LOWER(INDEX('Game Records'!$D:$D,r)&amp;""),endDate,INDEX('Game Records'!$C:$C,r),IF(mode="estimate",IF(endDate="","Estimate — End Date missing",IF(NOT(ISNUMBER(endDate)),"Estimate — Check End Date",IF(INT(endDate)&gt;=TODAY(),"In Progress — ends "&amp;TEXT(endDate,"mmm d, yyyy"),"Ready to Finalize"))),IF($F358="","No Highlighted Fields","Highlighted Fields Present"))))</f>
        <v/>
      </c>
      <c r="F358" s="23" t="str">
        <f t="array" ref="F358">IF($H358="","",IF(OR(NOT(_xlfn.ISFORMULA(INDEX('Game Records'!$N:$N,$H358))),NOT(_xlfn.ISFORMULA(INDEX('Game Records'!$O:$O,$H358))),NOT(_xlfn.ISFORMULA(INDEX('Game Records'!$P:$P,$H358))),NOT(_xlfn.ISFORMULA(INDEX('Game Records'!$Q:$Q,$H358))),NOT(_xlfn.ISFORMULA(INDEX('Game Records'!$R:$R,$H358))),NOT(_xlfn.ISFORMULA(INDEX('Game Records'!$S:$S,$H358))),NOT(_xlfn.ISFORMULA(INDEX('Game Records'!$T:$T,$H358))),NOT(_xlfn.ISFORMULA(INDEX('Game Records'!$U:$U,$H358))),NOT(_xlfn.ISFORMULA(INDEX('Game Records'!$V:$V,$H358))),NOT(_xlfn.ISFORMULA(INDEX('Game Records'!$W:$W,$H358))),NOT(_xlfn.ISFORMULA(INDEX('Game Records'!$X:$X,$H358))),NOT(_xlfn.ISFORMULA(INDEX('Game Records'!$Y:$Y,$H358))),NOT(_xlfn.ISFORMULA(INDEX('Game Records'!$Z:$Z,$H358)))),"","")&amp;IF(INDEX('Game Records'!$B:$B,$H358)="","Start Date; ","")&amp;IF(INDEX('Game Records'!$C:$C,$H358)="","End Date; ","")&amp;IF(AND(INDEX('Game Records'!$U:$U,$H358)&lt;&gt;"Subscription",INDEX('Game Records'!$U:$U,$H358)&lt;&gt;"Free Game",INDEX('Game Records'!$U:$U,$H358)&lt;&gt;"Disqualified — Free Game",OR(INDEX('Game Records'!$D:$D,$H358)="",LOWER(INDEX('Game Records'!$D:$D,$H358)&amp;"")="n/a")),"Entry Mode; ","")&amp;IF(AND(INDEX('Game Records'!$U:$U,$H358)&lt;&gt;"Subscription",INDEX('Game Records'!$U:$U,$H358)&lt;&gt;"Free Game",INDEX('Game Records'!$U:$U,$H358)&lt;&gt;"Disqualified — Free Game",OR(INDEX('Game Records'!$E:$E,$H358)="",LOWER(INDEX('Game Records'!$E:$E,$H358)&amp;"")="n/a")),"Game Type; ","")&amp;IF(INDEX('Game Records'!$F:$F,$H358)="","Payment Type; ","")&amp;IF(AND(INDEX('Game Records'!$U:$U,$H358)&lt;&gt;"Subscription",INDEX('Game Records'!$U:$U,$H358)&lt;&gt;"Free Game",INDEX('Game Records'!$U:$U,$H358)&lt;&gt;"Disqualified — Free Game",INDEX('Game Records'!$G:$G,$H358)=""),"Gross Pot; ","")&amp;IF(AND(INDEX('Game Records'!$U:$U,$H358)&lt;&gt;"Free Game",INDEX('Game Records'!$U:$U,$H358)&lt;&gt;"Disqualified — Free Game",INDEX('Game Records'!$H:$H,$H358)=""),"Entry Fee; ","")&amp;IF(AND(INDEX('Game Records'!$U:$U,$H358)&lt;&gt;"Subscription",INDEX('Game Records'!$U:$U,$H358)&lt;&gt;"Free Game",INDEX('Game Records'!$U:$U,$H358)&lt;&gt;"Disqualified — Free Game",INDEX('Game Records'!$I:$I,$H358)=""),"Eligible Players; ","")&amp;IF(AND(INDEX('Game Records'!$U:$U,$H358)&lt;&gt;"Subscription",INDEX('Game Records'!$U:$U,$H358)&lt;&gt;"Free Game",INDEX('Game Records'!$U:$U,$H358)&lt;&gt;"Disqualified — Free Game",INDEX('Game Records'!$J:$J,$H358)=""),"Total Players; ","")&amp;IF(AND(LOWER(INDEX('Game Records'!$D:$D,$H358)&amp;"")="finalized",LOWER(INDEX('Game Records'!$L:$L,$H358)&amp;"")&lt;&gt;"yes",INDEX('Game Records'!$U:$U,$H358)&lt;&gt;"Subscription",INDEX('Game Records'!$U:$U,$H358)&lt;&gt;"Free Game",INDEX('Game Records'!$U:$U,$H358)&lt;&gt;"Disqualified — Free Game",INDEX('Game Records'!$K:$K,$H358)=""),"Final Payout; ","")&amp;IF(AND(LOWER(INDEX('Game Records'!$D:$D,$H358)&amp;"")="finalized",INDEX('Game Records'!$U:$U,$H358)&lt;&gt;"Subscription",INDEX('Game Records'!$U:$U,$H358)&lt;&gt;"Free Game",INDEX('Game Records'!$U:$U,$H358)&lt;&gt;"Disqualified — Free Game",OR(INDEX('Game Records'!$L:$L,$H358)="",LOWER(INDEX('Game Records'!$L:$L,$H358)&amp;"")="n/a")),"Disqualified Status; ",""))</f>
        <v/>
      </c>
      <c r="G358" s="23" t="str">
        <f t="array" ref="G358">IF($H358="","",IFERROR(INDEX('Game Records'!$M:$M,$H358),""))</f>
        <v/>
      </c>
      <c r="H358" s="3"/>
    </row>
    <row r="359" ht="24.0" customHeight="1">
      <c r="A359" s="18" t="str">
        <f t="shared" si="1"/>
        <v/>
      </c>
      <c r="B359" s="18" t="str">
        <f t="shared" si="2"/>
        <v/>
      </c>
      <c r="C359" s="23" t="str">
        <f t="array" ref="C359">IF($H359="","",IFERROR(INDEX('Game Records'!$A:$A,$H359),""))</f>
        <v/>
      </c>
      <c r="D359" s="23" t="str">
        <f t="array" ref="D359">IF($H359="","",IFERROR(INDEX('Game Records'!$U:$U,$H359),""))</f>
        <v/>
      </c>
      <c r="E359" s="23" t="str">
        <f t="array" ref="E359">IF($H359="","",LET(r,$H359,mode,LOWER(INDEX('Game Records'!$D:$D,r)&amp;""),endDate,INDEX('Game Records'!$C:$C,r),IF(mode="estimate",IF(endDate="","Estimate — End Date missing",IF(NOT(ISNUMBER(endDate)),"Estimate — Check End Date",IF(INT(endDate)&gt;=TODAY(),"In Progress — ends "&amp;TEXT(endDate,"mmm d, yyyy"),"Ready to Finalize"))),IF($F359="","No Highlighted Fields","Highlighted Fields Present"))))</f>
        <v/>
      </c>
      <c r="F359" s="23" t="str">
        <f t="array" ref="F359">IF($H359="","",IF(OR(NOT(_xlfn.ISFORMULA(INDEX('Game Records'!$N:$N,$H359))),NOT(_xlfn.ISFORMULA(INDEX('Game Records'!$O:$O,$H359))),NOT(_xlfn.ISFORMULA(INDEX('Game Records'!$P:$P,$H359))),NOT(_xlfn.ISFORMULA(INDEX('Game Records'!$Q:$Q,$H359))),NOT(_xlfn.ISFORMULA(INDEX('Game Records'!$R:$R,$H359))),NOT(_xlfn.ISFORMULA(INDEX('Game Records'!$S:$S,$H359))),NOT(_xlfn.ISFORMULA(INDEX('Game Records'!$T:$T,$H359))),NOT(_xlfn.ISFORMULA(INDEX('Game Records'!$U:$U,$H359))),NOT(_xlfn.ISFORMULA(INDEX('Game Records'!$V:$V,$H359))),NOT(_xlfn.ISFORMULA(INDEX('Game Records'!$W:$W,$H359))),NOT(_xlfn.ISFORMULA(INDEX('Game Records'!$X:$X,$H359))),NOT(_xlfn.ISFORMULA(INDEX('Game Records'!$Y:$Y,$H359))),NOT(_xlfn.ISFORMULA(INDEX('Game Records'!$Z:$Z,$H359)))),"","")&amp;IF(INDEX('Game Records'!$B:$B,$H359)="","Start Date; ","")&amp;IF(INDEX('Game Records'!$C:$C,$H359)="","End Date; ","")&amp;IF(AND(INDEX('Game Records'!$U:$U,$H359)&lt;&gt;"Subscription",INDEX('Game Records'!$U:$U,$H359)&lt;&gt;"Free Game",INDEX('Game Records'!$U:$U,$H359)&lt;&gt;"Disqualified — Free Game",OR(INDEX('Game Records'!$D:$D,$H359)="",LOWER(INDEX('Game Records'!$D:$D,$H359)&amp;"")="n/a")),"Entry Mode; ","")&amp;IF(AND(INDEX('Game Records'!$U:$U,$H359)&lt;&gt;"Subscription",INDEX('Game Records'!$U:$U,$H359)&lt;&gt;"Free Game",INDEX('Game Records'!$U:$U,$H359)&lt;&gt;"Disqualified — Free Game",OR(INDEX('Game Records'!$E:$E,$H359)="",LOWER(INDEX('Game Records'!$E:$E,$H359)&amp;"")="n/a")),"Game Type; ","")&amp;IF(INDEX('Game Records'!$F:$F,$H359)="","Payment Type; ","")&amp;IF(AND(INDEX('Game Records'!$U:$U,$H359)&lt;&gt;"Subscription",INDEX('Game Records'!$U:$U,$H359)&lt;&gt;"Free Game",INDEX('Game Records'!$U:$U,$H359)&lt;&gt;"Disqualified — Free Game",INDEX('Game Records'!$G:$G,$H359)=""),"Gross Pot; ","")&amp;IF(AND(INDEX('Game Records'!$U:$U,$H359)&lt;&gt;"Free Game",INDEX('Game Records'!$U:$U,$H359)&lt;&gt;"Disqualified — Free Game",INDEX('Game Records'!$H:$H,$H359)=""),"Entry Fee; ","")&amp;IF(AND(INDEX('Game Records'!$U:$U,$H359)&lt;&gt;"Subscription",INDEX('Game Records'!$U:$U,$H359)&lt;&gt;"Free Game",INDEX('Game Records'!$U:$U,$H359)&lt;&gt;"Disqualified — Free Game",INDEX('Game Records'!$I:$I,$H359)=""),"Eligible Players; ","")&amp;IF(AND(INDEX('Game Records'!$U:$U,$H359)&lt;&gt;"Subscription",INDEX('Game Records'!$U:$U,$H359)&lt;&gt;"Free Game",INDEX('Game Records'!$U:$U,$H359)&lt;&gt;"Disqualified — Free Game",INDEX('Game Records'!$J:$J,$H359)=""),"Total Players; ","")&amp;IF(AND(LOWER(INDEX('Game Records'!$D:$D,$H359)&amp;"")="finalized",LOWER(INDEX('Game Records'!$L:$L,$H359)&amp;"")&lt;&gt;"yes",INDEX('Game Records'!$U:$U,$H359)&lt;&gt;"Subscription",INDEX('Game Records'!$U:$U,$H359)&lt;&gt;"Free Game",INDEX('Game Records'!$U:$U,$H359)&lt;&gt;"Disqualified — Free Game",INDEX('Game Records'!$K:$K,$H359)=""),"Final Payout; ","")&amp;IF(AND(LOWER(INDEX('Game Records'!$D:$D,$H359)&amp;"")="finalized",INDEX('Game Records'!$U:$U,$H359)&lt;&gt;"Subscription",INDEX('Game Records'!$U:$U,$H359)&lt;&gt;"Free Game",INDEX('Game Records'!$U:$U,$H359)&lt;&gt;"Disqualified — Free Game",OR(INDEX('Game Records'!$L:$L,$H359)="",LOWER(INDEX('Game Records'!$L:$L,$H359)&amp;"")="n/a")),"Disqualified Status; ",""))</f>
        <v/>
      </c>
      <c r="G359" s="23" t="str">
        <f t="array" ref="G359">IF($H359="","",IFERROR(INDEX('Game Records'!$M:$M,$H359),""))</f>
        <v/>
      </c>
      <c r="H359" s="3"/>
    </row>
    <row r="360" ht="24.0" customHeight="1">
      <c r="A360" s="18" t="str">
        <f t="shared" si="1"/>
        <v/>
      </c>
      <c r="B360" s="18" t="str">
        <f t="shared" si="2"/>
        <v/>
      </c>
      <c r="C360" s="23" t="str">
        <f t="array" ref="C360">IF($H360="","",IFERROR(INDEX('Game Records'!$A:$A,$H360),""))</f>
        <v/>
      </c>
      <c r="D360" s="23" t="str">
        <f t="array" ref="D360">IF($H360="","",IFERROR(INDEX('Game Records'!$U:$U,$H360),""))</f>
        <v/>
      </c>
      <c r="E360" s="23" t="str">
        <f t="array" ref="E360">IF($H360="","",LET(r,$H360,mode,LOWER(INDEX('Game Records'!$D:$D,r)&amp;""),endDate,INDEX('Game Records'!$C:$C,r),IF(mode="estimate",IF(endDate="","Estimate — End Date missing",IF(NOT(ISNUMBER(endDate)),"Estimate — Check End Date",IF(INT(endDate)&gt;=TODAY(),"In Progress — ends "&amp;TEXT(endDate,"mmm d, yyyy"),"Ready to Finalize"))),IF($F360="","No Highlighted Fields","Highlighted Fields Present"))))</f>
        <v/>
      </c>
      <c r="F360" s="23" t="str">
        <f t="array" ref="F360">IF($H360="","",IF(OR(NOT(_xlfn.ISFORMULA(INDEX('Game Records'!$N:$N,$H360))),NOT(_xlfn.ISFORMULA(INDEX('Game Records'!$O:$O,$H360))),NOT(_xlfn.ISFORMULA(INDEX('Game Records'!$P:$P,$H360))),NOT(_xlfn.ISFORMULA(INDEX('Game Records'!$Q:$Q,$H360))),NOT(_xlfn.ISFORMULA(INDEX('Game Records'!$R:$R,$H360))),NOT(_xlfn.ISFORMULA(INDEX('Game Records'!$S:$S,$H360))),NOT(_xlfn.ISFORMULA(INDEX('Game Records'!$T:$T,$H360))),NOT(_xlfn.ISFORMULA(INDEX('Game Records'!$U:$U,$H360))),NOT(_xlfn.ISFORMULA(INDEX('Game Records'!$V:$V,$H360))),NOT(_xlfn.ISFORMULA(INDEX('Game Records'!$W:$W,$H360))),NOT(_xlfn.ISFORMULA(INDEX('Game Records'!$X:$X,$H360))),NOT(_xlfn.ISFORMULA(INDEX('Game Records'!$Y:$Y,$H360))),NOT(_xlfn.ISFORMULA(INDEX('Game Records'!$Z:$Z,$H360)))),"","")&amp;IF(INDEX('Game Records'!$B:$B,$H360)="","Start Date; ","")&amp;IF(INDEX('Game Records'!$C:$C,$H360)="","End Date; ","")&amp;IF(AND(INDEX('Game Records'!$U:$U,$H360)&lt;&gt;"Subscription",INDEX('Game Records'!$U:$U,$H360)&lt;&gt;"Free Game",INDEX('Game Records'!$U:$U,$H360)&lt;&gt;"Disqualified — Free Game",OR(INDEX('Game Records'!$D:$D,$H360)="",LOWER(INDEX('Game Records'!$D:$D,$H360)&amp;"")="n/a")),"Entry Mode; ","")&amp;IF(AND(INDEX('Game Records'!$U:$U,$H360)&lt;&gt;"Subscription",INDEX('Game Records'!$U:$U,$H360)&lt;&gt;"Free Game",INDEX('Game Records'!$U:$U,$H360)&lt;&gt;"Disqualified — Free Game",OR(INDEX('Game Records'!$E:$E,$H360)="",LOWER(INDEX('Game Records'!$E:$E,$H360)&amp;"")="n/a")),"Game Type; ","")&amp;IF(INDEX('Game Records'!$F:$F,$H360)="","Payment Type; ","")&amp;IF(AND(INDEX('Game Records'!$U:$U,$H360)&lt;&gt;"Subscription",INDEX('Game Records'!$U:$U,$H360)&lt;&gt;"Free Game",INDEX('Game Records'!$U:$U,$H360)&lt;&gt;"Disqualified — Free Game",INDEX('Game Records'!$G:$G,$H360)=""),"Gross Pot; ","")&amp;IF(AND(INDEX('Game Records'!$U:$U,$H360)&lt;&gt;"Free Game",INDEX('Game Records'!$U:$U,$H360)&lt;&gt;"Disqualified — Free Game",INDEX('Game Records'!$H:$H,$H360)=""),"Entry Fee; ","")&amp;IF(AND(INDEX('Game Records'!$U:$U,$H360)&lt;&gt;"Subscription",INDEX('Game Records'!$U:$U,$H360)&lt;&gt;"Free Game",INDEX('Game Records'!$U:$U,$H360)&lt;&gt;"Disqualified — Free Game",INDEX('Game Records'!$I:$I,$H360)=""),"Eligible Players; ","")&amp;IF(AND(INDEX('Game Records'!$U:$U,$H360)&lt;&gt;"Subscription",INDEX('Game Records'!$U:$U,$H360)&lt;&gt;"Free Game",INDEX('Game Records'!$U:$U,$H360)&lt;&gt;"Disqualified — Free Game",INDEX('Game Records'!$J:$J,$H360)=""),"Total Players; ","")&amp;IF(AND(LOWER(INDEX('Game Records'!$D:$D,$H360)&amp;"")="finalized",LOWER(INDEX('Game Records'!$L:$L,$H360)&amp;"")&lt;&gt;"yes",INDEX('Game Records'!$U:$U,$H360)&lt;&gt;"Subscription",INDEX('Game Records'!$U:$U,$H360)&lt;&gt;"Free Game",INDEX('Game Records'!$U:$U,$H360)&lt;&gt;"Disqualified — Free Game",INDEX('Game Records'!$K:$K,$H360)=""),"Final Payout; ","")&amp;IF(AND(LOWER(INDEX('Game Records'!$D:$D,$H360)&amp;"")="finalized",INDEX('Game Records'!$U:$U,$H360)&lt;&gt;"Subscription",INDEX('Game Records'!$U:$U,$H360)&lt;&gt;"Free Game",INDEX('Game Records'!$U:$U,$H360)&lt;&gt;"Disqualified — Free Game",OR(INDEX('Game Records'!$L:$L,$H360)="",LOWER(INDEX('Game Records'!$L:$L,$H360)&amp;"")="n/a")),"Disqualified Status; ",""))</f>
        <v/>
      </c>
      <c r="G360" s="23" t="str">
        <f t="array" ref="G360">IF($H360="","",IFERROR(INDEX('Game Records'!$M:$M,$H360),""))</f>
        <v/>
      </c>
      <c r="H360" s="3"/>
    </row>
    <row r="361" ht="24.0" customHeight="1">
      <c r="A361" s="18" t="str">
        <f t="shared" si="1"/>
        <v/>
      </c>
      <c r="B361" s="18" t="str">
        <f t="shared" si="2"/>
        <v/>
      </c>
      <c r="C361" s="23" t="str">
        <f t="array" ref="C361">IF($H361="","",IFERROR(INDEX('Game Records'!$A:$A,$H361),""))</f>
        <v/>
      </c>
      <c r="D361" s="23" t="str">
        <f t="array" ref="D361">IF($H361="","",IFERROR(INDEX('Game Records'!$U:$U,$H361),""))</f>
        <v/>
      </c>
      <c r="E361" s="23" t="str">
        <f t="array" ref="E361">IF($H361="","",LET(r,$H361,mode,LOWER(INDEX('Game Records'!$D:$D,r)&amp;""),endDate,INDEX('Game Records'!$C:$C,r),IF(mode="estimate",IF(endDate="","Estimate — End Date missing",IF(NOT(ISNUMBER(endDate)),"Estimate — Check End Date",IF(INT(endDate)&gt;=TODAY(),"In Progress — ends "&amp;TEXT(endDate,"mmm d, yyyy"),"Ready to Finalize"))),IF($F361="","No Highlighted Fields","Highlighted Fields Present"))))</f>
        <v/>
      </c>
      <c r="F361" s="23" t="str">
        <f t="array" ref="F361">IF($H361="","",IF(OR(NOT(_xlfn.ISFORMULA(INDEX('Game Records'!$N:$N,$H361))),NOT(_xlfn.ISFORMULA(INDEX('Game Records'!$O:$O,$H361))),NOT(_xlfn.ISFORMULA(INDEX('Game Records'!$P:$P,$H361))),NOT(_xlfn.ISFORMULA(INDEX('Game Records'!$Q:$Q,$H361))),NOT(_xlfn.ISFORMULA(INDEX('Game Records'!$R:$R,$H361))),NOT(_xlfn.ISFORMULA(INDEX('Game Records'!$S:$S,$H361))),NOT(_xlfn.ISFORMULA(INDEX('Game Records'!$T:$T,$H361))),NOT(_xlfn.ISFORMULA(INDEX('Game Records'!$U:$U,$H361))),NOT(_xlfn.ISFORMULA(INDEX('Game Records'!$V:$V,$H361))),NOT(_xlfn.ISFORMULA(INDEX('Game Records'!$W:$W,$H361))),NOT(_xlfn.ISFORMULA(INDEX('Game Records'!$X:$X,$H361))),NOT(_xlfn.ISFORMULA(INDEX('Game Records'!$Y:$Y,$H361))),NOT(_xlfn.ISFORMULA(INDEX('Game Records'!$Z:$Z,$H361)))),"","")&amp;IF(INDEX('Game Records'!$B:$B,$H361)="","Start Date; ","")&amp;IF(INDEX('Game Records'!$C:$C,$H361)="","End Date; ","")&amp;IF(AND(INDEX('Game Records'!$U:$U,$H361)&lt;&gt;"Subscription",INDEX('Game Records'!$U:$U,$H361)&lt;&gt;"Free Game",INDEX('Game Records'!$U:$U,$H361)&lt;&gt;"Disqualified — Free Game",OR(INDEX('Game Records'!$D:$D,$H361)="",LOWER(INDEX('Game Records'!$D:$D,$H361)&amp;"")="n/a")),"Entry Mode; ","")&amp;IF(AND(INDEX('Game Records'!$U:$U,$H361)&lt;&gt;"Subscription",INDEX('Game Records'!$U:$U,$H361)&lt;&gt;"Free Game",INDEX('Game Records'!$U:$U,$H361)&lt;&gt;"Disqualified — Free Game",OR(INDEX('Game Records'!$E:$E,$H361)="",LOWER(INDEX('Game Records'!$E:$E,$H361)&amp;"")="n/a")),"Game Type; ","")&amp;IF(INDEX('Game Records'!$F:$F,$H361)="","Payment Type; ","")&amp;IF(AND(INDEX('Game Records'!$U:$U,$H361)&lt;&gt;"Subscription",INDEX('Game Records'!$U:$U,$H361)&lt;&gt;"Free Game",INDEX('Game Records'!$U:$U,$H361)&lt;&gt;"Disqualified — Free Game",INDEX('Game Records'!$G:$G,$H361)=""),"Gross Pot; ","")&amp;IF(AND(INDEX('Game Records'!$U:$U,$H361)&lt;&gt;"Free Game",INDEX('Game Records'!$U:$U,$H361)&lt;&gt;"Disqualified — Free Game",INDEX('Game Records'!$H:$H,$H361)=""),"Entry Fee; ","")&amp;IF(AND(INDEX('Game Records'!$U:$U,$H361)&lt;&gt;"Subscription",INDEX('Game Records'!$U:$U,$H361)&lt;&gt;"Free Game",INDEX('Game Records'!$U:$U,$H361)&lt;&gt;"Disqualified — Free Game",INDEX('Game Records'!$I:$I,$H361)=""),"Eligible Players; ","")&amp;IF(AND(INDEX('Game Records'!$U:$U,$H361)&lt;&gt;"Subscription",INDEX('Game Records'!$U:$U,$H361)&lt;&gt;"Free Game",INDEX('Game Records'!$U:$U,$H361)&lt;&gt;"Disqualified — Free Game",INDEX('Game Records'!$J:$J,$H361)=""),"Total Players; ","")&amp;IF(AND(LOWER(INDEX('Game Records'!$D:$D,$H361)&amp;"")="finalized",LOWER(INDEX('Game Records'!$L:$L,$H361)&amp;"")&lt;&gt;"yes",INDEX('Game Records'!$U:$U,$H361)&lt;&gt;"Subscription",INDEX('Game Records'!$U:$U,$H361)&lt;&gt;"Free Game",INDEX('Game Records'!$U:$U,$H361)&lt;&gt;"Disqualified — Free Game",INDEX('Game Records'!$K:$K,$H361)=""),"Final Payout; ","")&amp;IF(AND(LOWER(INDEX('Game Records'!$D:$D,$H361)&amp;"")="finalized",INDEX('Game Records'!$U:$U,$H361)&lt;&gt;"Subscription",INDEX('Game Records'!$U:$U,$H361)&lt;&gt;"Free Game",INDEX('Game Records'!$U:$U,$H361)&lt;&gt;"Disqualified — Free Game",OR(INDEX('Game Records'!$L:$L,$H361)="",LOWER(INDEX('Game Records'!$L:$L,$H361)&amp;"")="n/a")),"Disqualified Status; ",""))</f>
        <v/>
      </c>
      <c r="G361" s="23" t="str">
        <f t="array" ref="G361">IF($H361="","",IFERROR(INDEX('Game Records'!$M:$M,$H361),""))</f>
        <v/>
      </c>
      <c r="H361" s="3"/>
    </row>
    <row r="362" ht="24.0" customHeight="1">
      <c r="A362" s="18" t="str">
        <f t="shared" si="1"/>
        <v/>
      </c>
      <c r="B362" s="18" t="str">
        <f t="shared" si="2"/>
        <v/>
      </c>
      <c r="C362" s="23" t="str">
        <f t="array" ref="C362">IF($H362="","",IFERROR(INDEX('Game Records'!$A:$A,$H362),""))</f>
        <v/>
      </c>
      <c r="D362" s="23" t="str">
        <f t="array" ref="D362">IF($H362="","",IFERROR(INDEX('Game Records'!$U:$U,$H362),""))</f>
        <v/>
      </c>
      <c r="E362" s="23" t="str">
        <f t="array" ref="E362">IF($H362="","",LET(r,$H362,mode,LOWER(INDEX('Game Records'!$D:$D,r)&amp;""),endDate,INDEX('Game Records'!$C:$C,r),IF(mode="estimate",IF(endDate="","Estimate — End Date missing",IF(NOT(ISNUMBER(endDate)),"Estimate — Check End Date",IF(INT(endDate)&gt;=TODAY(),"In Progress — ends "&amp;TEXT(endDate,"mmm d, yyyy"),"Ready to Finalize"))),IF($F362="","No Highlighted Fields","Highlighted Fields Present"))))</f>
        <v/>
      </c>
      <c r="F362" s="23" t="str">
        <f t="array" ref="F362">IF($H362="","",IF(OR(NOT(_xlfn.ISFORMULA(INDEX('Game Records'!$N:$N,$H362))),NOT(_xlfn.ISFORMULA(INDEX('Game Records'!$O:$O,$H362))),NOT(_xlfn.ISFORMULA(INDEX('Game Records'!$P:$P,$H362))),NOT(_xlfn.ISFORMULA(INDEX('Game Records'!$Q:$Q,$H362))),NOT(_xlfn.ISFORMULA(INDEX('Game Records'!$R:$R,$H362))),NOT(_xlfn.ISFORMULA(INDEX('Game Records'!$S:$S,$H362))),NOT(_xlfn.ISFORMULA(INDEX('Game Records'!$T:$T,$H362))),NOT(_xlfn.ISFORMULA(INDEX('Game Records'!$U:$U,$H362))),NOT(_xlfn.ISFORMULA(INDEX('Game Records'!$V:$V,$H362))),NOT(_xlfn.ISFORMULA(INDEX('Game Records'!$W:$W,$H362))),NOT(_xlfn.ISFORMULA(INDEX('Game Records'!$X:$X,$H362))),NOT(_xlfn.ISFORMULA(INDEX('Game Records'!$Y:$Y,$H362))),NOT(_xlfn.ISFORMULA(INDEX('Game Records'!$Z:$Z,$H362)))),"","")&amp;IF(INDEX('Game Records'!$B:$B,$H362)="","Start Date; ","")&amp;IF(INDEX('Game Records'!$C:$C,$H362)="","End Date; ","")&amp;IF(AND(INDEX('Game Records'!$U:$U,$H362)&lt;&gt;"Subscription",INDEX('Game Records'!$U:$U,$H362)&lt;&gt;"Free Game",INDEX('Game Records'!$U:$U,$H362)&lt;&gt;"Disqualified — Free Game",OR(INDEX('Game Records'!$D:$D,$H362)="",LOWER(INDEX('Game Records'!$D:$D,$H362)&amp;"")="n/a")),"Entry Mode; ","")&amp;IF(AND(INDEX('Game Records'!$U:$U,$H362)&lt;&gt;"Subscription",INDEX('Game Records'!$U:$U,$H362)&lt;&gt;"Free Game",INDEX('Game Records'!$U:$U,$H362)&lt;&gt;"Disqualified — Free Game",OR(INDEX('Game Records'!$E:$E,$H362)="",LOWER(INDEX('Game Records'!$E:$E,$H362)&amp;"")="n/a")),"Game Type; ","")&amp;IF(INDEX('Game Records'!$F:$F,$H362)="","Payment Type; ","")&amp;IF(AND(INDEX('Game Records'!$U:$U,$H362)&lt;&gt;"Subscription",INDEX('Game Records'!$U:$U,$H362)&lt;&gt;"Free Game",INDEX('Game Records'!$U:$U,$H362)&lt;&gt;"Disqualified — Free Game",INDEX('Game Records'!$G:$G,$H362)=""),"Gross Pot; ","")&amp;IF(AND(INDEX('Game Records'!$U:$U,$H362)&lt;&gt;"Free Game",INDEX('Game Records'!$U:$U,$H362)&lt;&gt;"Disqualified — Free Game",INDEX('Game Records'!$H:$H,$H362)=""),"Entry Fee; ","")&amp;IF(AND(INDEX('Game Records'!$U:$U,$H362)&lt;&gt;"Subscription",INDEX('Game Records'!$U:$U,$H362)&lt;&gt;"Free Game",INDEX('Game Records'!$U:$U,$H362)&lt;&gt;"Disqualified — Free Game",INDEX('Game Records'!$I:$I,$H362)=""),"Eligible Players; ","")&amp;IF(AND(INDEX('Game Records'!$U:$U,$H362)&lt;&gt;"Subscription",INDEX('Game Records'!$U:$U,$H362)&lt;&gt;"Free Game",INDEX('Game Records'!$U:$U,$H362)&lt;&gt;"Disqualified — Free Game",INDEX('Game Records'!$J:$J,$H362)=""),"Total Players; ","")&amp;IF(AND(LOWER(INDEX('Game Records'!$D:$D,$H362)&amp;"")="finalized",LOWER(INDEX('Game Records'!$L:$L,$H362)&amp;"")&lt;&gt;"yes",INDEX('Game Records'!$U:$U,$H362)&lt;&gt;"Subscription",INDEX('Game Records'!$U:$U,$H362)&lt;&gt;"Free Game",INDEX('Game Records'!$U:$U,$H362)&lt;&gt;"Disqualified — Free Game",INDEX('Game Records'!$K:$K,$H362)=""),"Final Payout; ","")&amp;IF(AND(LOWER(INDEX('Game Records'!$D:$D,$H362)&amp;"")="finalized",INDEX('Game Records'!$U:$U,$H362)&lt;&gt;"Subscription",INDEX('Game Records'!$U:$U,$H362)&lt;&gt;"Free Game",INDEX('Game Records'!$U:$U,$H362)&lt;&gt;"Disqualified — Free Game",OR(INDEX('Game Records'!$L:$L,$H362)="",LOWER(INDEX('Game Records'!$L:$L,$H362)&amp;"")="n/a")),"Disqualified Status; ",""))</f>
        <v/>
      </c>
      <c r="G362" s="23" t="str">
        <f t="array" ref="G362">IF($H362="","",IFERROR(INDEX('Game Records'!$M:$M,$H362),""))</f>
        <v/>
      </c>
      <c r="H362" s="3"/>
    </row>
    <row r="363" ht="24.0" customHeight="1">
      <c r="A363" s="18" t="str">
        <f t="shared" si="1"/>
        <v/>
      </c>
      <c r="B363" s="18" t="str">
        <f t="shared" si="2"/>
        <v/>
      </c>
      <c r="C363" s="23" t="str">
        <f t="array" ref="C363">IF($H363="","",IFERROR(INDEX('Game Records'!$A:$A,$H363),""))</f>
        <v/>
      </c>
      <c r="D363" s="23" t="str">
        <f t="array" ref="D363">IF($H363="","",IFERROR(INDEX('Game Records'!$U:$U,$H363),""))</f>
        <v/>
      </c>
      <c r="E363" s="23" t="str">
        <f t="array" ref="E363">IF($H363="","",LET(r,$H363,mode,LOWER(INDEX('Game Records'!$D:$D,r)&amp;""),endDate,INDEX('Game Records'!$C:$C,r),IF(mode="estimate",IF(endDate="","Estimate — End Date missing",IF(NOT(ISNUMBER(endDate)),"Estimate — Check End Date",IF(INT(endDate)&gt;=TODAY(),"In Progress — ends "&amp;TEXT(endDate,"mmm d, yyyy"),"Ready to Finalize"))),IF($F363="","No Highlighted Fields","Highlighted Fields Present"))))</f>
        <v/>
      </c>
      <c r="F363" s="23" t="str">
        <f t="array" ref="F363">IF($H363="","",IF(OR(NOT(_xlfn.ISFORMULA(INDEX('Game Records'!$N:$N,$H363))),NOT(_xlfn.ISFORMULA(INDEX('Game Records'!$O:$O,$H363))),NOT(_xlfn.ISFORMULA(INDEX('Game Records'!$P:$P,$H363))),NOT(_xlfn.ISFORMULA(INDEX('Game Records'!$Q:$Q,$H363))),NOT(_xlfn.ISFORMULA(INDEX('Game Records'!$R:$R,$H363))),NOT(_xlfn.ISFORMULA(INDEX('Game Records'!$S:$S,$H363))),NOT(_xlfn.ISFORMULA(INDEX('Game Records'!$T:$T,$H363))),NOT(_xlfn.ISFORMULA(INDEX('Game Records'!$U:$U,$H363))),NOT(_xlfn.ISFORMULA(INDEX('Game Records'!$V:$V,$H363))),NOT(_xlfn.ISFORMULA(INDEX('Game Records'!$W:$W,$H363))),NOT(_xlfn.ISFORMULA(INDEX('Game Records'!$X:$X,$H363))),NOT(_xlfn.ISFORMULA(INDEX('Game Records'!$Y:$Y,$H363))),NOT(_xlfn.ISFORMULA(INDEX('Game Records'!$Z:$Z,$H363)))),"","")&amp;IF(INDEX('Game Records'!$B:$B,$H363)="","Start Date; ","")&amp;IF(INDEX('Game Records'!$C:$C,$H363)="","End Date; ","")&amp;IF(AND(INDEX('Game Records'!$U:$U,$H363)&lt;&gt;"Subscription",INDEX('Game Records'!$U:$U,$H363)&lt;&gt;"Free Game",INDEX('Game Records'!$U:$U,$H363)&lt;&gt;"Disqualified — Free Game",OR(INDEX('Game Records'!$D:$D,$H363)="",LOWER(INDEX('Game Records'!$D:$D,$H363)&amp;"")="n/a")),"Entry Mode; ","")&amp;IF(AND(INDEX('Game Records'!$U:$U,$H363)&lt;&gt;"Subscription",INDEX('Game Records'!$U:$U,$H363)&lt;&gt;"Free Game",INDEX('Game Records'!$U:$U,$H363)&lt;&gt;"Disqualified — Free Game",OR(INDEX('Game Records'!$E:$E,$H363)="",LOWER(INDEX('Game Records'!$E:$E,$H363)&amp;"")="n/a")),"Game Type; ","")&amp;IF(INDEX('Game Records'!$F:$F,$H363)="","Payment Type; ","")&amp;IF(AND(INDEX('Game Records'!$U:$U,$H363)&lt;&gt;"Subscription",INDEX('Game Records'!$U:$U,$H363)&lt;&gt;"Free Game",INDEX('Game Records'!$U:$U,$H363)&lt;&gt;"Disqualified — Free Game",INDEX('Game Records'!$G:$G,$H363)=""),"Gross Pot; ","")&amp;IF(AND(INDEX('Game Records'!$U:$U,$H363)&lt;&gt;"Free Game",INDEX('Game Records'!$U:$U,$H363)&lt;&gt;"Disqualified — Free Game",INDEX('Game Records'!$H:$H,$H363)=""),"Entry Fee; ","")&amp;IF(AND(INDEX('Game Records'!$U:$U,$H363)&lt;&gt;"Subscription",INDEX('Game Records'!$U:$U,$H363)&lt;&gt;"Free Game",INDEX('Game Records'!$U:$U,$H363)&lt;&gt;"Disqualified — Free Game",INDEX('Game Records'!$I:$I,$H363)=""),"Eligible Players; ","")&amp;IF(AND(INDEX('Game Records'!$U:$U,$H363)&lt;&gt;"Subscription",INDEX('Game Records'!$U:$U,$H363)&lt;&gt;"Free Game",INDEX('Game Records'!$U:$U,$H363)&lt;&gt;"Disqualified — Free Game",INDEX('Game Records'!$J:$J,$H363)=""),"Total Players; ","")&amp;IF(AND(LOWER(INDEX('Game Records'!$D:$D,$H363)&amp;"")="finalized",LOWER(INDEX('Game Records'!$L:$L,$H363)&amp;"")&lt;&gt;"yes",INDEX('Game Records'!$U:$U,$H363)&lt;&gt;"Subscription",INDEX('Game Records'!$U:$U,$H363)&lt;&gt;"Free Game",INDEX('Game Records'!$U:$U,$H363)&lt;&gt;"Disqualified — Free Game",INDEX('Game Records'!$K:$K,$H363)=""),"Final Payout; ","")&amp;IF(AND(LOWER(INDEX('Game Records'!$D:$D,$H363)&amp;"")="finalized",INDEX('Game Records'!$U:$U,$H363)&lt;&gt;"Subscription",INDEX('Game Records'!$U:$U,$H363)&lt;&gt;"Free Game",INDEX('Game Records'!$U:$U,$H363)&lt;&gt;"Disqualified — Free Game",OR(INDEX('Game Records'!$L:$L,$H363)="",LOWER(INDEX('Game Records'!$L:$L,$H363)&amp;"")="n/a")),"Disqualified Status; ",""))</f>
        <v/>
      </c>
      <c r="G363" s="23" t="str">
        <f t="array" ref="G363">IF($H363="","",IFERROR(INDEX('Game Records'!$M:$M,$H363),""))</f>
        <v/>
      </c>
      <c r="H363" s="3"/>
    </row>
    <row r="364" ht="24.0" customHeight="1">
      <c r="A364" s="18" t="str">
        <f t="shared" si="1"/>
        <v/>
      </c>
      <c r="B364" s="18" t="str">
        <f t="shared" si="2"/>
        <v/>
      </c>
      <c r="C364" s="23" t="str">
        <f t="array" ref="C364">IF($H364="","",IFERROR(INDEX('Game Records'!$A:$A,$H364),""))</f>
        <v/>
      </c>
      <c r="D364" s="23" t="str">
        <f t="array" ref="D364">IF($H364="","",IFERROR(INDEX('Game Records'!$U:$U,$H364),""))</f>
        <v/>
      </c>
      <c r="E364" s="23" t="str">
        <f t="array" ref="E364">IF($H364="","",LET(r,$H364,mode,LOWER(INDEX('Game Records'!$D:$D,r)&amp;""),endDate,INDEX('Game Records'!$C:$C,r),IF(mode="estimate",IF(endDate="","Estimate — End Date missing",IF(NOT(ISNUMBER(endDate)),"Estimate — Check End Date",IF(INT(endDate)&gt;=TODAY(),"In Progress — ends "&amp;TEXT(endDate,"mmm d, yyyy"),"Ready to Finalize"))),IF($F364="","No Highlighted Fields","Highlighted Fields Present"))))</f>
        <v/>
      </c>
      <c r="F364" s="23" t="str">
        <f t="array" ref="F364">IF($H364="","",IF(OR(NOT(_xlfn.ISFORMULA(INDEX('Game Records'!$N:$N,$H364))),NOT(_xlfn.ISFORMULA(INDEX('Game Records'!$O:$O,$H364))),NOT(_xlfn.ISFORMULA(INDEX('Game Records'!$P:$P,$H364))),NOT(_xlfn.ISFORMULA(INDEX('Game Records'!$Q:$Q,$H364))),NOT(_xlfn.ISFORMULA(INDEX('Game Records'!$R:$R,$H364))),NOT(_xlfn.ISFORMULA(INDEX('Game Records'!$S:$S,$H364))),NOT(_xlfn.ISFORMULA(INDEX('Game Records'!$T:$T,$H364))),NOT(_xlfn.ISFORMULA(INDEX('Game Records'!$U:$U,$H364))),NOT(_xlfn.ISFORMULA(INDEX('Game Records'!$V:$V,$H364))),NOT(_xlfn.ISFORMULA(INDEX('Game Records'!$W:$W,$H364))),NOT(_xlfn.ISFORMULA(INDEX('Game Records'!$X:$X,$H364))),NOT(_xlfn.ISFORMULA(INDEX('Game Records'!$Y:$Y,$H364))),NOT(_xlfn.ISFORMULA(INDEX('Game Records'!$Z:$Z,$H364)))),"","")&amp;IF(INDEX('Game Records'!$B:$B,$H364)="","Start Date; ","")&amp;IF(INDEX('Game Records'!$C:$C,$H364)="","End Date; ","")&amp;IF(AND(INDEX('Game Records'!$U:$U,$H364)&lt;&gt;"Subscription",INDEX('Game Records'!$U:$U,$H364)&lt;&gt;"Free Game",INDEX('Game Records'!$U:$U,$H364)&lt;&gt;"Disqualified — Free Game",OR(INDEX('Game Records'!$D:$D,$H364)="",LOWER(INDEX('Game Records'!$D:$D,$H364)&amp;"")="n/a")),"Entry Mode; ","")&amp;IF(AND(INDEX('Game Records'!$U:$U,$H364)&lt;&gt;"Subscription",INDEX('Game Records'!$U:$U,$H364)&lt;&gt;"Free Game",INDEX('Game Records'!$U:$U,$H364)&lt;&gt;"Disqualified — Free Game",OR(INDEX('Game Records'!$E:$E,$H364)="",LOWER(INDEX('Game Records'!$E:$E,$H364)&amp;"")="n/a")),"Game Type; ","")&amp;IF(INDEX('Game Records'!$F:$F,$H364)="","Payment Type; ","")&amp;IF(AND(INDEX('Game Records'!$U:$U,$H364)&lt;&gt;"Subscription",INDEX('Game Records'!$U:$U,$H364)&lt;&gt;"Free Game",INDEX('Game Records'!$U:$U,$H364)&lt;&gt;"Disqualified — Free Game",INDEX('Game Records'!$G:$G,$H364)=""),"Gross Pot; ","")&amp;IF(AND(INDEX('Game Records'!$U:$U,$H364)&lt;&gt;"Free Game",INDEX('Game Records'!$U:$U,$H364)&lt;&gt;"Disqualified — Free Game",INDEX('Game Records'!$H:$H,$H364)=""),"Entry Fee; ","")&amp;IF(AND(INDEX('Game Records'!$U:$U,$H364)&lt;&gt;"Subscription",INDEX('Game Records'!$U:$U,$H364)&lt;&gt;"Free Game",INDEX('Game Records'!$U:$U,$H364)&lt;&gt;"Disqualified — Free Game",INDEX('Game Records'!$I:$I,$H364)=""),"Eligible Players; ","")&amp;IF(AND(INDEX('Game Records'!$U:$U,$H364)&lt;&gt;"Subscription",INDEX('Game Records'!$U:$U,$H364)&lt;&gt;"Free Game",INDEX('Game Records'!$U:$U,$H364)&lt;&gt;"Disqualified — Free Game",INDEX('Game Records'!$J:$J,$H364)=""),"Total Players; ","")&amp;IF(AND(LOWER(INDEX('Game Records'!$D:$D,$H364)&amp;"")="finalized",LOWER(INDEX('Game Records'!$L:$L,$H364)&amp;"")&lt;&gt;"yes",INDEX('Game Records'!$U:$U,$H364)&lt;&gt;"Subscription",INDEX('Game Records'!$U:$U,$H364)&lt;&gt;"Free Game",INDEX('Game Records'!$U:$U,$H364)&lt;&gt;"Disqualified — Free Game",INDEX('Game Records'!$K:$K,$H364)=""),"Final Payout; ","")&amp;IF(AND(LOWER(INDEX('Game Records'!$D:$D,$H364)&amp;"")="finalized",INDEX('Game Records'!$U:$U,$H364)&lt;&gt;"Subscription",INDEX('Game Records'!$U:$U,$H364)&lt;&gt;"Free Game",INDEX('Game Records'!$U:$U,$H364)&lt;&gt;"Disqualified — Free Game",OR(INDEX('Game Records'!$L:$L,$H364)="",LOWER(INDEX('Game Records'!$L:$L,$H364)&amp;"")="n/a")),"Disqualified Status; ",""))</f>
        <v/>
      </c>
      <c r="G364" s="23" t="str">
        <f t="array" ref="G364">IF($H364="","",IFERROR(INDEX('Game Records'!$M:$M,$H364),""))</f>
        <v/>
      </c>
      <c r="H364" s="3"/>
    </row>
    <row r="365" ht="24.0" customHeight="1">
      <c r="A365" s="18" t="str">
        <f t="shared" si="1"/>
        <v/>
      </c>
      <c r="B365" s="18" t="str">
        <f t="shared" si="2"/>
        <v/>
      </c>
      <c r="C365" s="23" t="str">
        <f t="array" ref="C365">IF($H365="","",IFERROR(INDEX('Game Records'!$A:$A,$H365),""))</f>
        <v/>
      </c>
      <c r="D365" s="23" t="str">
        <f t="array" ref="D365">IF($H365="","",IFERROR(INDEX('Game Records'!$U:$U,$H365),""))</f>
        <v/>
      </c>
      <c r="E365" s="23" t="str">
        <f t="array" ref="E365">IF($H365="","",LET(r,$H365,mode,LOWER(INDEX('Game Records'!$D:$D,r)&amp;""),endDate,INDEX('Game Records'!$C:$C,r),IF(mode="estimate",IF(endDate="","Estimate — End Date missing",IF(NOT(ISNUMBER(endDate)),"Estimate — Check End Date",IF(INT(endDate)&gt;=TODAY(),"In Progress — ends "&amp;TEXT(endDate,"mmm d, yyyy"),"Ready to Finalize"))),IF($F365="","No Highlighted Fields","Highlighted Fields Present"))))</f>
        <v/>
      </c>
      <c r="F365" s="23" t="str">
        <f t="array" ref="F365">IF($H365="","",IF(OR(NOT(_xlfn.ISFORMULA(INDEX('Game Records'!$N:$N,$H365))),NOT(_xlfn.ISFORMULA(INDEX('Game Records'!$O:$O,$H365))),NOT(_xlfn.ISFORMULA(INDEX('Game Records'!$P:$P,$H365))),NOT(_xlfn.ISFORMULA(INDEX('Game Records'!$Q:$Q,$H365))),NOT(_xlfn.ISFORMULA(INDEX('Game Records'!$R:$R,$H365))),NOT(_xlfn.ISFORMULA(INDEX('Game Records'!$S:$S,$H365))),NOT(_xlfn.ISFORMULA(INDEX('Game Records'!$T:$T,$H365))),NOT(_xlfn.ISFORMULA(INDEX('Game Records'!$U:$U,$H365))),NOT(_xlfn.ISFORMULA(INDEX('Game Records'!$V:$V,$H365))),NOT(_xlfn.ISFORMULA(INDEX('Game Records'!$W:$W,$H365))),NOT(_xlfn.ISFORMULA(INDEX('Game Records'!$X:$X,$H365))),NOT(_xlfn.ISFORMULA(INDEX('Game Records'!$Y:$Y,$H365))),NOT(_xlfn.ISFORMULA(INDEX('Game Records'!$Z:$Z,$H365)))),"","")&amp;IF(INDEX('Game Records'!$B:$B,$H365)="","Start Date; ","")&amp;IF(INDEX('Game Records'!$C:$C,$H365)="","End Date; ","")&amp;IF(AND(INDEX('Game Records'!$U:$U,$H365)&lt;&gt;"Subscription",INDEX('Game Records'!$U:$U,$H365)&lt;&gt;"Free Game",INDEX('Game Records'!$U:$U,$H365)&lt;&gt;"Disqualified — Free Game",OR(INDEX('Game Records'!$D:$D,$H365)="",LOWER(INDEX('Game Records'!$D:$D,$H365)&amp;"")="n/a")),"Entry Mode; ","")&amp;IF(AND(INDEX('Game Records'!$U:$U,$H365)&lt;&gt;"Subscription",INDEX('Game Records'!$U:$U,$H365)&lt;&gt;"Free Game",INDEX('Game Records'!$U:$U,$H365)&lt;&gt;"Disqualified — Free Game",OR(INDEX('Game Records'!$E:$E,$H365)="",LOWER(INDEX('Game Records'!$E:$E,$H365)&amp;"")="n/a")),"Game Type; ","")&amp;IF(INDEX('Game Records'!$F:$F,$H365)="","Payment Type; ","")&amp;IF(AND(INDEX('Game Records'!$U:$U,$H365)&lt;&gt;"Subscription",INDEX('Game Records'!$U:$U,$H365)&lt;&gt;"Free Game",INDEX('Game Records'!$U:$U,$H365)&lt;&gt;"Disqualified — Free Game",INDEX('Game Records'!$G:$G,$H365)=""),"Gross Pot; ","")&amp;IF(AND(INDEX('Game Records'!$U:$U,$H365)&lt;&gt;"Free Game",INDEX('Game Records'!$U:$U,$H365)&lt;&gt;"Disqualified — Free Game",INDEX('Game Records'!$H:$H,$H365)=""),"Entry Fee; ","")&amp;IF(AND(INDEX('Game Records'!$U:$U,$H365)&lt;&gt;"Subscription",INDEX('Game Records'!$U:$U,$H365)&lt;&gt;"Free Game",INDEX('Game Records'!$U:$U,$H365)&lt;&gt;"Disqualified — Free Game",INDEX('Game Records'!$I:$I,$H365)=""),"Eligible Players; ","")&amp;IF(AND(INDEX('Game Records'!$U:$U,$H365)&lt;&gt;"Subscription",INDEX('Game Records'!$U:$U,$H365)&lt;&gt;"Free Game",INDEX('Game Records'!$U:$U,$H365)&lt;&gt;"Disqualified — Free Game",INDEX('Game Records'!$J:$J,$H365)=""),"Total Players; ","")&amp;IF(AND(LOWER(INDEX('Game Records'!$D:$D,$H365)&amp;"")="finalized",LOWER(INDEX('Game Records'!$L:$L,$H365)&amp;"")&lt;&gt;"yes",INDEX('Game Records'!$U:$U,$H365)&lt;&gt;"Subscription",INDEX('Game Records'!$U:$U,$H365)&lt;&gt;"Free Game",INDEX('Game Records'!$U:$U,$H365)&lt;&gt;"Disqualified — Free Game",INDEX('Game Records'!$K:$K,$H365)=""),"Final Payout; ","")&amp;IF(AND(LOWER(INDEX('Game Records'!$D:$D,$H365)&amp;"")="finalized",INDEX('Game Records'!$U:$U,$H365)&lt;&gt;"Subscription",INDEX('Game Records'!$U:$U,$H365)&lt;&gt;"Free Game",INDEX('Game Records'!$U:$U,$H365)&lt;&gt;"Disqualified — Free Game",OR(INDEX('Game Records'!$L:$L,$H365)="",LOWER(INDEX('Game Records'!$L:$L,$H365)&amp;"")="n/a")),"Disqualified Status; ",""))</f>
        <v/>
      </c>
      <c r="G365" s="23" t="str">
        <f t="array" ref="G365">IF($H365="","",IFERROR(INDEX('Game Records'!$M:$M,$H365),""))</f>
        <v/>
      </c>
      <c r="H365" s="3"/>
    </row>
    <row r="366" ht="24.0" customHeight="1">
      <c r="A366" s="18" t="str">
        <f t="shared" si="1"/>
        <v/>
      </c>
      <c r="B366" s="18" t="str">
        <f t="shared" si="2"/>
        <v/>
      </c>
      <c r="C366" s="23" t="str">
        <f t="array" ref="C366">IF($H366="","",IFERROR(INDEX('Game Records'!$A:$A,$H366),""))</f>
        <v/>
      </c>
      <c r="D366" s="23" t="str">
        <f t="array" ref="D366">IF($H366="","",IFERROR(INDEX('Game Records'!$U:$U,$H366),""))</f>
        <v/>
      </c>
      <c r="E366" s="23" t="str">
        <f t="array" ref="E366">IF($H366="","",LET(r,$H366,mode,LOWER(INDEX('Game Records'!$D:$D,r)&amp;""),endDate,INDEX('Game Records'!$C:$C,r),IF(mode="estimate",IF(endDate="","Estimate — End Date missing",IF(NOT(ISNUMBER(endDate)),"Estimate — Check End Date",IF(INT(endDate)&gt;=TODAY(),"In Progress — ends "&amp;TEXT(endDate,"mmm d, yyyy"),"Ready to Finalize"))),IF($F366="","No Highlighted Fields","Highlighted Fields Present"))))</f>
        <v/>
      </c>
      <c r="F366" s="23" t="str">
        <f t="array" ref="F366">IF($H366="","",IF(OR(NOT(_xlfn.ISFORMULA(INDEX('Game Records'!$N:$N,$H366))),NOT(_xlfn.ISFORMULA(INDEX('Game Records'!$O:$O,$H366))),NOT(_xlfn.ISFORMULA(INDEX('Game Records'!$P:$P,$H366))),NOT(_xlfn.ISFORMULA(INDEX('Game Records'!$Q:$Q,$H366))),NOT(_xlfn.ISFORMULA(INDEX('Game Records'!$R:$R,$H366))),NOT(_xlfn.ISFORMULA(INDEX('Game Records'!$S:$S,$H366))),NOT(_xlfn.ISFORMULA(INDEX('Game Records'!$T:$T,$H366))),NOT(_xlfn.ISFORMULA(INDEX('Game Records'!$U:$U,$H366))),NOT(_xlfn.ISFORMULA(INDEX('Game Records'!$V:$V,$H366))),NOT(_xlfn.ISFORMULA(INDEX('Game Records'!$W:$W,$H366))),NOT(_xlfn.ISFORMULA(INDEX('Game Records'!$X:$X,$H366))),NOT(_xlfn.ISFORMULA(INDEX('Game Records'!$Y:$Y,$H366))),NOT(_xlfn.ISFORMULA(INDEX('Game Records'!$Z:$Z,$H366)))),"","")&amp;IF(INDEX('Game Records'!$B:$B,$H366)="","Start Date; ","")&amp;IF(INDEX('Game Records'!$C:$C,$H366)="","End Date; ","")&amp;IF(AND(INDEX('Game Records'!$U:$U,$H366)&lt;&gt;"Subscription",INDEX('Game Records'!$U:$U,$H366)&lt;&gt;"Free Game",INDEX('Game Records'!$U:$U,$H366)&lt;&gt;"Disqualified — Free Game",OR(INDEX('Game Records'!$D:$D,$H366)="",LOWER(INDEX('Game Records'!$D:$D,$H366)&amp;"")="n/a")),"Entry Mode; ","")&amp;IF(AND(INDEX('Game Records'!$U:$U,$H366)&lt;&gt;"Subscription",INDEX('Game Records'!$U:$U,$H366)&lt;&gt;"Free Game",INDEX('Game Records'!$U:$U,$H366)&lt;&gt;"Disqualified — Free Game",OR(INDEX('Game Records'!$E:$E,$H366)="",LOWER(INDEX('Game Records'!$E:$E,$H366)&amp;"")="n/a")),"Game Type; ","")&amp;IF(INDEX('Game Records'!$F:$F,$H366)="","Payment Type; ","")&amp;IF(AND(INDEX('Game Records'!$U:$U,$H366)&lt;&gt;"Subscription",INDEX('Game Records'!$U:$U,$H366)&lt;&gt;"Free Game",INDEX('Game Records'!$U:$U,$H366)&lt;&gt;"Disqualified — Free Game",INDEX('Game Records'!$G:$G,$H366)=""),"Gross Pot; ","")&amp;IF(AND(INDEX('Game Records'!$U:$U,$H366)&lt;&gt;"Free Game",INDEX('Game Records'!$U:$U,$H366)&lt;&gt;"Disqualified — Free Game",INDEX('Game Records'!$H:$H,$H366)=""),"Entry Fee; ","")&amp;IF(AND(INDEX('Game Records'!$U:$U,$H366)&lt;&gt;"Subscription",INDEX('Game Records'!$U:$U,$H366)&lt;&gt;"Free Game",INDEX('Game Records'!$U:$U,$H366)&lt;&gt;"Disqualified — Free Game",INDEX('Game Records'!$I:$I,$H366)=""),"Eligible Players; ","")&amp;IF(AND(INDEX('Game Records'!$U:$U,$H366)&lt;&gt;"Subscription",INDEX('Game Records'!$U:$U,$H366)&lt;&gt;"Free Game",INDEX('Game Records'!$U:$U,$H366)&lt;&gt;"Disqualified — Free Game",INDEX('Game Records'!$J:$J,$H366)=""),"Total Players; ","")&amp;IF(AND(LOWER(INDEX('Game Records'!$D:$D,$H366)&amp;"")="finalized",LOWER(INDEX('Game Records'!$L:$L,$H366)&amp;"")&lt;&gt;"yes",INDEX('Game Records'!$U:$U,$H366)&lt;&gt;"Subscription",INDEX('Game Records'!$U:$U,$H366)&lt;&gt;"Free Game",INDEX('Game Records'!$U:$U,$H366)&lt;&gt;"Disqualified — Free Game",INDEX('Game Records'!$K:$K,$H366)=""),"Final Payout; ","")&amp;IF(AND(LOWER(INDEX('Game Records'!$D:$D,$H366)&amp;"")="finalized",INDEX('Game Records'!$U:$U,$H366)&lt;&gt;"Subscription",INDEX('Game Records'!$U:$U,$H366)&lt;&gt;"Free Game",INDEX('Game Records'!$U:$U,$H366)&lt;&gt;"Disqualified — Free Game",OR(INDEX('Game Records'!$L:$L,$H366)="",LOWER(INDEX('Game Records'!$L:$L,$H366)&amp;"")="n/a")),"Disqualified Status; ",""))</f>
        <v/>
      </c>
      <c r="G366" s="23" t="str">
        <f t="array" ref="G366">IF($H366="","",IFERROR(INDEX('Game Records'!$M:$M,$H366),""))</f>
        <v/>
      </c>
      <c r="H366" s="3"/>
    </row>
    <row r="367" ht="24.0" customHeight="1">
      <c r="A367" s="18" t="str">
        <f t="shared" si="1"/>
        <v/>
      </c>
      <c r="B367" s="18" t="str">
        <f t="shared" si="2"/>
        <v/>
      </c>
      <c r="C367" s="23" t="str">
        <f t="array" ref="C367">IF($H367="","",IFERROR(INDEX('Game Records'!$A:$A,$H367),""))</f>
        <v/>
      </c>
      <c r="D367" s="23" t="str">
        <f t="array" ref="D367">IF($H367="","",IFERROR(INDEX('Game Records'!$U:$U,$H367),""))</f>
        <v/>
      </c>
      <c r="E367" s="23" t="str">
        <f t="array" ref="E367">IF($H367="","",LET(r,$H367,mode,LOWER(INDEX('Game Records'!$D:$D,r)&amp;""),endDate,INDEX('Game Records'!$C:$C,r),IF(mode="estimate",IF(endDate="","Estimate — End Date missing",IF(NOT(ISNUMBER(endDate)),"Estimate — Check End Date",IF(INT(endDate)&gt;=TODAY(),"In Progress — ends "&amp;TEXT(endDate,"mmm d, yyyy"),"Ready to Finalize"))),IF($F367="","No Highlighted Fields","Highlighted Fields Present"))))</f>
        <v/>
      </c>
      <c r="F367" s="23" t="str">
        <f t="array" ref="F367">IF($H367="","",IF(OR(NOT(_xlfn.ISFORMULA(INDEX('Game Records'!$N:$N,$H367))),NOT(_xlfn.ISFORMULA(INDEX('Game Records'!$O:$O,$H367))),NOT(_xlfn.ISFORMULA(INDEX('Game Records'!$P:$P,$H367))),NOT(_xlfn.ISFORMULA(INDEX('Game Records'!$Q:$Q,$H367))),NOT(_xlfn.ISFORMULA(INDEX('Game Records'!$R:$R,$H367))),NOT(_xlfn.ISFORMULA(INDEX('Game Records'!$S:$S,$H367))),NOT(_xlfn.ISFORMULA(INDEX('Game Records'!$T:$T,$H367))),NOT(_xlfn.ISFORMULA(INDEX('Game Records'!$U:$U,$H367))),NOT(_xlfn.ISFORMULA(INDEX('Game Records'!$V:$V,$H367))),NOT(_xlfn.ISFORMULA(INDEX('Game Records'!$W:$W,$H367))),NOT(_xlfn.ISFORMULA(INDEX('Game Records'!$X:$X,$H367))),NOT(_xlfn.ISFORMULA(INDEX('Game Records'!$Y:$Y,$H367))),NOT(_xlfn.ISFORMULA(INDEX('Game Records'!$Z:$Z,$H367)))),"","")&amp;IF(INDEX('Game Records'!$B:$B,$H367)="","Start Date; ","")&amp;IF(INDEX('Game Records'!$C:$C,$H367)="","End Date; ","")&amp;IF(AND(INDEX('Game Records'!$U:$U,$H367)&lt;&gt;"Subscription",INDEX('Game Records'!$U:$U,$H367)&lt;&gt;"Free Game",INDEX('Game Records'!$U:$U,$H367)&lt;&gt;"Disqualified — Free Game",OR(INDEX('Game Records'!$D:$D,$H367)="",LOWER(INDEX('Game Records'!$D:$D,$H367)&amp;"")="n/a")),"Entry Mode; ","")&amp;IF(AND(INDEX('Game Records'!$U:$U,$H367)&lt;&gt;"Subscription",INDEX('Game Records'!$U:$U,$H367)&lt;&gt;"Free Game",INDEX('Game Records'!$U:$U,$H367)&lt;&gt;"Disqualified — Free Game",OR(INDEX('Game Records'!$E:$E,$H367)="",LOWER(INDEX('Game Records'!$E:$E,$H367)&amp;"")="n/a")),"Game Type; ","")&amp;IF(INDEX('Game Records'!$F:$F,$H367)="","Payment Type; ","")&amp;IF(AND(INDEX('Game Records'!$U:$U,$H367)&lt;&gt;"Subscription",INDEX('Game Records'!$U:$U,$H367)&lt;&gt;"Free Game",INDEX('Game Records'!$U:$U,$H367)&lt;&gt;"Disqualified — Free Game",INDEX('Game Records'!$G:$G,$H367)=""),"Gross Pot; ","")&amp;IF(AND(INDEX('Game Records'!$U:$U,$H367)&lt;&gt;"Free Game",INDEX('Game Records'!$U:$U,$H367)&lt;&gt;"Disqualified — Free Game",INDEX('Game Records'!$H:$H,$H367)=""),"Entry Fee; ","")&amp;IF(AND(INDEX('Game Records'!$U:$U,$H367)&lt;&gt;"Subscription",INDEX('Game Records'!$U:$U,$H367)&lt;&gt;"Free Game",INDEX('Game Records'!$U:$U,$H367)&lt;&gt;"Disqualified — Free Game",INDEX('Game Records'!$I:$I,$H367)=""),"Eligible Players; ","")&amp;IF(AND(INDEX('Game Records'!$U:$U,$H367)&lt;&gt;"Subscription",INDEX('Game Records'!$U:$U,$H367)&lt;&gt;"Free Game",INDEX('Game Records'!$U:$U,$H367)&lt;&gt;"Disqualified — Free Game",INDEX('Game Records'!$J:$J,$H367)=""),"Total Players; ","")&amp;IF(AND(LOWER(INDEX('Game Records'!$D:$D,$H367)&amp;"")="finalized",LOWER(INDEX('Game Records'!$L:$L,$H367)&amp;"")&lt;&gt;"yes",INDEX('Game Records'!$U:$U,$H367)&lt;&gt;"Subscription",INDEX('Game Records'!$U:$U,$H367)&lt;&gt;"Free Game",INDEX('Game Records'!$U:$U,$H367)&lt;&gt;"Disqualified — Free Game",INDEX('Game Records'!$K:$K,$H367)=""),"Final Payout; ","")&amp;IF(AND(LOWER(INDEX('Game Records'!$D:$D,$H367)&amp;"")="finalized",INDEX('Game Records'!$U:$U,$H367)&lt;&gt;"Subscription",INDEX('Game Records'!$U:$U,$H367)&lt;&gt;"Free Game",INDEX('Game Records'!$U:$U,$H367)&lt;&gt;"Disqualified — Free Game",OR(INDEX('Game Records'!$L:$L,$H367)="",LOWER(INDEX('Game Records'!$L:$L,$H367)&amp;"")="n/a")),"Disqualified Status; ",""))</f>
        <v/>
      </c>
      <c r="G367" s="23" t="str">
        <f t="array" ref="G367">IF($H367="","",IFERROR(INDEX('Game Records'!$M:$M,$H367),""))</f>
        <v/>
      </c>
      <c r="H367" s="3"/>
    </row>
    <row r="368" ht="24.0" customHeight="1">
      <c r="A368" s="18" t="str">
        <f t="shared" si="1"/>
        <v/>
      </c>
      <c r="B368" s="18" t="str">
        <f t="shared" si="2"/>
        <v/>
      </c>
      <c r="C368" s="23" t="str">
        <f t="array" ref="C368">IF($H368="","",IFERROR(INDEX('Game Records'!$A:$A,$H368),""))</f>
        <v/>
      </c>
      <c r="D368" s="23" t="str">
        <f t="array" ref="D368">IF($H368="","",IFERROR(INDEX('Game Records'!$U:$U,$H368),""))</f>
        <v/>
      </c>
      <c r="E368" s="23" t="str">
        <f t="array" ref="E368">IF($H368="","",LET(r,$H368,mode,LOWER(INDEX('Game Records'!$D:$D,r)&amp;""),endDate,INDEX('Game Records'!$C:$C,r),IF(mode="estimate",IF(endDate="","Estimate — End Date missing",IF(NOT(ISNUMBER(endDate)),"Estimate — Check End Date",IF(INT(endDate)&gt;=TODAY(),"In Progress — ends "&amp;TEXT(endDate,"mmm d, yyyy"),"Ready to Finalize"))),IF($F368="","No Highlighted Fields","Highlighted Fields Present"))))</f>
        <v/>
      </c>
      <c r="F368" s="23" t="str">
        <f t="array" ref="F368">IF($H368="","",IF(OR(NOT(_xlfn.ISFORMULA(INDEX('Game Records'!$N:$N,$H368))),NOT(_xlfn.ISFORMULA(INDEX('Game Records'!$O:$O,$H368))),NOT(_xlfn.ISFORMULA(INDEX('Game Records'!$P:$P,$H368))),NOT(_xlfn.ISFORMULA(INDEX('Game Records'!$Q:$Q,$H368))),NOT(_xlfn.ISFORMULA(INDEX('Game Records'!$R:$R,$H368))),NOT(_xlfn.ISFORMULA(INDEX('Game Records'!$S:$S,$H368))),NOT(_xlfn.ISFORMULA(INDEX('Game Records'!$T:$T,$H368))),NOT(_xlfn.ISFORMULA(INDEX('Game Records'!$U:$U,$H368))),NOT(_xlfn.ISFORMULA(INDEX('Game Records'!$V:$V,$H368))),NOT(_xlfn.ISFORMULA(INDEX('Game Records'!$W:$W,$H368))),NOT(_xlfn.ISFORMULA(INDEX('Game Records'!$X:$X,$H368))),NOT(_xlfn.ISFORMULA(INDEX('Game Records'!$Y:$Y,$H368))),NOT(_xlfn.ISFORMULA(INDEX('Game Records'!$Z:$Z,$H368)))),"","")&amp;IF(INDEX('Game Records'!$B:$B,$H368)="","Start Date; ","")&amp;IF(INDEX('Game Records'!$C:$C,$H368)="","End Date; ","")&amp;IF(AND(INDEX('Game Records'!$U:$U,$H368)&lt;&gt;"Subscription",INDEX('Game Records'!$U:$U,$H368)&lt;&gt;"Free Game",INDEX('Game Records'!$U:$U,$H368)&lt;&gt;"Disqualified — Free Game",OR(INDEX('Game Records'!$D:$D,$H368)="",LOWER(INDEX('Game Records'!$D:$D,$H368)&amp;"")="n/a")),"Entry Mode; ","")&amp;IF(AND(INDEX('Game Records'!$U:$U,$H368)&lt;&gt;"Subscription",INDEX('Game Records'!$U:$U,$H368)&lt;&gt;"Free Game",INDEX('Game Records'!$U:$U,$H368)&lt;&gt;"Disqualified — Free Game",OR(INDEX('Game Records'!$E:$E,$H368)="",LOWER(INDEX('Game Records'!$E:$E,$H368)&amp;"")="n/a")),"Game Type; ","")&amp;IF(INDEX('Game Records'!$F:$F,$H368)="","Payment Type; ","")&amp;IF(AND(INDEX('Game Records'!$U:$U,$H368)&lt;&gt;"Subscription",INDEX('Game Records'!$U:$U,$H368)&lt;&gt;"Free Game",INDEX('Game Records'!$U:$U,$H368)&lt;&gt;"Disqualified — Free Game",INDEX('Game Records'!$G:$G,$H368)=""),"Gross Pot; ","")&amp;IF(AND(INDEX('Game Records'!$U:$U,$H368)&lt;&gt;"Free Game",INDEX('Game Records'!$U:$U,$H368)&lt;&gt;"Disqualified — Free Game",INDEX('Game Records'!$H:$H,$H368)=""),"Entry Fee; ","")&amp;IF(AND(INDEX('Game Records'!$U:$U,$H368)&lt;&gt;"Subscription",INDEX('Game Records'!$U:$U,$H368)&lt;&gt;"Free Game",INDEX('Game Records'!$U:$U,$H368)&lt;&gt;"Disqualified — Free Game",INDEX('Game Records'!$I:$I,$H368)=""),"Eligible Players; ","")&amp;IF(AND(INDEX('Game Records'!$U:$U,$H368)&lt;&gt;"Subscription",INDEX('Game Records'!$U:$U,$H368)&lt;&gt;"Free Game",INDEX('Game Records'!$U:$U,$H368)&lt;&gt;"Disqualified — Free Game",INDEX('Game Records'!$J:$J,$H368)=""),"Total Players; ","")&amp;IF(AND(LOWER(INDEX('Game Records'!$D:$D,$H368)&amp;"")="finalized",LOWER(INDEX('Game Records'!$L:$L,$H368)&amp;"")&lt;&gt;"yes",INDEX('Game Records'!$U:$U,$H368)&lt;&gt;"Subscription",INDEX('Game Records'!$U:$U,$H368)&lt;&gt;"Free Game",INDEX('Game Records'!$U:$U,$H368)&lt;&gt;"Disqualified — Free Game",INDEX('Game Records'!$K:$K,$H368)=""),"Final Payout; ","")&amp;IF(AND(LOWER(INDEX('Game Records'!$D:$D,$H368)&amp;"")="finalized",INDEX('Game Records'!$U:$U,$H368)&lt;&gt;"Subscription",INDEX('Game Records'!$U:$U,$H368)&lt;&gt;"Free Game",INDEX('Game Records'!$U:$U,$H368)&lt;&gt;"Disqualified — Free Game",OR(INDEX('Game Records'!$L:$L,$H368)="",LOWER(INDEX('Game Records'!$L:$L,$H368)&amp;"")="n/a")),"Disqualified Status; ",""))</f>
        <v/>
      </c>
      <c r="G368" s="23" t="str">
        <f t="array" ref="G368">IF($H368="","",IFERROR(INDEX('Game Records'!$M:$M,$H368),""))</f>
        <v/>
      </c>
      <c r="H368" s="3"/>
    </row>
    <row r="369" ht="24.0" customHeight="1">
      <c r="A369" s="18" t="str">
        <f t="shared" si="1"/>
        <v/>
      </c>
      <c r="B369" s="18" t="str">
        <f t="shared" si="2"/>
        <v/>
      </c>
      <c r="C369" s="23" t="str">
        <f t="array" ref="C369">IF($H369="","",IFERROR(INDEX('Game Records'!$A:$A,$H369),""))</f>
        <v/>
      </c>
      <c r="D369" s="23" t="str">
        <f t="array" ref="D369">IF($H369="","",IFERROR(INDEX('Game Records'!$U:$U,$H369),""))</f>
        <v/>
      </c>
      <c r="E369" s="23" t="str">
        <f t="array" ref="E369">IF($H369="","",LET(r,$H369,mode,LOWER(INDEX('Game Records'!$D:$D,r)&amp;""),endDate,INDEX('Game Records'!$C:$C,r),IF(mode="estimate",IF(endDate="","Estimate — End Date missing",IF(NOT(ISNUMBER(endDate)),"Estimate — Check End Date",IF(INT(endDate)&gt;=TODAY(),"In Progress — ends "&amp;TEXT(endDate,"mmm d, yyyy"),"Ready to Finalize"))),IF($F369="","No Highlighted Fields","Highlighted Fields Present"))))</f>
        <v/>
      </c>
      <c r="F369" s="23" t="str">
        <f t="array" ref="F369">IF($H369="","",IF(OR(NOT(_xlfn.ISFORMULA(INDEX('Game Records'!$N:$N,$H369))),NOT(_xlfn.ISFORMULA(INDEX('Game Records'!$O:$O,$H369))),NOT(_xlfn.ISFORMULA(INDEX('Game Records'!$P:$P,$H369))),NOT(_xlfn.ISFORMULA(INDEX('Game Records'!$Q:$Q,$H369))),NOT(_xlfn.ISFORMULA(INDEX('Game Records'!$R:$R,$H369))),NOT(_xlfn.ISFORMULA(INDEX('Game Records'!$S:$S,$H369))),NOT(_xlfn.ISFORMULA(INDEX('Game Records'!$T:$T,$H369))),NOT(_xlfn.ISFORMULA(INDEX('Game Records'!$U:$U,$H369))),NOT(_xlfn.ISFORMULA(INDEX('Game Records'!$V:$V,$H369))),NOT(_xlfn.ISFORMULA(INDEX('Game Records'!$W:$W,$H369))),NOT(_xlfn.ISFORMULA(INDEX('Game Records'!$X:$X,$H369))),NOT(_xlfn.ISFORMULA(INDEX('Game Records'!$Y:$Y,$H369))),NOT(_xlfn.ISFORMULA(INDEX('Game Records'!$Z:$Z,$H369)))),"","")&amp;IF(INDEX('Game Records'!$B:$B,$H369)="","Start Date; ","")&amp;IF(INDEX('Game Records'!$C:$C,$H369)="","End Date; ","")&amp;IF(AND(INDEX('Game Records'!$U:$U,$H369)&lt;&gt;"Subscription",INDEX('Game Records'!$U:$U,$H369)&lt;&gt;"Free Game",INDEX('Game Records'!$U:$U,$H369)&lt;&gt;"Disqualified — Free Game",OR(INDEX('Game Records'!$D:$D,$H369)="",LOWER(INDEX('Game Records'!$D:$D,$H369)&amp;"")="n/a")),"Entry Mode; ","")&amp;IF(AND(INDEX('Game Records'!$U:$U,$H369)&lt;&gt;"Subscription",INDEX('Game Records'!$U:$U,$H369)&lt;&gt;"Free Game",INDEX('Game Records'!$U:$U,$H369)&lt;&gt;"Disqualified — Free Game",OR(INDEX('Game Records'!$E:$E,$H369)="",LOWER(INDEX('Game Records'!$E:$E,$H369)&amp;"")="n/a")),"Game Type; ","")&amp;IF(INDEX('Game Records'!$F:$F,$H369)="","Payment Type; ","")&amp;IF(AND(INDEX('Game Records'!$U:$U,$H369)&lt;&gt;"Subscription",INDEX('Game Records'!$U:$U,$H369)&lt;&gt;"Free Game",INDEX('Game Records'!$U:$U,$H369)&lt;&gt;"Disqualified — Free Game",INDEX('Game Records'!$G:$G,$H369)=""),"Gross Pot; ","")&amp;IF(AND(INDEX('Game Records'!$U:$U,$H369)&lt;&gt;"Free Game",INDEX('Game Records'!$U:$U,$H369)&lt;&gt;"Disqualified — Free Game",INDEX('Game Records'!$H:$H,$H369)=""),"Entry Fee; ","")&amp;IF(AND(INDEX('Game Records'!$U:$U,$H369)&lt;&gt;"Subscription",INDEX('Game Records'!$U:$U,$H369)&lt;&gt;"Free Game",INDEX('Game Records'!$U:$U,$H369)&lt;&gt;"Disqualified — Free Game",INDEX('Game Records'!$I:$I,$H369)=""),"Eligible Players; ","")&amp;IF(AND(INDEX('Game Records'!$U:$U,$H369)&lt;&gt;"Subscription",INDEX('Game Records'!$U:$U,$H369)&lt;&gt;"Free Game",INDEX('Game Records'!$U:$U,$H369)&lt;&gt;"Disqualified — Free Game",INDEX('Game Records'!$J:$J,$H369)=""),"Total Players; ","")&amp;IF(AND(LOWER(INDEX('Game Records'!$D:$D,$H369)&amp;"")="finalized",LOWER(INDEX('Game Records'!$L:$L,$H369)&amp;"")&lt;&gt;"yes",INDEX('Game Records'!$U:$U,$H369)&lt;&gt;"Subscription",INDEX('Game Records'!$U:$U,$H369)&lt;&gt;"Free Game",INDEX('Game Records'!$U:$U,$H369)&lt;&gt;"Disqualified — Free Game",INDEX('Game Records'!$K:$K,$H369)=""),"Final Payout; ","")&amp;IF(AND(LOWER(INDEX('Game Records'!$D:$D,$H369)&amp;"")="finalized",INDEX('Game Records'!$U:$U,$H369)&lt;&gt;"Subscription",INDEX('Game Records'!$U:$U,$H369)&lt;&gt;"Free Game",INDEX('Game Records'!$U:$U,$H369)&lt;&gt;"Disqualified — Free Game",OR(INDEX('Game Records'!$L:$L,$H369)="",LOWER(INDEX('Game Records'!$L:$L,$H369)&amp;"")="n/a")),"Disqualified Status; ",""))</f>
        <v/>
      </c>
      <c r="G369" s="23" t="str">
        <f t="array" ref="G369">IF($H369="","",IFERROR(INDEX('Game Records'!$M:$M,$H369),""))</f>
        <v/>
      </c>
      <c r="H369" s="3"/>
    </row>
    <row r="370" ht="24.0" customHeight="1">
      <c r="A370" s="18" t="str">
        <f t="shared" si="1"/>
        <v/>
      </c>
      <c r="B370" s="18" t="str">
        <f t="shared" si="2"/>
        <v/>
      </c>
      <c r="C370" s="23" t="str">
        <f t="array" ref="C370">IF($H370="","",IFERROR(INDEX('Game Records'!$A:$A,$H370),""))</f>
        <v/>
      </c>
      <c r="D370" s="23" t="str">
        <f t="array" ref="D370">IF($H370="","",IFERROR(INDEX('Game Records'!$U:$U,$H370),""))</f>
        <v/>
      </c>
      <c r="E370" s="23" t="str">
        <f t="array" ref="E370">IF($H370="","",LET(r,$H370,mode,LOWER(INDEX('Game Records'!$D:$D,r)&amp;""),endDate,INDEX('Game Records'!$C:$C,r),IF(mode="estimate",IF(endDate="","Estimate — End Date missing",IF(NOT(ISNUMBER(endDate)),"Estimate — Check End Date",IF(INT(endDate)&gt;=TODAY(),"In Progress — ends "&amp;TEXT(endDate,"mmm d, yyyy"),"Ready to Finalize"))),IF($F370="","No Highlighted Fields","Highlighted Fields Present"))))</f>
        <v/>
      </c>
      <c r="F370" s="23" t="str">
        <f t="array" ref="F370">IF($H370="","",IF(OR(NOT(_xlfn.ISFORMULA(INDEX('Game Records'!$N:$N,$H370))),NOT(_xlfn.ISFORMULA(INDEX('Game Records'!$O:$O,$H370))),NOT(_xlfn.ISFORMULA(INDEX('Game Records'!$P:$P,$H370))),NOT(_xlfn.ISFORMULA(INDEX('Game Records'!$Q:$Q,$H370))),NOT(_xlfn.ISFORMULA(INDEX('Game Records'!$R:$R,$H370))),NOT(_xlfn.ISFORMULA(INDEX('Game Records'!$S:$S,$H370))),NOT(_xlfn.ISFORMULA(INDEX('Game Records'!$T:$T,$H370))),NOT(_xlfn.ISFORMULA(INDEX('Game Records'!$U:$U,$H370))),NOT(_xlfn.ISFORMULA(INDEX('Game Records'!$V:$V,$H370))),NOT(_xlfn.ISFORMULA(INDEX('Game Records'!$W:$W,$H370))),NOT(_xlfn.ISFORMULA(INDEX('Game Records'!$X:$X,$H370))),NOT(_xlfn.ISFORMULA(INDEX('Game Records'!$Y:$Y,$H370))),NOT(_xlfn.ISFORMULA(INDEX('Game Records'!$Z:$Z,$H370)))),"","")&amp;IF(INDEX('Game Records'!$B:$B,$H370)="","Start Date; ","")&amp;IF(INDEX('Game Records'!$C:$C,$H370)="","End Date; ","")&amp;IF(AND(INDEX('Game Records'!$U:$U,$H370)&lt;&gt;"Subscription",INDEX('Game Records'!$U:$U,$H370)&lt;&gt;"Free Game",INDEX('Game Records'!$U:$U,$H370)&lt;&gt;"Disqualified — Free Game",OR(INDEX('Game Records'!$D:$D,$H370)="",LOWER(INDEX('Game Records'!$D:$D,$H370)&amp;"")="n/a")),"Entry Mode; ","")&amp;IF(AND(INDEX('Game Records'!$U:$U,$H370)&lt;&gt;"Subscription",INDEX('Game Records'!$U:$U,$H370)&lt;&gt;"Free Game",INDEX('Game Records'!$U:$U,$H370)&lt;&gt;"Disqualified — Free Game",OR(INDEX('Game Records'!$E:$E,$H370)="",LOWER(INDEX('Game Records'!$E:$E,$H370)&amp;"")="n/a")),"Game Type; ","")&amp;IF(INDEX('Game Records'!$F:$F,$H370)="","Payment Type; ","")&amp;IF(AND(INDEX('Game Records'!$U:$U,$H370)&lt;&gt;"Subscription",INDEX('Game Records'!$U:$U,$H370)&lt;&gt;"Free Game",INDEX('Game Records'!$U:$U,$H370)&lt;&gt;"Disqualified — Free Game",INDEX('Game Records'!$G:$G,$H370)=""),"Gross Pot; ","")&amp;IF(AND(INDEX('Game Records'!$U:$U,$H370)&lt;&gt;"Free Game",INDEX('Game Records'!$U:$U,$H370)&lt;&gt;"Disqualified — Free Game",INDEX('Game Records'!$H:$H,$H370)=""),"Entry Fee; ","")&amp;IF(AND(INDEX('Game Records'!$U:$U,$H370)&lt;&gt;"Subscription",INDEX('Game Records'!$U:$U,$H370)&lt;&gt;"Free Game",INDEX('Game Records'!$U:$U,$H370)&lt;&gt;"Disqualified — Free Game",INDEX('Game Records'!$I:$I,$H370)=""),"Eligible Players; ","")&amp;IF(AND(INDEX('Game Records'!$U:$U,$H370)&lt;&gt;"Subscription",INDEX('Game Records'!$U:$U,$H370)&lt;&gt;"Free Game",INDEX('Game Records'!$U:$U,$H370)&lt;&gt;"Disqualified — Free Game",INDEX('Game Records'!$J:$J,$H370)=""),"Total Players; ","")&amp;IF(AND(LOWER(INDEX('Game Records'!$D:$D,$H370)&amp;"")="finalized",LOWER(INDEX('Game Records'!$L:$L,$H370)&amp;"")&lt;&gt;"yes",INDEX('Game Records'!$U:$U,$H370)&lt;&gt;"Subscription",INDEX('Game Records'!$U:$U,$H370)&lt;&gt;"Free Game",INDEX('Game Records'!$U:$U,$H370)&lt;&gt;"Disqualified — Free Game",INDEX('Game Records'!$K:$K,$H370)=""),"Final Payout; ","")&amp;IF(AND(LOWER(INDEX('Game Records'!$D:$D,$H370)&amp;"")="finalized",INDEX('Game Records'!$U:$U,$H370)&lt;&gt;"Subscription",INDEX('Game Records'!$U:$U,$H370)&lt;&gt;"Free Game",INDEX('Game Records'!$U:$U,$H370)&lt;&gt;"Disqualified — Free Game",OR(INDEX('Game Records'!$L:$L,$H370)="",LOWER(INDEX('Game Records'!$L:$L,$H370)&amp;"")="n/a")),"Disqualified Status; ",""))</f>
        <v/>
      </c>
      <c r="G370" s="23" t="str">
        <f t="array" ref="G370">IF($H370="","",IFERROR(INDEX('Game Records'!$M:$M,$H370),""))</f>
        <v/>
      </c>
      <c r="H370" s="3"/>
    </row>
    <row r="371" ht="24.0" customHeight="1">
      <c r="A371" s="18" t="str">
        <f t="shared" si="1"/>
        <v/>
      </c>
      <c r="B371" s="18" t="str">
        <f t="shared" si="2"/>
        <v/>
      </c>
      <c r="C371" s="23" t="str">
        <f t="array" ref="C371">IF($H371="","",IFERROR(INDEX('Game Records'!$A:$A,$H371),""))</f>
        <v/>
      </c>
      <c r="D371" s="23" t="str">
        <f t="array" ref="D371">IF($H371="","",IFERROR(INDEX('Game Records'!$U:$U,$H371),""))</f>
        <v/>
      </c>
      <c r="E371" s="23" t="str">
        <f t="array" ref="E371">IF($H371="","",LET(r,$H371,mode,LOWER(INDEX('Game Records'!$D:$D,r)&amp;""),endDate,INDEX('Game Records'!$C:$C,r),IF(mode="estimate",IF(endDate="","Estimate — End Date missing",IF(NOT(ISNUMBER(endDate)),"Estimate — Check End Date",IF(INT(endDate)&gt;=TODAY(),"In Progress — ends "&amp;TEXT(endDate,"mmm d, yyyy"),"Ready to Finalize"))),IF($F371="","No Highlighted Fields","Highlighted Fields Present"))))</f>
        <v/>
      </c>
      <c r="F371" s="23" t="str">
        <f t="array" ref="F371">IF($H371="","",IF(OR(NOT(_xlfn.ISFORMULA(INDEX('Game Records'!$N:$N,$H371))),NOT(_xlfn.ISFORMULA(INDEX('Game Records'!$O:$O,$H371))),NOT(_xlfn.ISFORMULA(INDEX('Game Records'!$P:$P,$H371))),NOT(_xlfn.ISFORMULA(INDEX('Game Records'!$Q:$Q,$H371))),NOT(_xlfn.ISFORMULA(INDEX('Game Records'!$R:$R,$H371))),NOT(_xlfn.ISFORMULA(INDEX('Game Records'!$S:$S,$H371))),NOT(_xlfn.ISFORMULA(INDEX('Game Records'!$T:$T,$H371))),NOT(_xlfn.ISFORMULA(INDEX('Game Records'!$U:$U,$H371))),NOT(_xlfn.ISFORMULA(INDEX('Game Records'!$V:$V,$H371))),NOT(_xlfn.ISFORMULA(INDEX('Game Records'!$W:$W,$H371))),NOT(_xlfn.ISFORMULA(INDEX('Game Records'!$X:$X,$H371))),NOT(_xlfn.ISFORMULA(INDEX('Game Records'!$Y:$Y,$H371))),NOT(_xlfn.ISFORMULA(INDEX('Game Records'!$Z:$Z,$H371)))),"","")&amp;IF(INDEX('Game Records'!$B:$B,$H371)="","Start Date; ","")&amp;IF(INDEX('Game Records'!$C:$C,$H371)="","End Date; ","")&amp;IF(AND(INDEX('Game Records'!$U:$U,$H371)&lt;&gt;"Subscription",INDEX('Game Records'!$U:$U,$H371)&lt;&gt;"Free Game",INDEX('Game Records'!$U:$U,$H371)&lt;&gt;"Disqualified — Free Game",OR(INDEX('Game Records'!$D:$D,$H371)="",LOWER(INDEX('Game Records'!$D:$D,$H371)&amp;"")="n/a")),"Entry Mode; ","")&amp;IF(AND(INDEX('Game Records'!$U:$U,$H371)&lt;&gt;"Subscription",INDEX('Game Records'!$U:$U,$H371)&lt;&gt;"Free Game",INDEX('Game Records'!$U:$U,$H371)&lt;&gt;"Disqualified — Free Game",OR(INDEX('Game Records'!$E:$E,$H371)="",LOWER(INDEX('Game Records'!$E:$E,$H371)&amp;"")="n/a")),"Game Type; ","")&amp;IF(INDEX('Game Records'!$F:$F,$H371)="","Payment Type; ","")&amp;IF(AND(INDEX('Game Records'!$U:$U,$H371)&lt;&gt;"Subscription",INDEX('Game Records'!$U:$U,$H371)&lt;&gt;"Free Game",INDEX('Game Records'!$U:$U,$H371)&lt;&gt;"Disqualified — Free Game",INDEX('Game Records'!$G:$G,$H371)=""),"Gross Pot; ","")&amp;IF(AND(INDEX('Game Records'!$U:$U,$H371)&lt;&gt;"Free Game",INDEX('Game Records'!$U:$U,$H371)&lt;&gt;"Disqualified — Free Game",INDEX('Game Records'!$H:$H,$H371)=""),"Entry Fee; ","")&amp;IF(AND(INDEX('Game Records'!$U:$U,$H371)&lt;&gt;"Subscription",INDEX('Game Records'!$U:$U,$H371)&lt;&gt;"Free Game",INDEX('Game Records'!$U:$U,$H371)&lt;&gt;"Disqualified — Free Game",INDEX('Game Records'!$I:$I,$H371)=""),"Eligible Players; ","")&amp;IF(AND(INDEX('Game Records'!$U:$U,$H371)&lt;&gt;"Subscription",INDEX('Game Records'!$U:$U,$H371)&lt;&gt;"Free Game",INDEX('Game Records'!$U:$U,$H371)&lt;&gt;"Disqualified — Free Game",INDEX('Game Records'!$J:$J,$H371)=""),"Total Players; ","")&amp;IF(AND(LOWER(INDEX('Game Records'!$D:$D,$H371)&amp;"")="finalized",LOWER(INDEX('Game Records'!$L:$L,$H371)&amp;"")&lt;&gt;"yes",INDEX('Game Records'!$U:$U,$H371)&lt;&gt;"Subscription",INDEX('Game Records'!$U:$U,$H371)&lt;&gt;"Free Game",INDEX('Game Records'!$U:$U,$H371)&lt;&gt;"Disqualified — Free Game",INDEX('Game Records'!$K:$K,$H371)=""),"Final Payout; ","")&amp;IF(AND(LOWER(INDEX('Game Records'!$D:$D,$H371)&amp;"")="finalized",INDEX('Game Records'!$U:$U,$H371)&lt;&gt;"Subscription",INDEX('Game Records'!$U:$U,$H371)&lt;&gt;"Free Game",INDEX('Game Records'!$U:$U,$H371)&lt;&gt;"Disqualified — Free Game",OR(INDEX('Game Records'!$L:$L,$H371)="",LOWER(INDEX('Game Records'!$L:$L,$H371)&amp;"")="n/a")),"Disqualified Status; ",""))</f>
        <v/>
      </c>
      <c r="G371" s="23" t="str">
        <f t="array" ref="G371">IF($H371="","",IFERROR(INDEX('Game Records'!$M:$M,$H371),""))</f>
        <v/>
      </c>
      <c r="H371" s="3"/>
    </row>
    <row r="372" ht="24.0" customHeight="1">
      <c r="A372" s="18" t="str">
        <f t="shared" si="1"/>
        <v/>
      </c>
      <c r="B372" s="18" t="str">
        <f t="shared" si="2"/>
        <v/>
      </c>
      <c r="C372" s="23" t="str">
        <f t="array" ref="C372">IF($H372="","",IFERROR(INDEX('Game Records'!$A:$A,$H372),""))</f>
        <v/>
      </c>
      <c r="D372" s="23" t="str">
        <f t="array" ref="D372">IF($H372="","",IFERROR(INDEX('Game Records'!$U:$U,$H372),""))</f>
        <v/>
      </c>
      <c r="E372" s="23" t="str">
        <f t="array" ref="E372">IF($H372="","",LET(r,$H372,mode,LOWER(INDEX('Game Records'!$D:$D,r)&amp;""),endDate,INDEX('Game Records'!$C:$C,r),IF(mode="estimate",IF(endDate="","Estimate — End Date missing",IF(NOT(ISNUMBER(endDate)),"Estimate — Check End Date",IF(INT(endDate)&gt;=TODAY(),"In Progress — ends "&amp;TEXT(endDate,"mmm d, yyyy"),"Ready to Finalize"))),IF($F372="","No Highlighted Fields","Highlighted Fields Present"))))</f>
        <v/>
      </c>
      <c r="F372" s="23" t="str">
        <f t="array" ref="F372">IF($H372="","",IF(OR(NOT(_xlfn.ISFORMULA(INDEX('Game Records'!$N:$N,$H372))),NOT(_xlfn.ISFORMULA(INDEX('Game Records'!$O:$O,$H372))),NOT(_xlfn.ISFORMULA(INDEX('Game Records'!$P:$P,$H372))),NOT(_xlfn.ISFORMULA(INDEX('Game Records'!$Q:$Q,$H372))),NOT(_xlfn.ISFORMULA(INDEX('Game Records'!$R:$R,$H372))),NOT(_xlfn.ISFORMULA(INDEX('Game Records'!$S:$S,$H372))),NOT(_xlfn.ISFORMULA(INDEX('Game Records'!$T:$T,$H372))),NOT(_xlfn.ISFORMULA(INDEX('Game Records'!$U:$U,$H372))),NOT(_xlfn.ISFORMULA(INDEX('Game Records'!$V:$V,$H372))),NOT(_xlfn.ISFORMULA(INDEX('Game Records'!$W:$W,$H372))),NOT(_xlfn.ISFORMULA(INDEX('Game Records'!$X:$X,$H372))),NOT(_xlfn.ISFORMULA(INDEX('Game Records'!$Y:$Y,$H372))),NOT(_xlfn.ISFORMULA(INDEX('Game Records'!$Z:$Z,$H372)))),"","")&amp;IF(INDEX('Game Records'!$B:$B,$H372)="","Start Date; ","")&amp;IF(INDEX('Game Records'!$C:$C,$H372)="","End Date; ","")&amp;IF(AND(INDEX('Game Records'!$U:$U,$H372)&lt;&gt;"Subscription",INDEX('Game Records'!$U:$U,$H372)&lt;&gt;"Free Game",INDEX('Game Records'!$U:$U,$H372)&lt;&gt;"Disqualified — Free Game",OR(INDEX('Game Records'!$D:$D,$H372)="",LOWER(INDEX('Game Records'!$D:$D,$H372)&amp;"")="n/a")),"Entry Mode; ","")&amp;IF(AND(INDEX('Game Records'!$U:$U,$H372)&lt;&gt;"Subscription",INDEX('Game Records'!$U:$U,$H372)&lt;&gt;"Free Game",INDEX('Game Records'!$U:$U,$H372)&lt;&gt;"Disqualified — Free Game",OR(INDEX('Game Records'!$E:$E,$H372)="",LOWER(INDEX('Game Records'!$E:$E,$H372)&amp;"")="n/a")),"Game Type; ","")&amp;IF(INDEX('Game Records'!$F:$F,$H372)="","Payment Type; ","")&amp;IF(AND(INDEX('Game Records'!$U:$U,$H372)&lt;&gt;"Subscription",INDEX('Game Records'!$U:$U,$H372)&lt;&gt;"Free Game",INDEX('Game Records'!$U:$U,$H372)&lt;&gt;"Disqualified — Free Game",INDEX('Game Records'!$G:$G,$H372)=""),"Gross Pot; ","")&amp;IF(AND(INDEX('Game Records'!$U:$U,$H372)&lt;&gt;"Free Game",INDEX('Game Records'!$U:$U,$H372)&lt;&gt;"Disqualified — Free Game",INDEX('Game Records'!$H:$H,$H372)=""),"Entry Fee; ","")&amp;IF(AND(INDEX('Game Records'!$U:$U,$H372)&lt;&gt;"Subscription",INDEX('Game Records'!$U:$U,$H372)&lt;&gt;"Free Game",INDEX('Game Records'!$U:$U,$H372)&lt;&gt;"Disqualified — Free Game",INDEX('Game Records'!$I:$I,$H372)=""),"Eligible Players; ","")&amp;IF(AND(INDEX('Game Records'!$U:$U,$H372)&lt;&gt;"Subscription",INDEX('Game Records'!$U:$U,$H372)&lt;&gt;"Free Game",INDEX('Game Records'!$U:$U,$H372)&lt;&gt;"Disqualified — Free Game",INDEX('Game Records'!$J:$J,$H372)=""),"Total Players; ","")&amp;IF(AND(LOWER(INDEX('Game Records'!$D:$D,$H372)&amp;"")="finalized",LOWER(INDEX('Game Records'!$L:$L,$H372)&amp;"")&lt;&gt;"yes",INDEX('Game Records'!$U:$U,$H372)&lt;&gt;"Subscription",INDEX('Game Records'!$U:$U,$H372)&lt;&gt;"Free Game",INDEX('Game Records'!$U:$U,$H372)&lt;&gt;"Disqualified — Free Game",INDEX('Game Records'!$K:$K,$H372)=""),"Final Payout; ","")&amp;IF(AND(LOWER(INDEX('Game Records'!$D:$D,$H372)&amp;"")="finalized",INDEX('Game Records'!$U:$U,$H372)&lt;&gt;"Subscription",INDEX('Game Records'!$U:$U,$H372)&lt;&gt;"Free Game",INDEX('Game Records'!$U:$U,$H372)&lt;&gt;"Disqualified — Free Game",OR(INDEX('Game Records'!$L:$L,$H372)="",LOWER(INDEX('Game Records'!$L:$L,$H372)&amp;"")="n/a")),"Disqualified Status; ",""))</f>
        <v/>
      </c>
      <c r="G372" s="23" t="str">
        <f t="array" ref="G372">IF($H372="","",IFERROR(INDEX('Game Records'!$M:$M,$H372),""))</f>
        <v/>
      </c>
      <c r="H372" s="3"/>
    </row>
    <row r="373" ht="24.0" customHeight="1">
      <c r="A373" s="18" t="str">
        <f t="shared" si="1"/>
        <v/>
      </c>
      <c r="B373" s="18" t="str">
        <f t="shared" si="2"/>
        <v/>
      </c>
      <c r="C373" s="23" t="str">
        <f t="array" ref="C373">IF($H373="","",IFERROR(INDEX('Game Records'!$A:$A,$H373),""))</f>
        <v/>
      </c>
      <c r="D373" s="23" t="str">
        <f t="array" ref="D373">IF($H373="","",IFERROR(INDEX('Game Records'!$U:$U,$H373),""))</f>
        <v/>
      </c>
      <c r="E373" s="23" t="str">
        <f t="array" ref="E373">IF($H373="","",LET(r,$H373,mode,LOWER(INDEX('Game Records'!$D:$D,r)&amp;""),endDate,INDEX('Game Records'!$C:$C,r),IF(mode="estimate",IF(endDate="","Estimate — End Date missing",IF(NOT(ISNUMBER(endDate)),"Estimate — Check End Date",IF(INT(endDate)&gt;=TODAY(),"In Progress — ends "&amp;TEXT(endDate,"mmm d, yyyy"),"Ready to Finalize"))),IF($F373="","No Highlighted Fields","Highlighted Fields Present"))))</f>
        <v/>
      </c>
      <c r="F373" s="23" t="str">
        <f t="array" ref="F373">IF($H373="","",IF(OR(NOT(_xlfn.ISFORMULA(INDEX('Game Records'!$N:$N,$H373))),NOT(_xlfn.ISFORMULA(INDEX('Game Records'!$O:$O,$H373))),NOT(_xlfn.ISFORMULA(INDEX('Game Records'!$P:$P,$H373))),NOT(_xlfn.ISFORMULA(INDEX('Game Records'!$Q:$Q,$H373))),NOT(_xlfn.ISFORMULA(INDEX('Game Records'!$R:$R,$H373))),NOT(_xlfn.ISFORMULA(INDEX('Game Records'!$S:$S,$H373))),NOT(_xlfn.ISFORMULA(INDEX('Game Records'!$T:$T,$H373))),NOT(_xlfn.ISFORMULA(INDEX('Game Records'!$U:$U,$H373))),NOT(_xlfn.ISFORMULA(INDEX('Game Records'!$V:$V,$H373))),NOT(_xlfn.ISFORMULA(INDEX('Game Records'!$W:$W,$H373))),NOT(_xlfn.ISFORMULA(INDEX('Game Records'!$X:$X,$H373))),NOT(_xlfn.ISFORMULA(INDEX('Game Records'!$Y:$Y,$H373))),NOT(_xlfn.ISFORMULA(INDEX('Game Records'!$Z:$Z,$H373)))),"","")&amp;IF(INDEX('Game Records'!$B:$B,$H373)="","Start Date; ","")&amp;IF(INDEX('Game Records'!$C:$C,$H373)="","End Date; ","")&amp;IF(AND(INDEX('Game Records'!$U:$U,$H373)&lt;&gt;"Subscription",INDEX('Game Records'!$U:$U,$H373)&lt;&gt;"Free Game",INDEX('Game Records'!$U:$U,$H373)&lt;&gt;"Disqualified — Free Game",OR(INDEX('Game Records'!$D:$D,$H373)="",LOWER(INDEX('Game Records'!$D:$D,$H373)&amp;"")="n/a")),"Entry Mode; ","")&amp;IF(AND(INDEX('Game Records'!$U:$U,$H373)&lt;&gt;"Subscription",INDEX('Game Records'!$U:$U,$H373)&lt;&gt;"Free Game",INDEX('Game Records'!$U:$U,$H373)&lt;&gt;"Disqualified — Free Game",OR(INDEX('Game Records'!$E:$E,$H373)="",LOWER(INDEX('Game Records'!$E:$E,$H373)&amp;"")="n/a")),"Game Type; ","")&amp;IF(INDEX('Game Records'!$F:$F,$H373)="","Payment Type; ","")&amp;IF(AND(INDEX('Game Records'!$U:$U,$H373)&lt;&gt;"Subscription",INDEX('Game Records'!$U:$U,$H373)&lt;&gt;"Free Game",INDEX('Game Records'!$U:$U,$H373)&lt;&gt;"Disqualified — Free Game",INDEX('Game Records'!$G:$G,$H373)=""),"Gross Pot; ","")&amp;IF(AND(INDEX('Game Records'!$U:$U,$H373)&lt;&gt;"Free Game",INDEX('Game Records'!$U:$U,$H373)&lt;&gt;"Disqualified — Free Game",INDEX('Game Records'!$H:$H,$H373)=""),"Entry Fee; ","")&amp;IF(AND(INDEX('Game Records'!$U:$U,$H373)&lt;&gt;"Subscription",INDEX('Game Records'!$U:$U,$H373)&lt;&gt;"Free Game",INDEX('Game Records'!$U:$U,$H373)&lt;&gt;"Disqualified — Free Game",INDEX('Game Records'!$I:$I,$H373)=""),"Eligible Players; ","")&amp;IF(AND(INDEX('Game Records'!$U:$U,$H373)&lt;&gt;"Subscription",INDEX('Game Records'!$U:$U,$H373)&lt;&gt;"Free Game",INDEX('Game Records'!$U:$U,$H373)&lt;&gt;"Disqualified — Free Game",INDEX('Game Records'!$J:$J,$H373)=""),"Total Players; ","")&amp;IF(AND(LOWER(INDEX('Game Records'!$D:$D,$H373)&amp;"")="finalized",LOWER(INDEX('Game Records'!$L:$L,$H373)&amp;"")&lt;&gt;"yes",INDEX('Game Records'!$U:$U,$H373)&lt;&gt;"Subscription",INDEX('Game Records'!$U:$U,$H373)&lt;&gt;"Free Game",INDEX('Game Records'!$U:$U,$H373)&lt;&gt;"Disqualified — Free Game",INDEX('Game Records'!$K:$K,$H373)=""),"Final Payout; ","")&amp;IF(AND(LOWER(INDEX('Game Records'!$D:$D,$H373)&amp;"")="finalized",INDEX('Game Records'!$U:$U,$H373)&lt;&gt;"Subscription",INDEX('Game Records'!$U:$U,$H373)&lt;&gt;"Free Game",INDEX('Game Records'!$U:$U,$H373)&lt;&gt;"Disqualified — Free Game",OR(INDEX('Game Records'!$L:$L,$H373)="",LOWER(INDEX('Game Records'!$L:$L,$H373)&amp;"")="n/a")),"Disqualified Status; ",""))</f>
        <v/>
      </c>
      <c r="G373" s="23" t="str">
        <f t="array" ref="G373">IF($H373="","",IFERROR(INDEX('Game Records'!$M:$M,$H373),""))</f>
        <v/>
      </c>
      <c r="H373" s="3"/>
    </row>
    <row r="374" ht="24.0" customHeight="1">
      <c r="A374" s="18" t="str">
        <f t="shared" si="1"/>
        <v/>
      </c>
      <c r="B374" s="18" t="str">
        <f t="shared" si="2"/>
        <v/>
      </c>
      <c r="C374" s="23" t="str">
        <f t="array" ref="C374">IF($H374="","",IFERROR(INDEX('Game Records'!$A:$A,$H374),""))</f>
        <v/>
      </c>
      <c r="D374" s="23" t="str">
        <f t="array" ref="D374">IF($H374="","",IFERROR(INDEX('Game Records'!$U:$U,$H374),""))</f>
        <v/>
      </c>
      <c r="E374" s="23" t="str">
        <f t="array" ref="E374">IF($H374="","",LET(r,$H374,mode,LOWER(INDEX('Game Records'!$D:$D,r)&amp;""),endDate,INDEX('Game Records'!$C:$C,r),IF(mode="estimate",IF(endDate="","Estimate — End Date missing",IF(NOT(ISNUMBER(endDate)),"Estimate — Check End Date",IF(INT(endDate)&gt;=TODAY(),"In Progress — ends "&amp;TEXT(endDate,"mmm d, yyyy"),"Ready to Finalize"))),IF($F374="","No Highlighted Fields","Highlighted Fields Present"))))</f>
        <v/>
      </c>
      <c r="F374" s="23" t="str">
        <f t="array" ref="F374">IF($H374="","",IF(OR(NOT(_xlfn.ISFORMULA(INDEX('Game Records'!$N:$N,$H374))),NOT(_xlfn.ISFORMULA(INDEX('Game Records'!$O:$O,$H374))),NOT(_xlfn.ISFORMULA(INDEX('Game Records'!$P:$P,$H374))),NOT(_xlfn.ISFORMULA(INDEX('Game Records'!$Q:$Q,$H374))),NOT(_xlfn.ISFORMULA(INDEX('Game Records'!$R:$R,$H374))),NOT(_xlfn.ISFORMULA(INDEX('Game Records'!$S:$S,$H374))),NOT(_xlfn.ISFORMULA(INDEX('Game Records'!$T:$T,$H374))),NOT(_xlfn.ISFORMULA(INDEX('Game Records'!$U:$U,$H374))),NOT(_xlfn.ISFORMULA(INDEX('Game Records'!$V:$V,$H374))),NOT(_xlfn.ISFORMULA(INDEX('Game Records'!$W:$W,$H374))),NOT(_xlfn.ISFORMULA(INDEX('Game Records'!$X:$X,$H374))),NOT(_xlfn.ISFORMULA(INDEX('Game Records'!$Y:$Y,$H374))),NOT(_xlfn.ISFORMULA(INDEX('Game Records'!$Z:$Z,$H374)))),"","")&amp;IF(INDEX('Game Records'!$B:$B,$H374)="","Start Date; ","")&amp;IF(INDEX('Game Records'!$C:$C,$H374)="","End Date; ","")&amp;IF(AND(INDEX('Game Records'!$U:$U,$H374)&lt;&gt;"Subscription",INDEX('Game Records'!$U:$U,$H374)&lt;&gt;"Free Game",INDEX('Game Records'!$U:$U,$H374)&lt;&gt;"Disqualified — Free Game",OR(INDEX('Game Records'!$D:$D,$H374)="",LOWER(INDEX('Game Records'!$D:$D,$H374)&amp;"")="n/a")),"Entry Mode; ","")&amp;IF(AND(INDEX('Game Records'!$U:$U,$H374)&lt;&gt;"Subscription",INDEX('Game Records'!$U:$U,$H374)&lt;&gt;"Free Game",INDEX('Game Records'!$U:$U,$H374)&lt;&gt;"Disqualified — Free Game",OR(INDEX('Game Records'!$E:$E,$H374)="",LOWER(INDEX('Game Records'!$E:$E,$H374)&amp;"")="n/a")),"Game Type; ","")&amp;IF(INDEX('Game Records'!$F:$F,$H374)="","Payment Type; ","")&amp;IF(AND(INDEX('Game Records'!$U:$U,$H374)&lt;&gt;"Subscription",INDEX('Game Records'!$U:$U,$H374)&lt;&gt;"Free Game",INDEX('Game Records'!$U:$U,$H374)&lt;&gt;"Disqualified — Free Game",INDEX('Game Records'!$G:$G,$H374)=""),"Gross Pot; ","")&amp;IF(AND(INDEX('Game Records'!$U:$U,$H374)&lt;&gt;"Free Game",INDEX('Game Records'!$U:$U,$H374)&lt;&gt;"Disqualified — Free Game",INDEX('Game Records'!$H:$H,$H374)=""),"Entry Fee; ","")&amp;IF(AND(INDEX('Game Records'!$U:$U,$H374)&lt;&gt;"Subscription",INDEX('Game Records'!$U:$U,$H374)&lt;&gt;"Free Game",INDEX('Game Records'!$U:$U,$H374)&lt;&gt;"Disqualified — Free Game",INDEX('Game Records'!$I:$I,$H374)=""),"Eligible Players; ","")&amp;IF(AND(INDEX('Game Records'!$U:$U,$H374)&lt;&gt;"Subscription",INDEX('Game Records'!$U:$U,$H374)&lt;&gt;"Free Game",INDEX('Game Records'!$U:$U,$H374)&lt;&gt;"Disqualified — Free Game",INDEX('Game Records'!$J:$J,$H374)=""),"Total Players; ","")&amp;IF(AND(LOWER(INDEX('Game Records'!$D:$D,$H374)&amp;"")="finalized",LOWER(INDEX('Game Records'!$L:$L,$H374)&amp;"")&lt;&gt;"yes",INDEX('Game Records'!$U:$U,$H374)&lt;&gt;"Subscription",INDEX('Game Records'!$U:$U,$H374)&lt;&gt;"Free Game",INDEX('Game Records'!$U:$U,$H374)&lt;&gt;"Disqualified — Free Game",INDEX('Game Records'!$K:$K,$H374)=""),"Final Payout; ","")&amp;IF(AND(LOWER(INDEX('Game Records'!$D:$D,$H374)&amp;"")="finalized",INDEX('Game Records'!$U:$U,$H374)&lt;&gt;"Subscription",INDEX('Game Records'!$U:$U,$H374)&lt;&gt;"Free Game",INDEX('Game Records'!$U:$U,$H374)&lt;&gt;"Disqualified — Free Game",OR(INDEX('Game Records'!$L:$L,$H374)="",LOWER(INDEX('Game Records'!$L:$L,$H374)&amp;"")="n/a")),"Disqualified Status; ",""))</f>
        <v/>
      </c>
      <c r="G374" s="23" t="str">
        <f t="array" ref="G374">IF($H374="","",IFERROR(INDEX('Game Records'!$M:$M,$H374),""))</f>
        <v/>
      </c>
      <c r="H374" s="3"/>
    </row>
    <row r="375" ht="24.0" customHeight="1">
      <c r="A375" s="18" t="str">
        <f t="shared" si="1"/>
        <v/>
      </c>
      <c r="B375" s="18" t="str">
        <f t="shared" si="2"/>
        <v/>
      </c>
      <c r="C375" s="23" t="str">
        <f t="array" ref="C375">IF($H375="","",IFERROR(INDEX('Game Records'!$A:$A,$H375),""))</f>
        <v/>
      </c>
      <c r="D375" s="23" t="str">
        <f t="array" ref="D375">IF($H375="","",IFERROR(INDEX('Game Records'!$U:$U,$H375),""))</f>
        <v/>
      </c>
      <c r="E375" s="23" t="str">
        <f t="array" ref="E375">IF($H375="","",LET(r,$H375,mode,LOWER(INDEX('Game Records'!$D:$D,r)&amp;""),endDate,INDEX('Game Records'!$C:$C,r),IF(mode="estimate",IF(endDate="","Estimate — End Date missing",IF(NOT(ISNUMBER(endDate)),"Estimate — Check End Date",IF(INT(endDate)&gt;=TODAY(),"In Progress — ends "&amp;TEXT(endDate,"mmm d, yyyy"),"Ready to Finalize"))),IF($F375="","No Highlighted Fields","Highlighted Fields Present"))))</f>
        <v/>
      </c>
      <c r="F375" s="23" t="str">
        <f t="array" ref="F375">IF($H375="","",IF(OR(NOT(_xlfn.ISFORMULA(INDEX('Game Records'!$N:$N,$H375))),NOT(_xlfn.ISFORMULA(INDEX('Game Records'!$O:$O,$H375))),NOT(_xlfn.ISFORMULA(INDEX('Game Records'!$P:$P,$H375))),NOT(_xlfn.ISFORMULA(INDEX('Game Records'!$Q:$Q,$H375))),NOT(_xlfn.ISFORMULA(INDEX('Game Records'!$R:$R,$H375))),NOT(_xlfn.ISFORMULA(INDEX('Game Records'!$S:$S,$H375))),NOT(_xlfn.ISFORMULA(INDEX('Game Records'!$T:$T,$H375))),NOT(_xlfn.ISFORMULA(INDEX('Game Records'!$U:$U,$H375))),NOT(_xlfn.ISFORMULA(INDEX('Game Records'!$V:$V,$H375))),NOT(_xlfn.ISFORMULA(INDEX('Game Records'!$W:$W,$H375))),NOT(_xlfn.ISFORMULA(INDEX('Game Records'!$X:$X,$H375))),NOT(_xlfn.ISFORMULA(INDEX('Game Records'!$Y:$Y,$H375))),NOT(_xlfn.ISFORMULA(INDEX('Game Records'!$Z:$Z,$H375)))),"","")&amp;IF(INDEX('Game Records'!$B:$B,$H375)="","Start Date; ","")&amp;IF(INDEX('Game Records'!$C:$C,$H375)="","End Date; ","")&amp;IF(AND(INDEX('Game Records'!$U:$U,$H375)&lt;&gt;"Subscription",INDEX('Game Records'!$U:$U,$H375)&lt;&gt;"Free Game",INDEX('Game Records'!$U:$U,$H375)&lt;&gt;"Disqualified — Free Game",OR(INDEX('Game Records'!$D:$D,$H375)="",LOWER(INDEX('Game Records'!$D:$D,$H375)&amp;"")="n/a")),"Entry Mode; ","")&amp;IF(AND(INDEX('Game Records'!$U:$U,$H375)&lt;&gt;"Subscription",INDEX('Game Records'!$U:$U,$H375)&lt;&gt;"Free Game",INDEX('Game Records'!$U:$U,$H375)&lt;&gt;"Disqualified — Free Game",OR(INDEX('Game Records'!$E:$E,$H375)="",LOWER(INDEX('Game Records'!$E:$E,$H375)&amp;"")="n/a")),"Game Type; ","")&amp;IF(INDEX('Game Records'!$F:$F,$H375)="","Payment Type; ","")&amp;IF(AND(INDEX('Game Records'!$U:$U,$H375)&lt;&gt;"Subscription",INDEX('Game Records'!$U:$U,$H375)&lt;&gt;"Free Game",INDEX('Game Records'!$U:$U,$H375)&lt;&gt;"Disqualified — Free Game",INDEX('Game Records'!$G:$G,$H375)=""),"Gross Pot; ","")&amp;IF(AND(INDEX('Game Records'!$U:$U,$H375)&lt;&gt;"Free Game",INDEX('Game Records'!$U:$U,$H375)&lt;&gt;"Disqualified — Free Game",INDEX('Game Records'!$H:$H,$H375)=""),"Entry Fee; ","")&amp;IF(AND(INDEX('Game Records'!$U:$U,$H375)&lt;&gt;"Subscription",INDEX('Game Records'!$U:$U,$H375)&lt;&gt;"Free Game",INDEX('Game Records'!$U:$U,$H375)&lt;&gt;"Disqualified — Free Game",INDEX('Game Records'!$I:$I,$H375)=""),"Eligible Players; ","")&amp;IF(AND(INDEX('Game Records'!$U:$U,$H375)&lt;&gt;"Subscription",INDEX('Game Records'!$U:$U,$H375)&lt;&gt;"Free Game",INDEX('Game Records'!$U:$U,$H375)&lt;&gt;"Disqualified — Free Game",INDEX('Game Records'!$J:$J,$H375)=""),"Total Players; ","")&amp;IF(AND(LOWER(INDEX('Game Records'!$D:$D,$H375)&amp;"")="finalized",LOWER(INDEX('Game Records'!$L:$L,$H375)&amp;"")&lt;&gt;"yes",INDEX('Game Records'!$U:$U,$H375)&lt;&gt;"Subscription",INDEX('Game Records'!$U:$U,$H375)&lt;&gt;"Free Game",INDEX('Game Records'!$U:$U,$H375)&lt;&gt;"Disqualified — Free Game",INDEX('Game Records'!$K:$K,$H375)=""),"Final Payout; ","")&amp;IF(AND(LOWER(INDEX('Game Records'!$D:$D,$H375)&amp;"")="finalized",INDEX('Game Records'!$U:$U,$H375)&lt;&gt;"Subscription",INDEX('Game Records'!$U:$U,$H375)&lt;&gt;"Free Game",INDEX('Game Records'!$U:$U,$H375)&lt;&gt;"Disqualified — Free Game",OR(INDEX('Game Records'!$L:$L,$H375)="",LOWER(INDEX('Game Records'!$L:$L,$H375)&amp;"")="n/a")),"Disqualified Status; ",""))</f>
        <v/>
      </c>
      <c r="G375" s="23" t="str">
        <f t="array" ref="G375">IF($H375="","",IFERROR(INDEX('Game Records'!$M:$M,$H375),""))</f>
        <v/>
      </c>
      <c r="H375" s="3"/>
    </row>
    <row r="376" ht="24.0" customHeight="1">
      <c r="A376" s="18" t="str">
        <f t="shared" si="1"/>
        <v/>
      </c>
      <c r="B376" s="18" t="str">
        <f t="shared" si="2"/>
        <v/>
      </c>
      <c r="C376" s="23" t="str">
        <f t="array" ref="C376">IF($H376="","",IFERROR(INDEX('Game Records'!$A:$A,$H376),""))</f>
        <v/>
      </c>
      <c r="D376" s="23" t="str">
        <f t="array" ref="D376">IF($H376="","",IFERROR(INDEX('Game Records'!$U:$U,$H376),""))</f>
        <v/>
      </c>
      <c r="E376" s="23" t="str">
        <f t="array" ref="E376">IF($H376="","",LET(r,$H376,mode,LOWER(INDEX('Game Records'!$D:$D,r)&amp;""),endDate,INDEX('Game Records'!$C:$C,r),IF(mode="estimate",IF(endDate="","Estimate — End Date missing",IF(NOT(ISNUMBER(endDate)),"Estimate — Check End Date",IF(INT(endDate)&gt;=TODAY(),"In Progress — ends "&amp;TEXT(endDate,"mmm d, yyyy"),"Ready to Finalize"))),IF($F376="","No Highlighted Fields","Highlighted Fields Present"))))</f>
        <v/>
      </c>
      <c r="F376" s="23" t="str">
        <f t="array" ref="F376">IF($H376="","",IF(OR(NOT(_xlfn.ISFORMULA(INDEX('Game Records'!$N:$N,$H376))),NOT(_xlfn.ISFORMULA(INDEX('Game Records'!$O:$O,$H376))),NOT(_xlfn.ISFORMULA(INDEX('Game Records'!$P:$P,$H376))),NOT(_xlfn.ISFORMULA(INDEX('Game Records'!$Q:$Q,$H376))),NOT(_xlfn.ISFORMULA(INDEX('Game Records'!$R:$R,$H376))),NOT(_xlfn.ISFORMULA(INDEX('Game Records'!$S:$S,$H376))),NOT(_xlfn.ISFORMULA(INDEX('Game Records'!$T:$T,$H376))),NOT(_xlfn.ISFORMULA(INDEX('Game Records'!$U:$U,$H376))),NOT(_xlfn.ISFORMULA(INDEX('Game Records'!$V:$V,$H376))),NOT(_xlfn.ISFORMULA(INDEX('Game Records'!$W:$W,$H376))),NOT(_xlfn.ISFORMULA(INDEX('Game Records'!$X:$X,$H376))),NOT(_xlfn.ISFORMULA(INDEX('Game Records'!$Y:$Y,$H376))),NOT(_xlfn.ISFORMULA(INDEX('Game Records'!$Z:$Z,$H376)))),"","")&amp;IF(INDEX('Game Records'!$B:$B,$H376)="","Start Date; ","")&amp;IF(INDEX('Game Records'!$C:$C,$H376)="","End Date; ","")&amp;IF(AND(INDEX('Game Records'!$U:$U,$H376)&lt;&gt;"Subscription",INDEX('Game Records'!$U:$U,$H376)&lt;&gt;"Free Game",INDEX('Game Records'!$U:$U,$H376)&lt;&gt;"Disqualified — Free Game",OR(INDEX('Game Records'!$D:$D,$H376)="",LOWER(INDEX('Game Records'!$D:$D,$H376)&amp;"")="n/a")),"Entry Mode; ","")&amp;IF(AND(INDEX('Game Records'!$U:$U,$H376)&lt;&gt;"Subscription",INDEX('Game Records'!$U:$U,$H376)&lt;&gt;"Free Game",INDEX('Game Records'!$U:$U,$H376)&lt;&gt;"Disqualified — Free Game",OR(INDEX('Game Records'!$E:$E,$H376)="",LOWER(INDEX('Game Records'!$E:$E,$H376)&amp;"")="n/a")),"Game Type; ","")&amp;IF(INDEX('Game Records'!$F:$F,$H376)="","Payment Type; ","")&amp;IF(AND(INDEX('Game Records'!$U:$U,$H376)&lt;&gt;"Subscription",INDEX('Game Records'!$U:$U,$H376)&lt;&gt;"Free Game",INDEX('Game Records'!$U:$U,$H376)&lt;&gt;"Disqualified — Free Game",INDEX('Game Records'!$G:$G,$H376)=""),"Gross Pot; ","")&amp;IF(AND(INDEX('Game Records'!$U:$U,$H376)&lt;&gt;"Free Game",INDEX('Game Records'!$U:$U,$H376)&lt;&gt;"Disqualified — Free Game",INDEX('Game Records'!$H:$H,$H376)=""),"Entry Fee; ","")&amp;IF(AND(INDEX('Game Records'!$U:$U,$H376)&lt;&gt;"Subscription",INDEX('Game Records'!$U:$U,$H376)&lt;&gt;"Free Game",INDEX('Game Records'!$U:$U,$H376)&lt;&gt;"Disqualified — Free Game",INDEX('Game Records'!$I:$I,$H376)=""),"Eligible Players; ","")&amp;IF(AND(INDEX('Game Records'!$U:$U,$H376)&lt;&gt;"Subscription",INDEX('Game Records'!$U:$U,$H376)&lt;&gt;"Free Game",INDEX('Game Records'!$U:$U,$H376)&lt;&gt;"Disqualified — Free Game",INDEX('Game Records'!$J:$J,$H376)=""),"Total Players; ","")&amp;IF(AND(LOWER(INDEX('Game Records'!$D:$D,$H376)&amp;"")="finalized",LOWER(INDEX('Game Records'!$L:$L,$H376)&amp;"")&lt;&gt;"yes",INDEX('Game Records'!$U:$U,$H376)&lt;&gt;"Subscription",INDEX('Game Records'!$U:$U,$H376)&lt;&gt;"Free Game",INDEX('Game Records'!$U:$U,$H376)&lt;&gt;"Disqualified — Free Game",INDEX('Game Records'!$K:$K,$H376)=""),"Final Payout; ","")&amp;IF(AND(LOWER(INDEX('Game Records'!$D:$D,$H376)&amp;"")="finalized",INDEX('Game Records'!$U:$U,$H376)&lt;&gt;"Subscription",INDEX('Game Records'!$U:$U,$H376)&lt;&gt;"Free Game",INDEX('Game Records'!$U:$U,$H376)&lt;&gt;"Disqualified — Free Game",OR(INDEX('Game Records'!$L:$L,$H376)="",LOWER(INDEX('Game Records'!$L:$L,$H376)&amp;"")="n/a")),"Disqualified Status; ",""))</f>
        <v/>
      </c>
      <c r="G376" s="23" t="str">
        <f t="array" ref="G376">IF($H376="","",IFERROR(INDEX('Game Records'!$M:$M,$H376),""))</f>
        <v/>
      </c>
      <c r="H376" s="3"/>
    </row>
    <row r="377" ht="24.0" customHeight="1">
      <c r="A377" s="18" t="str">
        <f t="shared" si="1"/>
        <v/>
      </c>
      <c r="B377" s="18" t="str">
        <f t="shared" si="2"/>
        <v/>
      </c>
      <c r="C377" s="23" t="str">
        <f t="array" ref="C377">IF($H377="","",IFERROR(INDEX('Game Records'!$A:$A,$H377),""))</f>
        <v/>
      </c>
      <c r="D377" s="23" t="str">
        <f t="array" ref="D377">IF($H377="","",IFERROR(INDEX('Game Records'!$U:$U,$H377),""))</f>
        <v/>
      </c>
      <c r="E377" s="23" t="str">
        <f t="array" ref="E377">IF($H377="","",LET(r,$H377,mode,LOWER(INDEX('Game Records'!$D:$D,r)&amp;""),endDate,INDEX('Game Records'!$C:$C,r),IF(mode="estimate",IF(endDate="","Estimate — End Date missing",IF(NOT(ISNUMBER(endDate)),"Estimate — Check End Date",IF(INT(endDate)&gt;=TODAY(),"In Progress — ends "&amp;TEXT(endDate,"mmm d, yyyy"),"Ready to Finalize"))),IF($F377="","No Highlighted Fields","Highlighted Fields Present"))))</f>
        <v/>
      </c>
      <c r="F377" s="23" t="str">
        <f t="array" ref="F377">IF($H377="","",IF(OR(NOT(_xlfn.ISFORMULA(INDEX('Game Records'!$N:$N,$H377))),NOT(_xlfn.ISFORMULA(INDEX('Game Records'!$O:$O,$H377))),NOT(_xlfn.ISFORMULA(INDEX('Game Records'!$P:$P,$H377))),NOT(_xlfn.ISFORMULA(INDEX('Game Records'!$Q:$Q,$H377))),NOT(_xlfn.ISFORMULA(INDEX('Game Records'!$R:$R,$H377))),NOT(_xlfn.ISFORMULA(INDEX('Game Records'!$S:$S,$H377))),NOT(_xlfn.ISFORMULA(INDEX('Game Records'!$T:$T,$H377))),NOT(_xlfn.ISFORMULA(INDEX('Game Records'!$U:$U,$H377))),NOT(_xlfn.ISFORMULA(INDEX('Game Records'!$V:$V,$H377))),NOT(_xlfn.ISFORMULA(INDEX('Game Records'!$W:$W,$H377))),NOT(_xlfn.ISFORMULA(INDEX('Game Records'!$X:$X,$H377))),NOT(_xlfn.ISFORMULA(INDEX('Game Records'!$Y:$Y,$H377))),NOT(_xlfn.ISFORMULA(INDEX('Game Records'!$Z:$Z,$H377)))),"","")&amp;IF(INDEX('Game Records'!$B:$B,$H377)="","Start Date; ","")&amp;IF(INDEX('Game Records'!$C:$C,$H377)="","End Date; ","")&amp;IF(AND(INDEX('Game Records'!$U:$U,$H377)&lt;&gt;"Subscription",INDEX('Game Records'!$U:$U,$H377)&lt;&gt;"Free Game",INDEX('Game Records'!$U:$U,$H377)&lt;&gt;"Disqualified — Free Game",OR(INDEX('Game Records'!$D:$D,$H377)="",LOWER(INDEX('Game Records'!$D:$D,$H377)&amp;"")="n/a")),"Entry Mode; ","")&amp;IF(AND(INDEX('Game Records'!$U:$U,$H377)&lt;&gt;"Subscription",INDEX('Game Records'!$U:$U,$H377)&lt;&gt;"Free Game",INDEX('Game Records'!$U:$U,$H377)&lt;&gt;"Disqualified — Free Game",OR(INDEX('Game Records'!$E:$E,$H377)="",LOWER(INDEX('Game Records'!$E:$E,$H377)&amp;"")="n/a")),"Game Type; ","")&amp;IF(INDEX('Game Records'!$F:$F,$H377)="","Payment Type; ","")&amp;IF(AND(INDEX('Game Records'!$U:$U,$H377)&lt;&gt;"Subscription",INDEX('Game Records'!$U:$U,$H377)&lt;&gt;"Free Game",INDEX('Game Records'!$U:$U,$H377)&lt;&gt;"Disqualified — Free Game",INDEX('Game Records'!$G:$G,$H377)=""),"Gross Pot; ","")&amp;IF(AND(INDEX('Game Records'!$U:$U,$H377)&lt;&gt;"Free Game",INDEX('Game Records'!$U:$U,$H377)&lt;&gt;"Disqualified — Free Game",INDEX('Game Records'!$H:$H,$H377)=""),"Entry Fee; ","")&amp;IF(AND(INDEX('Game Records'!$U:$U,$H377)&lt;&gt;"Subscription",INDEX('Game Records'!$U:$U,$H377)&lt;&gt;"Free Game",INDEX('Game Records'!$U:$U,$H377)&lt;&gt;"Disqualified — Free Game",INDEX('Game Records'!$I:$I,$H377)=""),"Eligible Players; ","")&amp;IF(AND(INDEX('Game Records'!$U:$U,$H377)&lt;&gt;"Subscription",INDEX('Game Records'!$U:$U,$H377)&lt;&gt;"Free Game",INDEX('Game Records'!$U:$U,$H377)&lt;&gt;"Disqualified — Free Game",INDEX('Game Records'!$J:$J,$H377)=""),"Total Players; ","")&amp;IF(AND(LOWER(INDEX('Game Records'!$D:$D,$H377)&amp;"")="finalized",LOWER(INDEX('Game Records'!$L:$L,$H377)&amp;"")&lt;&gt;"yes",INDEX('Game Records'!$U:$U,$H377)&lt;&gt;"Subscription",INDEX('Game Records'!$U:$U,$H377)&lt;&gt;"Free Game",INDEX('Game Records'!$U:$U,$H377)&lt;&gt;"Disqualified — Free Game",INDEX('Game Records'!$K:$K,$H377)=""),"Final Payout; ","")&amp;IF(AND(LOWER(INDEX('Game Records'!$D:$D,$H377)&amp;"")="finalized",INDEX('Game Records'!$U:$U,$H377)&lt;&gt;"Subscription",INDEX('Game Records'!$U:$U,$H377)&lt;&gt;"Free Game",INDEX('Game Records'!$U:$U,$H377)&lt;&gt;"Disqualified — Free Game",OR(INDEX('Game Records'!$L:$L,$H377)="",LOWER(INDEX('Game Records'!$L:$L,$H377)&amp;"")="n/a")),"Disqualified Status; ",""))</f>
        <v/>
      </c>
      <c r="G377" s="23" t="str">
        <f t="array" ref="G377">IF($H377="","",IFERROR(INDEX('Game Records'!$M:$M,$H377),""))</f>
        <v/>
      </c>
      <c r="H377" s="3"/>
    </row>
    <row r="378" ht="24.0" customHeight="1">
      <c r="A378" s="18" t="str">
        <f t="shared" si="1"/>
        <v/>
      </c>
      <c r="B378" s="18" t="str">
        <f t="shared" si="2"/>
        <v/>
      </c>
      <c r="C378" s="23" t="str">
        <f t="array" ref="C378">IF($H378="","",IFERROR(INDEX('Game Records'!$A:$A,$H378),""))</f>
        <v/>
      </c>
      <c r="D378" s="23" t="str">
        <f t="array" ref="D378">IF($H378="","",IFERROR(INDEX('Game Records'!$U:$U,$H378),""))</f>
        <v/>
      </c>
      <c r="E378" s="23" t="str">
        <f t="array" ref="E378">IF($H378="","",LET(r,$H378,mode,LOWER(INDEX('Game Records'!$D:$D,r)&amp;""),endDate,INDEX('Game Records'!$C:$C,r),IF(mode="estimate",IF(endDate="","Estimate — End Date missing",IF(NOT(ISNUMBER(endDate)),"Estimate — Check End Date",IF(INT(endDate)&gt;=TODAY(),"In Progress — ends "&amp;TEXT(endDate,"mmm d, yyyy"),"Ready to Finalize"))),IF($F378="","No Highlighted Fields","Highlighted Fields Present"))))</f>
        <v/>
      </c>
      <c r="F378" s="23" t="str">
        <f t="array" ref="F378">IF($H378="","",IF(OR(NOT(_xlfn.ISFORMULA(INDEX('Game Records'!$N:$N,$H378))),NOT(_xlfn.ISFORMULA(INDEX('Game Records'!$O:$O,$H378))),NOT(_xlfn.ISFORMULA(INDEX('Game Records'!$P:$P,$H378))),NOT(_xlfn.ISFORMULA(INDEX('Game Records'!$Q:$Q,$H378))),NOT(_xlfn.ISFORMULA(INDEX('Game Records'!$R:$R,$H378))),NOT(_xlfn.ISFORMULA(INDEX('Game Records'!$S:$S,$H378))),NOT(_xlfn.ISFORMULA(INDEX('Game Records'!$T:$T,$H378))),NOT(_xlfn.ISFORMULA(INDEX('Game Records'!$U:$U,$H378))),NOT(_xlfn.ISFORMULA(INDEX('Game Records'!$V:$V,$H378))),NOT(_xlfn.ISFORMULA(INDEX('Game Records'!$W:$W,$H378))),NOT(_xlfn.ISFORMULA(INDEX('Game Records'!$X:$X,$H378))),NOT(_xlfn.ISFORMULA(INDEX('Game Records'!$Y:$Y,$H378))),NOT(_xlfn.ISFORMULA(INDEX('Game Records'!$Z:$Z,$H378)))),"","")&amp;IF(INDEX('Game Records'!$B:$B,$H378)="","Start Date; ","")&amp;IF(INDEX('Game Records'!$C:$C,$H378)="","End Date; ","")&amp;IF(AND(INDEX('Game Records'!$U:$U,$H378)&lt;&gt;"Subscription",INDEX('Game Records'!$U:$U,$H378)&lt;&gt;"Free Game",INDEX('Game Records'!$U:$U,$H378)&lt;&gt;"Disqualified — Free Game",OR(INDEX('Game Records'!$D:$D,$H378)="",LOWER(INDEX('Game Records'!$D:$D,$H378)&amp;"")="n/a")),"Entry Mode; ","")&amp;IF(AND(INDEX('Game Records'!$U:$U,$H378)&lt;&gt;"Subscription",INDEX('Game Records'!$U:$U,$H378)&lt;&gt;"Free Game",INDEX('Game Records'!$U:$U,$H378)&lt;&gt;"Disqualified — Free Game",OR(INDEX('Game Records'!$E:$E,$H378)="",LOWER(INDEX('Game Records'!$E:$E,$H378)&amp;"")="n/a")),"Game Type; ","")&amp;IF(INDEX('Game Records'!$F:$F,$H378)="","Payment Type; ","")&amp;IF(AND(INDEX('Game Records'!$U:$U,$H378)&lt;&gt;"Subscription",INDEX('Game Records'!$U:$U,$H378)&lt;&gt;"Free Game",INDEX('Game Records'!$U:$U,$H378)&lt;&gt;"Disqualified — Free Game",INDEX('Game Records'!$G:$G,$H378)=""),"Gross Pot; ","")&amp;IF(AND(INDEX('Game Records'!$U:$U,$H378)&lt;&gt;"Free Game",INDEX('Game Records'!$U:$U,$H378)&lt;&gt;"Disqualified — Free Game",INDEX('Game Records'!$H:$H,$H378)=""),"Entry Fee; ","")&amp;IF(AND(INDEX('Game Records'!$U:$U,$H378)&lt;&gt;"Subscription",INDEX('Game Records'!$U:$U,$H378)&lt;&gt;"Free Game",INDEX('Game Records'!$U:$U,$H378)&lt;&gt;"Disqualified — Free Game",INDEX('Game Records'!$I:$I,$H378)=""),"Eligible Players; ","")&amp;IF(AND(INDEX('Game Records'!$U:$U,$H378)&lt;&gt;"Subscription",INDEX('Game Records'!$U:$U,$H378)&lt;&gt;"Free Game",INDEX('Game Records'!$U:$U,$H378)&lt;&gt;"Disqualified — Free Game",INDEX('Game Records'!$J:$J,$H378)=""),"Total Players; ","")&amp;IF(AND(LOWER(INDEX('Game Records'!$D:$D,$H378)&amp;"")="finalized",LOWER(INDEX('Game Records'!$L:$L,$H378)&amp;"")&lt;&gt;"yes",INDEX('Game Records'!$U:$U,$H378)&lt;&gt;"Subscription",INDEX('Game Records'!$U:$U,$H378)&lt;&gt;"Free Game",INDEX('Game Records'!$U:$U,$H378)&lt;&gt;"Disqualified — Free Game",INDEX('Game Records'!$K:$K,$H378)=""),"Final Payout; ","")&amp;IF(AND(LOWER(INDEX('Game Records'!$D:$D,$H378)&amp;"")="finalized",INDEX('Game Records'!$U:$U,$H378)&lt;&gt;"Subscription",INDEX('Game Records'!$U:$U,$H378)&lt;&gt;"Free Game",INDEX('Game Records'!$U:$U,$H378)&lt;&gt;"Disqualified — Free Game",OR(INDEX('Game Records'!$L:$L,$H378)="",LOWER(INDEX('Game Records'!$L:$L,$H378)&amp;"")="n/a")),"Disqualified Status; ",""))</f>
        <v/>
      </c>
      <c r="G378" s="23" t="str">
        <f t="array" ref="G378">IF($H378="","",IFERROR(INDEX('Game Records'!$M:$M,$H378),""))</f>
        <v/>
      </c>
      <c r="H378" s="3"/>
    </row>
    <row r="379" ht="24.0" customHeight="1">
      <c r="A379" s="18" t="str">
        <f t="shared" si="1"/>
        <v/>
      </c>
      <c r="B379" s="18" t="str">
        <f t="shared" si="2"/>
        <v/>
      </c>
      <c r="C379" s="23" t="str">
        <f t="array" ref="C379">IF($H379="","",IFERROR(INDEX('Game Records'!$A:$A,$H379),""))</f>
        <v/>
      </c>
      <c r="D379" s="23" t="str">
        <f t="array" ref="D379">IF($H379="","",IFERROR(INDEX('Game Records'!$U:$U,$H379),""))</f>
        <v/>
      </c>
      <c r="E379" s="23" t="str">
        <f t="array" ref="E379">IF($H379="","",LET(r,$H379,mode,LOWER(INDEX('Game Records'!$D:$D,r)&amp;""),endDate,INDEX('Game Records'!$C:$C,r),IF(mode="estimate",IF(endDate="","Estimate — End Date missing",IF(NOT(ISNUMBER(endDate)),"Estimate — Check End Date",IF(INT(endDate)&gt;=TODAY(),"In Progress — ends "&amp;TEXT(endDate,"mmm d, yyyy"),"Ready to Finalize"))),IF($F379="","No Highlighted Fields","Highlighted Fields Present"))))</f>
        <v/>
      </c>
      <c r="F379" s="23" t="str">
        <f t="array" ref="F379">IF($H379="","",IF(OR(NOT(_xlfn.ISFORMULA(INDEX('Game Records'!$N:$N,$H379))),NOT(_xlfn.ISFORMULA(INDEX('Game Records'!$O:$O,$H379))),NOT(_xlfn.ISFORMULA(INDEX('Game Records'!$P:$P,$H379))),NOT(_xlfn.ISFORMULA(INDEX('Game Records'!$Q:$Q,$H379))),NOT(_xlfn.ISFORMULA(INDEX('Game Records'!$R:$R,$H379))),NOT(_xlfn.ISFORMULA(INDEX('Game Records'!$S:$S,$H379))),NOT(_xlfn.ISFORMULA(INDEX('Game Records'!$T:$T,$H379))),NOT(_xlfn.ISFORMULA(INDEX('Game Records'!$U:$U,$H379))),NOT(_xlfn.ISFORMULA(INDEX('Game Records'!$V:$V,$H379))),NOT(_xlfn.ISFORMULA(INDEX('Game Records'!$W:$W,$H379))),NOT(_xlfn.ISFORMULA(INDEX('Game Records'!$X:$X,$H379))),NOT(_xlfn.ISFORMULA(INDEX('Game Records'!$Y:$Y,$H379))),NOT(_xlfn.ISFORMULA(INDEX('Game Records'!$Z:$Z,$H379)))),"","")&amp;IF(INDEX('Game Records'!$B:$B,$H379)="","Start Date; ","")&amp;IF(INDEX('Game Records'!$C:$C,$H379)="","End Date; ","")&amp;IF(AND(INDEX('Game Records'!$U:$U,$H379)&lt;&gt;"Subscription",INDEX('Game Records'!$U:$U,$H379)&lt;&gt;"Free Game",INDEX('Game Records'!$U:$U,$H379)&lt;&gt;"Disqualified — Free Game",OR(INDEX('Game Records'!$D:$D,$H379)="",LOWER(INDEX('Game Records'!$D:$D,$H379)&amp;"")="n/a")),"Entry Mode; ","")&amp;IF(AND(INDEX('Game Records'!$U:$U,$H379)&lt;&gt;"Subscription",INDEX('Game Records'!$U:$U,$H379)&lt;&gt;"Free Game",INDEX('Game Records'!$U:$U,$H379)&lt;&gt;"Disqualified — Free Game",OR(INDEX('Game Records'!$E:$E,$H379)="",LOWER(INDEX('Game Records'!$E:$E,$H379)&amp;"")="n/a")),"Game Type; ","")&amp;IF(INDEX('Game Records'!$F:$F,$H379)="","Payment Type; ","")&amp;IF(AND(INDEX('Game Records'!$U:$U,$H379)&lt;&gt;"Subscription",INDEX('Game Records'!$U:$U,$H379)&lt;&gt;"Free Game",INDEX('Game Records'!$U:$U,$H379)&lt;&gt;"Disqualified — Free Game",INDEX('Game Records'!$G:$G,$H379)=""),"Gross Pot; ","")&amp;IF(AND(INDEX('Game Records'!$U:$U,$H379)&lt;&gt;"Free Game",INDEX('Game Records'!$U:$U,$H379)&lt;&gt;"Disqualified — Free Game",INDEX('Game Records'!$H:$H,$H379)=""),"Entry Fee; ","")&amp;IF(AND(INDEX('Game Records'!$U:$U,$H379)&lt;&gt;"Subscription",INDEX('Game Records'!$U:$U,$H379)&lt;&gt;"Free Game",INDEX('Game Records'!$U:$U,$H379)&lt;&gt;"Disqualified — Free Game",INDEX('Game Records'!$I:$I,$H379)=""),"Eligible Players; ","")&amp;IF(AND(INDEX('Game Records'!$U:$U,$H379)&lt;&gt;"Subscription",INDEX('Game Records'!$U:$U,$H379)&lt;&gt;"Free Game",INDEX('Game Records'!$U:$U,$H379)&lt;&gt;"Disqualified — Free Game",INDEX('Game Records'!$J:$J,$H379)=""),"Total Players; ","")&amp;IF(AND(LOWER(INDEX('Game Records'!$D:$D,$H379)&amp;"")="finalized",LOWER(INDEX('Game Records'!$L:$L,$H379)&amp;"")&lt;&gt;"yes",INDEX('Game Records'!$U:$U,$H379)&lt;&gt;"Subscription",INDEX('Game Records'!$U:$U,$H379)&lt;&gt;"Free Game",INDEX('Game Records'!$U:$U,$H379)&lt;&gt;"Disqualified — Free Game",INDEX('Game Records'!$K:$K,$H379)=""),"Final Payout; ","")&amp;IF(AND(LOWER(INDEX('Game Records'!$D:$D,$H379)&amp;"")="finalized",INDEX('Game Records'!$U:$U,$H379)&lt;&gt;"Subscription",INDEX('Game Records'!$U:$U,$H379)&lt;&gt;"Free Game",INDEX('Game Records'!$U:$U,$H379)&lt;&gt;"Disqualified — Free Game",OR(INDEX('Game Records'!$L:$L,$H379)="",LOWER(INDEX('Game Records'!$L:$L,$H379)&amp;"")="n/a")),"Disqualified Status; ",""))</f>
        <v/>
      </c>
      <c r="G379" s="23" t="str">
        <f t="array" ref="G379">IF($H379="","",IFERROR(INDEX('Game Records'!$M:$M,$H379),""))</f>
        <v/>
      </c>
      <c r="H379" s="3"/>
    </row>
    <row r="380" ht="24.0" customHeight="1">
      <c r="A380" s="18" t="str">
        <f t="shared" si="1"/>
        <v/>
      </c>
      <c r="B380" s="18" t="str">
        <f t="shared" si="2"/>
        <v/>
      </c>
      <c r="C380" s="23" t="str">
        <f t="array" ref="C380">IF($H380="","",IFERROR(INDEX('Game Records'!$A:$A,$H380),""))</f>
        <v/>
      </c>
      <c r="D380" s="23" t="str">
        <f t="array" ref="D380">IF($H380="","",IFERROR(INDEX('Game Records'!$U:$U,$H380),""))</f>
        <v/>
      </c>
      <c r="E380" s="23" t="str">
        <f t="array" ref="E380">IF($H380="","",LET(r,$H380,mode,LOWER(INDEX('Game Records'!$D:$D,r)&amp;""),endDate,INDEX('Game Records'!$C:$C,r),IF(mode="estimate",IF(endDate="","Estimate — End Date missing",IF(NOT(ISNUMBER(endDate)),"Estimate — Check End Date",IF(INT(endDate)&gt;=TODAY(),"In Progress — ends "&amp;TEXT(endDate,"mmm d, yyyy"),"Ready to Finalize"))),IF($F380="","No Highlighted Fields","Highlighted Fields Present"))))</f>
        <v/>
      </c>
      <c r="F380" s="23" t="str">
        <f t="array" ref="F380">IF($H380="","",IF(OR(NOT(_xlfn.ISFORMULA(INDEX('Game Records'!$N:$N,$H380))),NOT(_xlfn.ISFORMULA(INDEX('Game Records'!$O:$O,$H380))),NOT(_xlfn.ISFORMULA(INDEX('Game Records'!$P:$P,$H380))),NOT(_xlfn.ISFORMULA(INDEX('Game Records'!$Q:$Q,$H380))),NOT(_xlfn.ISFORMULA(INDEX('Game Records'!$R:$R,$H380))),NOT(_xlfn.ISFORMULA(INDEX('Game Records'!$S:$S,$H380))),NOT(_xlfn.ISFORMULA(INDEX('Game Records'!$T:$T,$H380))),NOT(_xlfn.ISFORMULA(INDEX('Game Records'!$U:$U,$H380))),NOT(_xlfn.ISFORMULA(INDEX('Game Records'!$V:$V,$H380))),NOT(_xlfn.ISFORMULA(INDEX('Game Records'!$W:$W,$H380))),NOT(_xlfn.ISFORMULA(INDEX('Game Records'!$X:$X,$H380))),NOT(_xlfn.ISFORMULA(INDEX('Game Records'!$Y:$Y,$H380))),NOT(_xlfn.ISFORMULA(INDEX('Game Records'!$Z:$Z,$H380)))),"","")&amp;IF(INDEX('Game Records'!$B:$B,$H380)="","Start Date; ","")&amp;IF(INDEX('Game Records'!$C:$C,$H380)="","End Date; ","")&amp;IF(AND(INDEX('Game Records'!$U:$U,$H380)&lt;&gt;"Subscription",INDEX('Game Records'!$U:$U,$H380)&lt;&gt;"Free Game",INDEX('Game Records'!$U:$U,$H380)&lt;&gt;"Disqualified — Free Game",OR(INDEX('Game Records'!$D:$D,$H380)="",LOWER(INDEX('Game Records'!$D:$D,$H380)&amp;"")="n/a")),"Entry Mode; ","")&amp;IF(AND(INDEX('Game Records'!$U:$U,$H380)&lt;&gt;"Subscription",INDEX('Game Records'!$U:$U,$H380)&lt;&gt;"Free Game",INDEX('Game Records'!$U:$U,$H380)&lt;&gt;"Disqualified — Free Game",OR(INDEX('Game Records'!$E:$E,$H380)="",LOWER(INDEX('Game Records'!$E:$E,$H380)&amp;"")="n/a")),"Game Type; ","")&amp;IF(INDEX('Game Records'!$F:$F,$H380)="","Payment Type; ","")&amp;IF(AND(INDEX('Game Records'!$U:$U,$H380)&lt;&gt;"Subscription",INDEX('Game Records'!$U:$U,$H380)&lt;&gt;"Free Game",INDEX('Game Records'!$U:$U,$H380)&lt;&gt;"Disqualified — Free Game",INDEX('Game Records'!$G:$G,$H380)=""),"Gross Pot; ","")&amp;IF(AND(INDEX('Game Records'!$U:$U,$H380)&lt;&gt;"Free Game",INDEX('Game Records'!$U:$U,$H380)&lt;&gt;"Disqualified — Free Game",INDEX('Game Records'!$H:$H,$H380)=""),"Entry Fee; ","")&amp;IF(AND(INDEX('Game Records'!$U:$U,$H380)&lt;&gt;"Subscription",INDEX('Game Records'!$U:$U,$H380)&lt;&gt;"Free Game",INDEX('Game Records'!$U:$U,$H380)&lt;&gt;"Disqualified — Free Game",INDEX('Game Records'!$I:$I,$H380)=""),"Eligible Players; ","")&amp;IF(AND(INDEX('Game Records'!$U:$U,$H380)&lt;&gt;"Subscription",INDEX('Game Records'!$U:$U,$H380)&lt;&gt;"Free Game",INDEX('Game Records'!$U:$U,$H380)&lt;&gt;"Disqualified — Free Game",INDEX('Game Records'!$J:$J,$H380)=""),"Total Players; ","")&amp;IF(AND(LOWER(INDEX('Game Records'!$D:$D,$H380)&amp;"")="finalized",LOWER(INDEX('Game Records'!$L:$L,$H380)&amp;"")&lt;&gt;"yes",INDEX('Game Records'!$U:$U,$H380)&lt;&gt;"Subscription",INDEX('Game Records'!$U:$U,$H380)&lt;&gt;"Free Game",INDEX('Game Records'!$U:$U,$H380)&lt;&gt;"Disqualified — Free Game",INDEX('Game Records'!$K:$K,$H380)=""),"Final Payout; ","")&amp;IF(AND(LOWER(INDEX('Game Records'!$D:$D,$H380)&amp;"")="finalized",INDEX('Game Records'!$U:$U,$H380)&lt;&gt;"Subscription",INDEX('Game Records'!$U:$U,$H380)&lt;&gt;"Free Game",INDEX('Game Records'!$U:$U,$H380)&lt;&gt;"Disqualified — Free Game",OR(INDEX('Game Records'!$L:$L,$H380)="",LOWER(INDEX('Game Records'!$L:$L,$H380)&amp;"")="n/a")),"Disqualified Status; ",""))</f>
        <v/>
      </c>
      <c r="G380" s="23" t="str">
        <f t="array" ref="G380">IF($H380="","",IFERROR(INDEX('Game Records'!$M:$M,$H380),""))</f>
        <v/>
      </c>
      <c r="H380" s="3"/>
    </row>
    <row r="381" ht="24.0" customHeight="1">
      <c r="A381" s="18" t="str">
        <f t="shared" si="1"/>
        <v/>
      </c>
      <c r="B381" s="18" t="str">
        <f t="shared" si="2"/>
        <v/>
      </c>
      <c r="C381" s="23" t="str">
        <f t="array" ref="C381">IF($H381="","",IFERROR(INDEX('Game Records'!$A:$A,$H381),""))</f>
        <v/>
      </c>
      <c r="D381" s="23" t="str">
        <f t="array" ref="D381">IF($H381="","",IFERROR(INDEX('Game Records'!$U:$U,$H381),""))</f>
        <v/>
      </c>
      <c r="E381" s="23" t="str">
        <f t="array" ref="E381">IF($H381="","",LET(r,$H381,mode,LOWER(INDEX('Game Records'!$D:$D,r)&amp;""),endDate,INDEX('Game Records'!$C:$C,r),IF(mode="estimate",IF(endDate="","Estimate — End Date missing",IF(NOT(ISNUMBER(endDate)),"Estimate — Check End Date",IF(INT(endDate)&gt;=TODAY(),"In Progress — ends "&amp;TEXT(endDate,"mmm d, yyyy"),"Ready to Finalize"))),IF($F381="","No Highlighted Fields","Highlighted Fields Present"))))</f>
        <v/>
      </c>
      <c r="F381" s="23" t="str">
        <f t="array" ref="F381">IF($H381="","",IF(OR(NOT(_xlfn.ISFORMULA(INDEX('Game Records'!$N:$N,$H381))),NOT(_xlfn.ISFORMULA(INDEX('Game Records'!$O:$O,$H381))),NOT(_xlfn.ISFORMULA(INDEX('Game Records'!$P:$P,$H381))),NOT(_xlfn.ISFORMULA(INDEX('Game Records'!$Q:$Q,$H381))),NOT(_xlfn.ISFORMULA(INDEX('Game Records'!$R:$R,$H381))),NOT(_xlfn.ISFORMULA(INDEX('Game Records'!$S:$S,$H381))),NOT(_xlfn.ISFORMULA(INDEX('Game Records'!$T:$T,$H381))),NOT(_xlfn.ISFORMULA(INDEX('Game Records'!$U:$U,$H381))),NOT(_xlfn.ISFORMULA(INDEX('Game Records'!$V:$V,$H381))),NOT(_xlfn.ISFORMULA(INDEX('Game Records'!$W:$W,$H381))),NOT(_xlfn.ISFORMULA(INDEX('Game Records'!$X:$X,$H381))),NOT(_xlfn.ISFORMULA(INDEX('Game Records'!$Y:$Y,$H381))),NOT(_xlfn.ISFORMULA(INDEX('Game Records'!$Z:$Z,$H381)))),"","")&amp;IF(INDEX('Game Records'!$B:$B,$H381)="","Start Date; ","")&amp;IF(INDEX('Game Records'!$C:$C,$H381)="","End Date; ","")&amp;IF(AND(INDEX('Game Records'!$U:$U,$H381)&lt;&gt;"Subscription",INDEX('Game Records'!$U:$U,$H381)&lt;&gt;"Free Game",INDEX('Game Records'!$U:$U,$H381)&lt;&gt;"Disqualified — Free Game",OR(INDEX('Game Records'!$D:$D,$H381)="",LOWER(INDEX('Game Records'!$D:$D,$H381)&amp;"")="n/a")),"Entry Mode; ","")&amp;IF(AND(INDEX('Game Records'!$U:$U,$H381)&lt;&gt;"Subscription",INDEX('Game Records'!$U:$U,$H381)&lt;&gt;"Free Game",INDEX('Game Records'!$U:$U,$H381)&lt;&gt;"Disqualified — Free Game",OR(INDEX('Game Records'!$E:$E,$H381)="",LOWER(INDEX('Game Records'!$E:$E,$H381)&amp;"")="n/a")),"Game Type; ","")&amp;IF(INDEX('Game Records'!$F:$F,$H381)="","Payment Type; ","")&amp;IF(AND(INDEX('Game Records'!$U:$U,$H381)&lt;&gt;"Subscription",INDEX('Game Records'!$U:$U,$H381)&lt;&gt;"Free Game",INDEX('Game Records'!$U:$U,$H381)&lt;&gt;"Disqualified — Free Game",INDEX('Game Records'!$G:$G,$H381)=""),"Gross Pot; ","")&amp;IF(AND(INDEX('Game Records'!$U:$U,$H381)&lt;&gt;"Free Game",INDEX('Game Records'!$U:$U,$H381)&lt;&gt;"Disqualified — Free Game",INDEX('Game Records'!$H:$H,$H381)=""),"Entry Fee; ","")&amp;IF(AND(INDEX('Game Records'!$U:$U,$H381)&lt;&gt;"Subscription",INDEX('Game Records'!$U:$U,$H381)&lt;&gt;"Free Game",INDEX('Game Records'!$U:$U,$H381)&lt;&gt;"Disqualified — Free Game",INDEX('Game Records'!$I:$I,$H381)=""),"Eligible Players; ","")&amp;IF(AND(INDEX('Game Records'!$U:$U,$H381)&lt;&gt;"Subscription",INDEX('Game Records'!$U:$U,$H381)&lt;&gt;"Free Game",INDEX('Game Records'!$U:$U,$H381)&lt;&gt;"Disqualified — Free Game",INDEX('Game Records'!$J:$J,$H381)=""),"Total Players; ","")&amp;IF(AND(LOWER(INDEX('Game Records'!$D:$D,$H381)&amp;"")="finalized",LOWER(INDEX('Game Records'!$L:$L,$H381)&amp;"")&lt;&gt;"yes",INDEX('Game Records'!$U:$U,$H381)&lt;&gt;"Subscription",INDEX('Game Records'!$U:$U,$H381)&lt;&gt;"Free Game",INDEX('Game Records'!$U:$U,$H381)&lt;&gt;"Disqualified — Free Game",INDEX('Game Records'!$K:$K,$H381)=""),"Final Payout; ","")&amp;IF(AND(LOWER(INDEX('Game Records'!$D:$D,$H381)&amp;"")="finalized",INDEX('Game Records'!$U:$U,$H381)&lt;&gt;"Subscription",INDEX('Game Records'!$U:$U,$H381)&lt;&gt;"Free Game",INDEX('Game Records'!$U:$U,$H381)&lt;&gt;"Disqualified — Free Game",OR(INDEX('Game Records'!$L:$L,$H381)="",LOWER(INDEX('Game Records'!$L:$L,$H381)&amp;"")="n/a")),"Disqualified Status; ",""))</f>
        <v/>
      </c>
      <c r="G381" s="23" t="str">
        <f t="array" ref="G381">IF($H381="","",IFERROR(INDEX('Game Records'!$M:$M,$H381),""))</f>
        <v/>
      </c>
      <c r="H381" s="3"/>
    </row>
    <row r="382" ht="24.0" customHeight="1">
      <c r="A382" s="18" t="str">
        <f t="shared" si="1"/>
        <v/>
      </c>
      <c r="B382" s="18" t="str">
        <f t="shared" si="2"/>
        <v/>
      </c>
      <c r="C382" s="23" t="str">
        <f t="array" ref="C382">IF($H382="","",IFERROR(INDEX('Game Records'!$A:$A,$H382),""))</f>
        <v/>
      </c>
      <c r="D382" s="23" t="str">
        <f t="array" ref="D382">IF($H382="","",IFERROR(INDEX('Game Records'!$U:$U,$H382),""))</f>
        <v/>
      </c>
      <c r="E382" s="23" t="str">
        <f t="array" ref="E382">IF($H382="","",LET(r,$H382,mode,LOWER(INDEX('Game Records'!$D:$D,r)&amp;""),endDate,INDEX('Game Records'!$C:$C,r),IF(mode="estimate",IF(endDate="","Estimate — End Date missing",IF(NOT(ISNUMBER(endDate)),"Estimate — Check End Date",IF(INT(endDate)&gt;=TODAY(),"In Progress — ends "&amp;TEXT(endDate,"mmm d, yyyy"),"Ready to Finalize"))),IF($F382="","No Highlighted Fields","Highlighted Fields Present"))))</f>
        <v/>
      </c>
      <c r="F382" s="23" t="str">
        <f t="array" ref="F382">IF($H382="","",IF(OR(NOT(_xlfn.ISFORMULA(INDEX('Game Records'!$N:$N,$H382))),NOT(_xlfn.ISFORMULA(INDEX('Game Records'!$O:$O,$H382))),NOT(_xlfn.ISFORMULA(INDEX('Game Records'!$P:$P,$H382))),NOT(_xlfn.ISFORMULA(INDEX('Game Records'!$Q:$Q,$H382))),NOT(_xlfn.ISFORMULA(INDEX('Game Records'!$R:$R,$H382))),NOT(_xlfn.ISFORMULA(INDEX('Game Records'!$S:$S,$H382))),NOT(_xlfn.ISFORMULA(INDEX('Game Records'!$T:$T,$H382))),NOT(_xlfn.ISFORMULA(INDEX('Game Records'!$U:$U,$H382))),NOT(_xlfn.ISFORMULA(INDEX('Game Records'!$V:$V,$H382))),NOT(_xlfn.ISFORMULA(INDEX('Game Records'!$W:$W,$H382))),NOT(_xlfn.ISFORMULA(INDEX('Game Records'!$X:$X,$H382))),NOT(_xlfn.ISFORMULA(INDEX('Game Records'!$Y:$Y,$H382))),NOT(_xlfn.ISFORMULA(INDEX('Game Records'!$Z:$Z,$H382)))),"","")&amp;IF(INDEX('Game Records'!$B:$B,$H382)="","Start Date; ","")&amp;IF(INDEX('Game Records'!$C:$C,$H382)="","End Date; ","")&amp;IF(AND(INDEX('Game Records'!$U:$U,$H382)&lt;&gt;"Subscription",INDEX('Game Records'!$U:$U,$H382)&lt;&gt;"Free Game",INDEX('Game Records'!$U:$U,$H382)&lt;&gt;"Disqualified — Free Game",OR(INDEX('Game Records'!$D:$D,$H382)="",LOWER(INDEX('Game Records'!$D:$D,$H382)&amp;"")="n/a")),"Entry Mode; ","")&amp;IF(AND(INDEX('Game Records'!$U:$U,$H382)&lt;&gt;"Subscription",INDEX('Game Records'!$U:$U,$H382)&lt;&gt;"Free Game",INDEX('Game Records'!$U:$U,$H382)&lt;&gt;"Disqualified — Free Game",OR(INDEX('Game Records'!$E:$E,$H382)="",LOWER(INDEX('Game Records'!$E:$E,$H382)&amp;"")="n/a")),"Game Type; ","")&amp;IF(INDEX('Game Records'!$F:$F,$H382)="","Payment Type; ","")&amp;IF(AND(INDEX('Game Records'!$U:$U,$H382)&lt;&gt;"Subscription",INDEX('Game Records'!$U:$U,$H382)&lt;&gt;"Free Game",INDEX('Game Records'!$U:$U,$H382)&lt;&gt;"Disqualified — Free Game",INDEX('Game Records'!$G:$G,$H382)=""),"Gross Pot; ","")&amp;IF(AND(INDEX('Game Records'!$U:$U,$H382)&lt;&gt;"Free Game",INDEX('Game Records'!$U:$U,$H382)&lt;&gt;"Disqualified — Free Game",INDEX('Game Records'!$H:$H,$H382)=""),"Entry Fee; ","")&amp;IF(AND(INDEX('Game Records'!$U:$U,$H382)&lt;&gt;"Subscription",INDEX('Game Records'!$U:$U,$H382)&lt;&gt;"Free Game",INDEX('Game Records'!$U:$U,$H382)&lt;&gt;"Disqualified — Free Game",INDEX('Game Records'!$I:$I,$H382)=""),"Eligible Players; ","")&amp;IF(AND(INDEX('Game Records'!$U:$U,$H382)&lt;&gt;"Subscription",INDEX('Game Records'!$U:$U,$H382)&lt;&gt;"Free Game",INDEX('Game Records'!$U:$U,$H382)&lt;&gt;"Disqualified — Free Game",INDEX('Game Records'!$J:$J,$H382)=""),"Total Players; ","")&amp;IF(AND(LOWER(INDEX('Game Records'!$D:$D,$H382)&amp;"")="finalized",LOWER(INDEX('Game Records'!$L:$L,$H382)&amp;"")&lt;&gt;"yes",INDEX('Game Records'!$U:$U,$H382)&lt;&gt;"Subscription",INDEX('Game Records'!$U:$U,$H382)&lt;&gt;"Free Game",INDEX('Game Records'!$U:$U,$H382)&lt;&gt;"Disqualified — Free Game",INDEX('Game Records'!$K:$K,$H382)=""),"Final Payout; ","")&amp;IF(AND(LOWER(INDEX('Game Records'!$D:$D,$H382)&amp;"")="finalized",INDEX('Game Records'!$U:$U,$H382)&lt;&gt;"Subscription",INDEX('Game Records'!$U:$U,$H382)&lt;&gt;"Free Game",INDEX('Game Records'!$U:$U,$H382)&lt;&gt;"Disqualified — Free Game",OR(INDEX('Game Records'!$L:$L,$H382)="",LOWER(INDEX('Game Records'!$L:$L,$H382)&amp;"")="n/a")),"Disqualified Status; ",""))</f>
        <v/>
      </c>
      <c r="G382" s="23" t="str">
        <f t="array" ref="G382">IF($H382="","",IFERROR(INDEX('Game Records'!$M:$M,$H382),""))</f>
        <v/>
      </c>
      <c r="H382" s="3"/>
    </row>
    <row r="383" ht="24.0" customHeight="1">
      <c r="A383" s="18" t="str">
        <f t="shared" si="1"/>
        <v/>
      </c>
      <c r="B383" s="18" t="str">
        <f t="shared" si="2"/>
        <v/>
      </c>
      <c r="C383" s="23" t="str">
        <f t="array" ref="C383">IF($H383="","",IFERROR(INDEX('Game Records'!$A:$A,$H383),""))</f>
        <v/>
      </c>
      <c r="D383" s="23" t="str">
        <f t="array" ref="D383">IF($H383="","",IFERROR(INDEX('Game Records'!$U:$U,$H383),""))</f>
        <v/>
      </c>
      <c r="E383" s="23" t="str">
        <f t="array" ref="E383">IF($H383="","",LET(r,$H383,mode,LOWER(INDEX('Game Records'!$D:$D,r)&amp;""),endDate,INDEX('Game Records'!$C:$C,r),IF(mode="estimate",IF(endDate="","Estimate — End Date missing",IF(NOT(ISNUMBER(endDate)),"Estimate — Check End Date",IF(INT(endDate)&gt;=TODAY(),"In Progress — ends "&amp;TEXT(endDate,"mmm d, yyyy"),"Ready to Finalize"))),IF($F383="","No Highlighted Fields","Highlighted Fields Present"))))</f>
        <v/>
      </c>
      <c r="F383" s="23" t="str">
        <f t="array" ref="F383">IF($H383="","",IF(OR(NOT(_xlfn.ISFORMULA(INDEX('Game Records'!$N:$N,$H383))),NOT(_xlfn.ISFORMULA(INDEX('Game Records'!$O:$O,$H383))),NOT(_xlfn.ISFORMULA(INDEX('Game Records'!$P:$P,$H383))),NOT(_xlfn.ISFORMULA(INDEX('Game Records'!$Q:$Q,$H383))),NOT(_xlfn.ISFORMULA(INDEX('Game Records'!$R:$R,$H383))),NOT(_xlfn.ISFORMULA(INDEX('Game Records'!$S:$S,$H383))),NOT(_xlfn.ISFORMULA(INDEX('Game Records'!$T:$T,$H383))),NOT(_xlfn.ISFORMULA(INDEX('Game Records'!$U:$U,$H383))),NOT(_xlfn.ISFORMULA(INDEX('Game Records'!$V:$V,$H383))),NOT(_xlfn.ISFORMULA(INDEX('Game Records'!$W:$W,$H383))),NOT(_xlfn.ISFORMULA(INDEX('Game Records'!$X:$X,$H383))),NOT(_xlfn.ISFORMULA(INDEX('Game Records'!$Y:$Y,$H383))),NOT(_xlfn.ISFORMULA(INDEX('Game Records'!$Z:$Z,$H383)))),"","")&amp;IF(INDEX('Game Records'!$B:$B,$H383)="","Start Date; ","")&amp;IF(INDEX('Game Records'!$C:$C,$H383)="","End Date; ","")&amp;IF(AND(INDEX('Game Records'!$U:$U,$H383)&lt;&gt;"Subscription",INDEX('Game Records'!$U:$U,$H383)&lt;&gt;"Free Game",INDEX('Game Records'!$U:$U,$H383)&lt;&gt;"Disqualified — Free Game",OR(INDEX('Game Records'!$D:$D,$H383)="",LOWER(INDEX('Game Records'!$D:$D,$H383)&amp;"")="n/a")),"Entry Mode; ","")&amp;IF(AND(INDEX('Game Records'!$U:$U,$H383)&lt;&gt;"Subscription",INDEX('Game Records'!$U:$U,$H383)&lt;&gt;"Free Game",INDEX('Game Records'!$U:$U,$H383)&lt;&gt;"Disqualified — Free Game",OR(INDEX('Game Records'!$E:$E,$H383)="",LOWER(INDEX('Game Records'!$E:$E,$H383)&amp;"")="n/a")),"Game Type; ","")&amp;IF(INDEX('Game Records'!$F:$F,$H383)="","Payment Type; ","")&amp;IF(AND(INDEX('Game Records'!$U:$U,$H383)&lt;&gt;"Subscription",INDEX('Game Records'!$U:$U,$H383)&lt;&gt;"Free Game",INDEX('Game Records'!$U:$U,$H383)&lt;&gt;"Disqualified — Free Game",INDEX('Game Records'!$G:$G,$H383)=""),"Gross Pot; ","")&amp;IF(AND(INDEX('Game Records'!$U:$U,$H383)&lt;&gt;"Free Game",INDEX('Game Records'!$U:$U,$H383)&lt;&gt;"Disqualified — Free Game",INDEX('Game Records'!$H:$H,$H383)=""),"Entry Fee; ","")&amp;IF(AND(INDEX('Game Records'!$U:$U,$H383)&lt;&gt;"Subscription",INDEX('Game Records'!$U:$U,$H383)&lt;&gt;"Free Game",INDEX('Game Records'!$U:$U,$H383)&lt;&gt;"Disqualified — Free Game",INDEX('Game Records'!$I:$I,$H383)=""),"Eligible Players; ","")&amp;IF(AND(INDEX('Game Records'!$U:$U,$H383)&lt;&gt;"Subscription",INDEX('Game Records'!$U:$U,$H383)&lt;&gt;"Free Game",INDEX('Game Records'!$U:$U,$H383)&lt;&gt;"Disqualified — Free Game",INDEX('Game Records'!$J:$J,$H383)=""),"Total Players; ","")&amp;IF(AND(LOWER(INDEX('Game Records'!$D:$D,$H383)&amp;"")="finalized",LOWER(INDEX('Game Records'!$L:$L,$H383)&amp;"")&lt;&gt;"yes",INDEX('Game Records'!$U:$U,$H383)&lt;&gt;"Subscription",INDEX('Game Records'!$U:$U,$H383)&lt;&gt;"Free Game",INDEX('Game Records'!$U:$U,$H383)&lt;&gt;"Disqualified — Free Game",INDEX('Game Records'!$K:$K,$H383)=""),"Final Payout; ","")&amp;IF(AND(LOWER(INDEX('Game Records'!$D:$D,$H383)&amp;"")="finalized",INDEX('Game Records'!$U:$U,$H383)&lt;&gt;"Subscription",INDEX('Game Records'!$U:$U,$H383)&lt;&gt;"Free Game",INDEX('Game Records'!$U:$U,$H383)&lt;&gt;"Disqualified — Free Game",OR(INDEX('Game Records'!$L:$L,$H383)="",LOWER(INDEX('Game Records'!$L:$L,$H383)&amp;"")="n/a")),"Disqualified Status; ",""))</f>
        <v/>
      </c>
      <c r="G383" s="23" t="str">
        <f t="array" ref="G383">IF($H383="","",IFERROR(INDEX('Game Records'!$M:$M,$H383),""))</f>
        <v/>
      </c>
      <c r="H383" s="3"/>
    </row>
    <row r="384" ht="24.0" customHeight="1">
      <c r="A384" s="18" t="str">
        <f t="shared" si="1"/>
        <v/>
      </c>
      <c r="B384" s="18" t="str">
        <f t="shared" si="2"/>
        <v/>
      </c>
      <c r="C384" s="23" t="str">
        <f t="array" ref="C384">IF($H384="","",IFERROR(INDEX('Game Records'!$A:$A,$H384),""))</f>
        <v/>
      </c>
      <c r="D384" s="23" t="str">
        <f t="array" ref="D384">IF($H384="","",IFERROR(INDEX('Game Records'!$U:$U,$H384),""))</f>
        <v/>
      </c>
      <c r="E384" s="23" t="str">
        <f t="array" ref="E384">IF($H384="","",LET(r,$H384,mode,LOWER(INDEX('Game Records'!$D:$D,r)&amp;""),endDate,INDEX('Game Records'!$C:$C,r),IF(mode="estimate",IF(endDate="","Estimate — End Date missing",IF(NOT(ISNUMBER(endDate)),"Estimate — Check End Date",IF(INT(endDate)&gt;=TODAY(),"In Progress — ends "&amp;TEXT(endDate,"mmm d, yyyy"),"Ready to Finalize"))),IF($F384="","No Highlighted Fields","Highlighted Fields Present"))))</f>
        <v/>
      </c>
      <c r="F384" s="23" t="str">
        <f t="array" ref="F384">IF($H384="","",IF(OR(NOT(_xlfn.ISFORMULA(INDEX('Game Records'!$N:$N,$H384))),NOT(_xlfn.ISFORMULA(INDEX('Game Records'!$O:$O,$H384))),NOT(_xlfn.ISFORMULA(INDEX('Game Records'!$P:$P,$H384))),NOT(_xlfn.ISFORMULA(INDEX('Game Records'!$Q:$Q,$H384))),NOT(_xlfn.ISFORMULA(INDEX('Game Records'!$R:$R,$H384))),NOT(_xlfn.ISFORMULA(INDEX('Game Records'!$S:$S,$H384))),NOT(_xlfn.ISFORMULA(INDEX('Game Records'!$T:$T,$H384))),NOT(_xlfn.ISFORMULA(INDEX('Game Records'!$U:$U,$H384))),NOT(_xlfn.ISFORMULA(INDEX('Game Records'!$V:$V,$H384))),NOT(_xlfn.ISFORMULA(INDEX('Game Records'!$W:$W,$H384))),NOT(_xlfn.ISFORMULA(INDEX('Game Records'!$X:$X,$H384))),NOT(_xlfn.ISFORMULA(INDEX('Game Records'!$Y:$Y,$H384))),NOT(_xlfn.ISFORMULA(INDEX('Game Records'!$Z:$Z,$H384)))),"","")&amp;IF(INDEX('Game Records'!$B:$B,$H384)="","Start Date; ","")&amp;IF(INDEX('Game Records'!$C:$C,$H384)="","End Date; ","")&amp;IF(AND(INDEX('Game Records'!$U:$U,$H384)&lt;&gt;"Subscription",INDEX('Game Records'!$U:$U,$H384)&lt;&gt;"Free Game",INDEX('Game Records'!$U:$U,$H384)&lt;&gt;"Disqualified — Free Game",OR(INDEX('Game Records'!$D:$D,$H384)="",LOWER(INDEX('Game Records'!$D:$D,$H384)&amp;"")="n/a")),"Entry Mode; ","")&amp;IF(AND(INDEX('Game Records'!$U:$U,$H384)&lt;&gt;"Subscription",INDEX('Game Records'!$U:$U,$H384)&lt;&gt;"Free Game",INDEX('Game Records'!$U:$U,$H384)&lt;&gt;"Disqualified — Free Game",OR(INDEX('Game Records'!$E:$E,$H384)="",LOWER(INDEX('Game Records'!$E:$E,$H384)&amp;"")="n/a")),"Game Type; ","")&amp;IF(INDEX('Game Records'!$F:$F,$H384)="","Payment Type; ","")&amp;IF(AND(INDEX('Game Records'!$U:$U,$H384)&lt;&gt;"Subscription",INDEX('Game Records'!$U:$U,$H384)&lt;&gt;"Free Game",INDEX('Game Records'!$U:$U,$H384)&lt;&gt;"Disqualified — Free Game",INDEX('Game Records'!$G:$G,$H384)=""),"Gross Pot; ","")&amp;IF(AND(INDEX('Game Records'!$U:$U,$H384)&lt;&gt;"Free Game",INDEX('Game Records'!$U:$U,$H384)&lt;&gt;"Disqualified — Free Game",INDEX('Game Records'!$H:$H,$H384)=""),"Entry Fee; ","")&amp;IF(AND(INDEX('Game Records'!$U:$U,$H384)&lt;&gt;"Subscription",INDEX('Game Records'!$U:$U,$H384)&lt;&gt;"Free Game",INDEX('Game Records'!$U:$U,$H384)&lt;&gt;"Disqualified — Free Game",INDEX('Game Records'!$I:$I,$H384)=""),"Eligible Players; ","")&amp;IF(AND(INDEX('Game Records'!$U:$U,$H384)&lt;&gt;"Subscription",INDEX('Game Records'!$U:$U,$H384)&lt;&gt;"Free Game",INDEX('Game Records'!$U:$U,$H384)&lt;&gt;"Disqualified — Free Game",INDEX('Game Records'!$J:$J,$H384)=""),"Total Players; ","")&amp;IF(AND(LOWER(INDEX('Game Records'!$D:$D,$H384)&amp;"")="finalized",LOWER(INDEX('Game Records'!$L:$L,$H384)&amp;"")&lt;&gt;"yes",INDEX('Game Records'!$U:$U,$H384)&lt;&gt;"Subscription",INDEX('Game Records'!$U:$U,$H384)&lt;&gt;"Free Game",INDEX('Game Records'!$U:$U,$H384)&lt;&gt;"Disqualified — Free Game",INDEX('Game Records'!$K:$K,$H384)=""),"Final Payout; ","")&amp;IF(AND(LOWER(INDEX('Game Records'!$D:$D,$H384)&amp;"")="finalized",INDEX('Game Records'!$U:$U,$H384)&lt;&gt;"Subscription",INDEX('Game Records'!$U:$U,$H384)&lt;&gt;"Free Game",INDEX('Game Records'!$U:$U,$H384)&lt;&gt;"Disqualified — Free Game",OR(INDEX('Game Records'!$L:$L,$H384)="",LOWER(INDEX('Game Records'!$L:$L,$H384)&amp;"")="n/a")),"Disqualified Status; ",""))</f>
        <v/>
      </c>
      <c r="G384" s="23" t="str">
        <f t="array" ref="G384">IF($H384="","",IFERROR(INDEX('Game Records'!$M:$M,$H384),""))</f>
        <v/>
      </c>
      <c r="H384" s="3"/>
    </row>
    <row r="385" ht="24.0" customHeight="1">
      <c r="A385" s="18" t="str">
        <f t="shared" si="1"/>
        <v/>
      </c>
      <c r="B385" s="18" t="str">
        <f t="shared" si="2"/>
        <v/>
      </c>
      <c r="C385" s="23" t="str">
        <f t="array" ref="C385">IF($H385="","",IFERROR(INDEX('Game Records'!$A:$A,$H385),""))</f>
        <v/>
      </c>
      <c r="D385" s="23" t="str">
        <f t="array" ref="D385">IF($H385="","",IFERROR(INDEX('Game Records'!$U:$U,$H385),""))</f>
        <v/>
      </c>
      <c r="E385" s="23" t="str">
        <f t="array" ref="E385">IF($H385="","",LET(r,$H385,mode,LOWER(INDEX('Game Records'!$D:$D,r)&amp;""),endDate,INDEX('Game Records'!$C:$C,r),IF(mode="estimate",IF(endDate="","Estimate — End Date missing",IF(NOT(ISNUMBER(endDate)),"Estimate — Check End Date",IF(INT(endDate)&gt;=TODAY(),"In Progress — ends "&amp;TEXT(endDate,"mmm d, yyyy"),"Ready to Finalize"))),IF($F385="","No Highlighted Fields","Highlighted Fields Present"))))</f>
        <v/>
      </c>
      <c r="F385" s="23" t="str">
        <f t="array" ref="F385">IF($H385="","",IF(OR(NOT(_xlfn.ISFORMULA(INDEX('Game Records'!$N:$N,$H385))),NOT(_xlfn.ISFORMULA(INDEX('Game Records'!$O:$O,$H385))),NOT(_xlfn.ISFORMULA(INDEX('Game Records'!$P:$P,$H385))),NOT(_xlfn.ISFORMULA(INDEX('Game Records'!$Q:$Q,$H385))),NOT(_xlfn.ISFORMULA(INDEX('Game Records'!$R:$R,$H385))),NOT(_xlfn.ISFORMULA(INDEX('Game Records'!$S:$S,$H385))),NOT(_xlfn.ISFORMULA(INDEX('Game Records'!$T:$T,$H385))),NOT(_xlfn.ISFORMULA(INDEX('Game Records'!$U:$U,$H385))),NOT(_xlfn.ISFORMULA(INDEX('Game Records'!$V:$V,$H385))),NOT(_xlfn.ISFORMULA(INDEX('Game Records'!$W:$W,$H385))),NOT(_xlfn.ISFORMULA(INDEX('Game Records'!$X:$X,$H385))),NOT(_xlfn.ISFORMULA(INDEX('Game Records'!$Y:$Y,$H385))),NOT(_xlfn.ISFORMULA(INDEX('Game Records'!$Z:$Z,$H385)))),"","")&amp;IF(INDEX('Game Records'!$B:$B,$H385)="","Start Date; ","")&amp;IF(INDEX('Game Records'!$C:$C,$H385)="","End Date; ","")&amp;IF(AND(INDEX('Game Records'!$U:$U,$H385)&lt;&gt;"Subscription",INDEX('Game Records'!$U:$U,$H385)&lt;&gt;"Free Game",INDEX('Game Records'!$U:$U,$H385)&lt;&gt;"Disqualified — Free Game",OR(INDEX('Game Records'!$D:$D,$H385)="",LOWER(INDEX('Game Records'!$D:$D,$H385)&amp;"")="n/a")),"Entry Mode; ","")&amp;IF(AND(INDEX('Game Records'!$U:$U,$H385)&lt;&gt;"Subscription",INDEX('Game Records'!$U:$U,$H385)&lt;&gt;"Free Game",INDEX('Game Records'!$U:$U,$H385)&lt;&gt;"Disqualified — Free Game",OR(INDEX('Game Records'!$E:$E,$H385)="",LOWER(INDEX('Game Records'!$E:$E,$H385)&amp;"")="n/a")),"Game Type; ","")&amp;IF(INDEX('Game Records'!$F:$F,$H385)="","Payment Type; ","")&amp;IF(AND(INDEX('Game Records'!$U:$U,$H385)&lt;&gt;"Subscription",INDEX('Game Records'!$U:$U,$H385)&lt;&gt;"Free Game",INDEX('Game Records'!$U:$U,$H385)&lt;&gt;"Disqualified — Free Game",INDEX('Game Records'!$G:$G,$H385)=""),"Gross Pot; ","")&amp;IF(AND(INDEX('Game Records'!$U:$U,$H385)&lt;&gt;"Free Game",INDEX('Game Records'!$U:$U,$H385)&lt;&gt;"Disqualified — Free Game",INDEX('Game Records'!$H:$H,$H385)=""),"Entry Fee; ","")&amp;IF(AND(INDEX('Game Records'!$U:$U,$H385)&lt;&gt;"Subscription",INDEX('Game Records'!$U:$U,$H385)&lt;&gt;"Free Game",INDEX('Game Records'!$U:$U,$H385)&lt;&gt;"Disqualified — Free Game",INDEX('Game Records'!$I:$I,$H385)=""),"Eligible Players; ","")&amp;IF(AND(INDEX('Game Records'!$U:$U,$H385)&lt;&gt;"Subscription",INDEX('Game Records'!$U:$U,$H385)&lt;&gt;"Free Game",INDEX('Game Records'!$U:$U,$H385)&lt;&gt;"Disqualified — Free Game",INDEX('Game Records'!$J:$J,$H385)=""),"Total Players; ","")&amp;IF(AND(LOWER(INDEX('Game Records'!$D:$D,$H385)&amp;"")="finalized",LOWER(INDEX('Game Records'!$L:$L,$H385)&amp;"")&lt;&gt;"yes",INDEX('Game Records'!$U:$U,$H385)&lt;&gt;"Subscription",INDEX('Game Records'!$U:$U,$H385)&lt;&gt;"Free Game",INDEX('Game Records'!$U:$U,$H385)&lt;&gt;"Disqualified — Free Game",INDEX('Game Records'!$K:$K,$H385)=""),"Final Payout; ","")&amp;IF(AND(LOWER(INDEX('Game Records'!$D:$D,$H385)&amp;"")="finalized",INDEX('Game Records'!$U:$U,$H385)&lt;&gt;"Subscription",INDEX('Game Records'!$U:$U,$H385)&lt;&gt;"Free Game",INDEX('Game Records'!$U:$U,$H385)&lt;&gt;"Disqualified — Free Game",OR(INDEX('Game Records'!$L:$L,$H385)="",LOWER(INDEX('Game Records'!$L:$L,$H385)&amp;"")="n/a")),"Disqualified Status; ",""))</f>
        <v/>
      </c>
      <c r="G385" s="23" t="str">
        <f t="array" ref="G385">IF($H385="","",IFERROR(INDEX('Game Records'!$M:$M,$H385),""))</f>
        <v/>
      </c>
      <c r="H385" s="3"/>
    </row>
    <row r="386" ht="24.0" customHeight="1">
      <c r="A386" s="18" t="str">
        <f t="shared" si="1"/>
        <v/>
      </c>
      <c r="B386" s="18" t="str">
        <f t="shared" si="2"/>
        <v/>
      </c>
      <c r="C386" s="23" t="str">
        <f t="array" ref="C386">IF($H386="","",IFERROR(INDEX('Game Records'!$A:$A,$H386),""))</f>
        <v/>
      </c>
      <c r="D386" s="23" t="str">
        <f t="array" ref="D386">IF($H386="","",IFERROR(INDEX('Game Records'!$U:$U,$H386),""))</f>
        <v/>
      </c>
      <c r="E386" s="23" t="str">
        <f t="array" ref="E386">IF($H386="","",LET(r,$H386,mode,LOWER(INDEX('Game Records'!$D:$D,r)&amp;""),endDate,INDEX('Game Records'!$C:$C,r),IF(mode="estimate",IF(endDate="","Estimate — End Date missing",IF(NOT(ISNUMBER(endDate)),"Estimate — Check End Date",IF(INT(endDate)&gt;=TODAY(),"In Progress — ends "&amp;TEXT(endDate,"mmm d, yyyy"),"Ready to Finalize"))),IF($F386="","No Highlighted Fields","Highlighted Fields Present"))))</f>
        <v/>
      </c>
      <c r="F386" s="23" t="str">
        <f t="array" ref="F386">IF($H386="","",IF(OR(NOT(_xlfn.ISFORMULA(INDEX('Game Records'!$N:$N,$H386))),NOT(_xlfn.ISFORMULA(INDEX('Game Records'!$O:$O,$H386))),NOT(_xlfn.ISFORMULA(INDEX('Game Records'!$P:$P,$H386))),NOT(_xlfn.ISFORMULA(INDEX('Game Records'!$Q:$Q,$H386))),NOT(_xlfn.ISFORMULA(INDEX('Game Records'!$R:$R,$H386))),NOT(_xlfn.ISFORMULA(INDEX('Game Records'!$S:$S,$H386))),NOT(_xlfn.ISFORMULA(INDEX('Game Records'!$T:$T,$H386))),NOT(_xlfn.ISFORMULA(INDEX('Game Records'!$U:$U,$H386))),NOT(_xlfn.ISFORMULA(INDEX('Game Records'!$V:$V,$H386))),NOT(_xlfn.ISFORMULA(INDEX('Game Records'!$W:$W,$H386))),NOT(_xlfn.ISFORMULA(INDEX('Game Records'!$X:$X,$H386))),NOT(_xlfn.ISFORMULA(INDEX('Game Records'!$Y:$Y,$H386))),NOT(_xlfn.ISFORMULA(INDEX('Game Records'!$Z:$Z,$H386)))),"","")&amp;IF(INDEX('Game Records'!$B:$B,$H386)="","Start Date; ","")&amp;IF(INDEX('Game Records'!$C:$C,$H386)="","End Date; ","")&amp;IF(AND(INDEX('Game Records'!$U:$U,$H386)&lt;&gt;"Subscription",INDEX('Game Records'!$U:$U,$H386)&lt;&gt;"Free Game",INDEX('Game Records'!$U:$U,$H386)&lt;&gt;"Disqualified — Free Game",OR(INDEX('Game Records'!$D:$D,$H386)="",LOWER(INDEX('Game Records'!$D:$D,$H386)&amp;"")="n/a")),"Entry Mode; ","")&amp;IF(AND(INDEX('Game Records'!$U:$U,$H386)&lt;&gt;"Subscription",INDEX('Game Records'!$U:$U,$H386)&lt;&gt;"Free Game",INDEX('Game Records'!$U:$U,$H386)&lt;&gt;"Disqualified — Free Game",OR(INDEX('Game Records'!$E:$E,$H386)="",LOWER(INDEX('Game Records'!$E:$E,$H386)&amp;"")="n/a")),"Game Type; ","")&amp;IF(INDEX('Game Records'!$F:$F,$H386)="","Payment Type; ","")&amp;IF(AND(INDEX('Game Records'!$U:$U,$H386)&lt;&gt;"Subscription",INDEX('Game Records'!$U:$U,$H386)&lt;&gt;"Free Game",INDEX('Game Records'!$U:$U,$H386)&lt;&gt;"Disqualified — Free Game",INDEX('Game Records'!$G:$G,$H386)=""),"Gross Pot; ","")&amp;IF(AND(INDEX('Game Records'!$U:$U,$H386)&lt;&gt;"Free Game",INDEX('Game Records'!$U:$U,$H386)&lt;&gt;"Disqualified — Free Game",INDEX('Game Records'!$H:$H,$H386)=""),"Entry Fee; ","")&amp;IF(AND(INDEX('Game Records'!$U:$U,$H386)&lt;&gt;"Subscription",INDEX('Game Records'!$U:$U,$H386)&lt;&gt;"Free Game",INDEX('Game Records'!$U:$U,$H386)&lt;&gt;"Disqualified — Free Game",INDEX('Game Records'!$I:$I,$H386)=""),"Eligible Players; ","")&amp;IF(AND(INDEX('Game Records'!$U:$U,$H386)&lt;&gt;"Subscription",INDEX('Game Records'!$U:$U,$H386)&lt;&gt;"Free Game",INDEX('Game Records'!$U:$U,$H386)&lt;&gt;"Disqualified — Free Game",INDEX('Game Records'!$J:$J,$H386)=""),"Total Players; ","")&amp;IF(AND(LOWER(INDEX('Game Records'!$D:$D,$H386)&amp;"")="finalized",LOWER(INDEX('Game Records'!$L:$L,$H386)&amp;"")&lt;&gt;"yes",INDEX('Game Records'!$U:$U,$H386)&lt;&gt;"Subscription",INDEX('Game Records'!$U:$U,$H386)&lt;&gt;"Free Game",INDEX('Game Records'!$U:$U,$H386)&lt;&gt;"Disqualified — Free Game",INDEX('Game Records'!$K:$K,$H386)=""),"Final Payout; ","")&amp;IF(AND(LOWER(INDEX('Game Records'!$D:$D,$H386)&amp;"")="finalized",INDEX('Game Records'!$U:$U,$H386)&lt;&gt;"Subscription",INDEX('Game Records'!$U:$U,$H386)&lt;&gt;"Free Game",INDEX('Game Records'!$U:$U,$H386)&lt;&gt;"Disqualified — Free Game",OR(INDEX('Game Records'!$L:$L,$H386)="",LOWER(INDEX('Game Records'!$L:$L,$H386)&amp;"")="n/a")),"Disqualified Status; ",""))</f>
        <v/>
      </c>
      <c r="G386" s="23" t="str">
        <f t="array" ref="G386">IF($H386="","",IFERROR(INDEX('Game Records'!$M:$M,$H386),""))</f>
        <v/>
      </c>
      <c r="H386" s="3"/>
    </row>
    <row r="387" ht="24.0" customHeight="1">
      <c r="A387" s="18" t="str">
        <f t="shared" si="1"/>
        <v/>
      </c>
      <c r="B387" s="18" t="str">
        <f t="shared" si="2"/>
        <v/>
      </c>
      <c r="C387" s="23" t="str">
        <f t="array" ref="C387">IF($H387="","",IFERROR(INDEX('Game Records'!$A:$A,$H387),""))</f>
        <v/>
      </c>
      <c r="D387" s="23" t="str">
        <f t="array" ref="D387">IF($H387="","",IFERROR(INDEX('Game Records'!$U:$U,$H387),""))</f>
        <v/>
      </c>
      <c r="E387" s="23" t="str">
        <f t="array" ref="E387">IF($H387="","",LET(r,$H387,mode,LOWER(INDEX('Game Records'!$D:$D,r)&amp;""),endDate,INDEX('Game Records'!$C:$C,r),IF(mode="estimate",IF(endDate="","Estimate — End Date missing",IF(NOT(ISNUMBER(endDate)),"Estimate — Check End Date",IF(INT(endDate)&gt;=TODAY(),"In Progress — ends "&amp;TEXT(endDate,"mmm d, yyyy"),"Ready to Finalize"))),IF($F387="","No Highlighted Fields","Highlighted Fields Present"))))</f>
        <v/>
      </c>
      <c r="F387" s="23" t="str">
        <f t="array" ref="F387">IF($H387="","",IF(OR(NOT(_xlfn.ISFORMULA(INDEX('Game Records'!$N:$N,$H387))),NOT(_xlfn.ISFORMULA(INDEX('Game Records'!$O:$O,$H387))),NOT(_xlfn.ISFORMULA(INDEX('Game Records'!$P:$P,$H387))),NOT(_xlfn.ISFORMULA(INDEX('Game Records'!$Q:$Q,$H387))),NOT(_xlfn.ISFORMULA(INDEX('Game Records'!$R:$R,$H387))),NOT(_xlfn.ISFORMULA(INDEX('Game Records'!$S:$S,$H387))),NOT(_xlfn.ISFORMULA(INDEX('Game Records'!$T:$T,$H387))),NOT(_xlfn.ISFORMULA(INDEX('Game Records'!$U:$U,$H387))),NOT(_xlfn.ISFORMULA(INDEX('Game Records'!$V:$V,$H387))),NOT(_xlfn.ISFORMULA(INDEX('Game Records'!$W:$W,$H387))),NOT(_xlfn.ISFORMULA(INDEX('Game Records'!$X:$X,$H387))),NOT(_xlfn.ISFORMULA(INDEX('Game Records'!$Y:$Y,$H387))),NOT(_xlfn.ISFORMULA(INDEX('Game Records'!$Z:$Z,$H387)))),"","")&amp;IF(INDEX('Game Records'!$B:$B,$H387)="","Start Date; ","")&amp;IF(INDEX('Game Records'!$C:$C,$H387)="","End Date; ","")&amp;IF(AND(INDEX('Game Records'!$U:$U,$H387)&lt;&gt;"Subscription",INDEX('Game Records'!$U:$U,$H387)&lt;&gt;"Free Game",INDEX('Game Records'!$U:$U,$H387)&lt;&gt;"Disqualified — Free Game",OR(INDEX('Game Records'!$D:$D,$H387)="",LOWER(INDEX('Game Records'!$D:$D,$H387)&amp;"")="n/a")),"Entry Mode; ","")&amp;IF(AND(INDEX('Game Records'!$U:$U,$H387)&lt;&gt;"Subscription",INDEX('Game Records'!$U:$U,$H387)&lt;&gt;"Free Game",INDEX('Game Records'!$U:$U,$H387)&lt;&gt;"Disqualified — Free Game",OR(INDEX('Game Records'!$E:$E,$H387)="",LOWER(INDEX('Game Records'!$E:$E,$H387)&amp;"")="n/a")),"Game Type; ","")&amp;IF(INDEX('Game Records'!$F:$F,$H387)="","Payment Type; ","")&amp;IF(AND(INDEX('Game Records'!$U:$U,$H387)&lt;&gt;"Subscription",INDEX('Game Records'!$U:$U,$H387)&lt;&gt;"Free Game",INDEX('Game Records'!$U:$U,$H387)&lt;&gt;"Disqualified — Free Game",INDEX('Game Records'!$G:$G,$H387)=""),"Gross Pot; ","")&amp;IF(AND(INDEX('Game Records'!$U:$U,$H387)&lt;&gt;"Free Game",INDEX('Game Records'!$U:$U,$H387)&lt;&gt;"Disqualified — Free Game",INDEX('Game Records'!$H:$H,$H387)=""),"Entry Fee; ","")&amp;IF(AND(INDEX('Game Records'!$U:$U,$H387)&lt;&gt;"Subscription",INDEX('Game Records'!$U:$U,$H387)&lt;&gt;"Free Game",INDEX('Game Records'!$U:$U,$H387)&lt;&gt;"Disqualified — Free Game",INDEX('Game Records'!$I:$I,$H387)=""),"Eligible Players; ","")&amp;IF(AND(INDEX('Game Records'!$U:$U,$H387)&lt;&gt;"Subscription",INDEX('Game Records'!$U:$U,$H387)&lt;&gt;"Free Game",INDEX('Game Records'!$U:$U,$H387)&lt;&gt;"Disqualified — Free Game",INDEX('Game Records'!$J:$J,$H387)=""),"Total Players; ","")&amp;IF(AND(LOWER(INDEX('Game Records'!$D:$D,$H387)&amp;"")="finalized",LOWER(INDEX('Game Records'!$L:$L,$H387)&amp;"")&lt;&gt;"yes",INDEX('Game Records'!$U:$U,$H387)&lt;&gt;"Subscription",INDEX('Game Records'!$U:$U,$H387)&lt;&gt;"Free Game",INDEX('Game Records'!$U:$U,$H387)&lt;&gt;"Disqualified — Free Game",INDEX('Game Records'!$K:$K,$H387)=""),"Final Payout; ","")&amp;IF(AND(LOWER(INDEX('Game Records'!$D:$D,$H387)&amp;"")="finalized",INDEX('Game Records'!$U:$U,$H387)&lt;&gt;"Subscription",INDEX('Game Records'!$U:$U,$H387)&lt;&gt;"Free Game",INDEX('Game Records'!$U:$U,$H387)&lt;&gt;"Disqualified — Free Game",OR(INDEX('Game Records'!$L:$L,$H387)="",LOWER(INDEX('Game Records'!$L:$L,$H387)&amp;"")="n/a")),"Disqualified Status; ",""))</f>
        <v/>
      </c>
      <c r="G387" s="23" t="str">
        <f t="array" ref="G387">IF($H387="","",IFERROR(INDEX('Game Records'!$M:$M,$H387),""))</f>
        <v/>
      </c>
      <c r="H387" s="3"/>
    </row>
    <row r="388" ht="24.0" customHeight="1">
      <c r="A388" s="18" t="str">
        <f t="shared" si="1"/>
        <v/>
      </c>
      <c r="B388" s="18" t="str">
        <f t="shared" si="2"/>
        <v/>
      </c>
      <c r="C388" s="23" t="str">
        <f t="array" ref="C388">IF($H388="","",IFERROR(INDEX('Game Records'!$A:$A,$H388),""))</f>
        <v/>
      </c>
      <c r="D388" s="23" t="str">
        <f t="array" ref="D388">IF($H388="","",IFERROR(INDEX('Game Records'!$U:$U,$H388),""))</f>
        <v/>
      </c>
      <c r="E388" s="23" t="str">
        <f t="array" ref="E388">IF($H388="","",LET(r,$H388,mode,LOWER(INDEX('Game Records'!$D:$D,r)&amp;""),endDate,INDEX('Game Records'!$C:$C,r),IF(mode="estimate",IF(endDate="","Estimate — End Date missing",IF(NOT(ISNUMBER(endDate)),"Estimate — Check End Date",IF(INT(endDate)&gt;=TODAY(),"In Progress — ends "&amp;TEXT(endDate,"mmm d, yyyy"),"Ready to Finalize"))),IF($F388="","No Highlighted Fields","Highlighted Fields Present"))))</f>
        <v/>
      </c>
      <c r="F388" s="23" t="str">
        <f t="array" ref="F388">IF($H388="","",IF(OR(NOT(_xlfn.ISFORMULA(INDEX('Game Records'!$N:$N,$H388))),NOT(_xlfn.ISFORMULA(INDEX('Game Records'!$O:$O,$H388))),NOT(_xlfn.ISFORMULA(INDEX('Game Records'!$P:$P,$H388))),NOT(_xlfn.ISFORMULA(INDEX('Game Records'!$Q:$Q,$H388))),NOT(_xlfn.ISFORMULA(INDEX('Game Records'!$R:$R,$H388))),NOT(_xlfn.ISFORMULA(INDEX('Game Records'!$S:$S,$H388))),NOT(_xlfn.ISFORMULA(INDEX('Game Records'!$T:$T,$H388))),NOT(_xlfn.ISFORMULA(INDEX('Game Records'!$U:$U,$H388))),NOT(_xlfn.ISFORMULA(INDEX('Game Records'!$V:$V,$H388))),NOT(_xlfn.ISFORMULA(INDEX('Game Records'!$W:$W,$H388))),NOT(_xlfn.ISFORMULA(INDEX('Game Records'!$X:$X,$H388))),NOT(_xlfn.ISFORMULA(INDEX('Game Records'!$Y:$Y,$H388))),NOT(_xlfn.ISFORMULA(INDEX('Game Records'!$Z:$Z,$H388)))),"","")&amp;IF(INDEX('Game Records'!$B:$B,$H388)="","Start Date; ","")&amp;IF(INDEX('Game Records'!$C:$C,$H388)="","End Date; ","")&amp;IF(AND(INDEX('Game Records'!$U:$U,$H388)&lt;&gt;"Subscription",INDEX('Game Records'!$U:$U,$H388)&lt;&gt;"Free Game",INDEX('Game Records'!$U:$U,$H388)&lt;&gt;"Disqualified — Free Game",OR(INDEX('Game Records'!$D:$D,$H388)="",LOWER(INDEX('Game Records'!$D:$D,$H388)&amp;"")="n/a")),"Entry Mode; ","")&amp;IF(AND(INDEX('Game Records'!$U:$U,$H388)&lt;&gt;"Subscription",INDEX('Game Records'!$U:$U,$H388)&lt;&gt;"Free Game",INDEX('Game Records'!$U:$U,$H388)&lt;&gt;"Disqualified — Free Game",OR(INDEX('Game Records'!$E:$E,$H388)="",LOWER(INDEX('Game Records'!$E:$E,$H388)&amp;"")="n/a")),"Game Type; ","")&amp;IF(INDEX('Game Records'!$F:$F,$H388)="","Payment Type; ","")&amp;IF(AND(INDEX('Game Records'!$U:$U,$H388)&lt;&gt;"Subscription",INDEX('Game Records'!$U:$U,$H388)&lt;&gt;"Free Game",INDEX('Game Records'!$U:$U,$H388)&lt;&gt;"Disqualified — Free Game",INDEX('Game Records'!$G:$G,$H388)=""),"Gross Pot; ","")&amp;IF(AND(INDEX('Game Records'!$U:$U,$H388)&lt;&gt;"Free Game",INDEX('Game Records'!$U:$U,$H388)&lt;&gt;"Disqualified — Free Game",INDEX('Game Records'!$H:$H,$H388)=""),"Entry Fee; ","")&amp;IF(AND(INDEX('Game Records'!$U:$U,$H388)&lt;&gt;"Subscription",INDEX('Game Records'!$U:$U,$H388)&lt;&gt;"Free Game",INDEX('Game Records'!$U:$U,$H388)&lt;&gt;"Disqualified — Free Game",INDEX('Game Records'!$I:$I,$H388)=""),"Eligible Players; ","")&amp;IF(AND(INDEX('Game Records'!$U:$U,$H388)&lt;&gt;"Subscription",INDEX('Game Records'!$U:$U,$H388)&lt;&gt;"Free Game",INDEX('Game Records'!$U:$U,$H388)&lt;&gt;"Disqualified — Free Game",INDEX('Game Records'!$J:$J,$H388)=""),"Total Players; ","")&amp;IF(AND(LOWER(INDEX('Game Records'!$D:$D,$H388)&amp;"")="finalized",LOWER(INDEX('Game Records'!$L:$L,$H388)&amp;"")&lt;&gt;"yes",INDEX('Game Records'!$U:$U,$H388)&lt;&gt;"Subscription",INDEX('Game Records'!$U:$U,$H388)&lt;&gt;"Free Game",INDEX('Game Records'!$U:$U,$H388)&lt;&gt;"Disqualified — Free Game",INDEX('Game Records'!$K:$K,$H388)=""),"Final Payout; ","")&amp;IF(AND(LOWER(INDEX('Game Records'!$D:$D,$H388)&amp;"")="finalized",INDEX('Game Records'!$U:$U,$H388)&lt;&gt;"Subscription",INDEX('Game Records'!$U:$U,$H388)&lt;&gt;"Free Game",INDEX('Game Records'!$U:$U,$H388)&lt;&gt;"Disqualified — Free Game",OR(INDEX('Game Records'!$L:$L,$H388)="",LOWER(INDEX('Game Records'!$L:$L,$H388)&amp;"")="n/a")),"Disqualified Status; ",""))</f>
        <v/>
      </c>
      <c r="G388" s="23" t="str">
        <f t="array" ref="G388">IF($H388="","",IFERROR(INDEX('Game Records'!$M:$M,$H388),""))</f>
        <v/>
      </c>
      <c r="H388" s="3"/>
    </row>
    <row r="389" ht="24.0" customHeight="1">
      <c r="A389" s="18" t="str">
        <f t="shared" si="1"/>
        <v/>
      </c>
      <c r="B389" s="18" t="str">
        <f t="shared" si="2"/>
        <v/>
      </c>
      <c r="C389" s="23" t="str">
        <f t="array" ref="C389">IF($H389="","",IFERROR(INDEX('Game Records'!$A:$A,$H389),""))</f>
        <v/>
      </c>
      <c r="D389" s="23" t="str">
        <f t="array" ref="D389">IF($H389="","",IFERROR(INDEX('Game Records'!$U:$U,$H389),""))</f>
        <v/>
      </c>
      <c r="E389" s="23" t="str">
        <f t="array" ref="E389">IF($H389="","",LET(r,$H389,mode,LOWER(INDEX('Game Records'!$D:$D,r)&amp;""),endDate,INDEX('Game Records'!$C:$C,r),IF(mode="estimate",IF(endDate="","Estimate — End Date missing",IF(NOT(ISNUMBER(endDate)),"Estimate — Check End Date",IF(INT(endDate)&gt;=TODAY(),"In Progress — ends "&amp;TEXT(endDate,"mmm d, yyyy"),"Ready to Finalize"))),IF($F389="","No Highlighted Fields","Highlighted Fields Present"))))</f>
        <v/>
      </c>
      <c r="F389" s="23" t="str">
        <f t="array" ref="F389">IF($H389="","",IF(OR(NOT(_xlfn.ISFORMULA(INDEX('Game Records'!$N:$N,$H389))),NOT(_xlfn.ISFORMULA(INDEX('Game Records'!$O:$O,$H389))),NOT(_xlfn.ISFORMULA(INDEX('Game Records'!$P:$P,$H389))),NOT(_xlfn.ISFORMULA(INDEX('Game Records'!$Q:$Q,$H389))),NOT(_xlfn.ISFORMULA(INDEX('Game Records'!$R:$R,$H389))),NOT(_xlfn.ISFORMULA(INDEX('Game Records'!$S:$S,$H389))),NOT(_xlfn.ISFORMULA(INDEX('Game Records'!$T:$T,$H389))),NOT(_xlfn.ISFORMULA(INDEX('Game Records'!$U:$U,$H389))),NOT(_xlfn.ISFORMULA(INDEX('Game Records'!$V:$V,$H389))),NOT(_xlfn.ISFORMULA(INDEX('Game Records'!$W:$W,$H389))),NOT(_xlfn.ISFORMULA(INDEX('Game Records'!$X:$X,$H389))),NOT(_xlfn.ISFORMULA(INDEX('Game Records'!$Y:$Y,$H389))),NOT(_xlfn.ISFORMULA(INDEX('Game Records'!$Z:$Z,$H389)))),"","")&amp;IF(INDEX('Game Records'!$B:$B,$H389)="","Start Date; ","")&amp;IF(INDEX('Game Records'!$C:$C,$H389)="","End Date; ","")&amp;IF(AND(INDEX('Game Records'!$U:$U,$H389)&lt;&gt;"Subscription",INDEX('Game Records'!$U:$U,$H389)&lt;&gt;"Free Game",INDEX('Game Records'!$U:$U,$H389)&lt;&gt;"Disqualified — Free Game",OR(INDEX('Game Records'!$D:$D,$H389)="",LOWER(INDEX('Game Records'!$D:$D,$H389)&amp;"")="n/a")),"Entry Mode; ","")&amp;IF(AND(INDEX('Game Records'!$U:$U,$H389)&lt;&gt;"Subscription",INDEX('Game Records'!$U:$U,$H389)&lt;&gt;"Free Game",INDEX('Game Records'!$U:$U,$H389)&lt;&gt;"Disqualified — Free Game",OR(INDEX('Game Records'!$E:$E,$H389)="",LOWER(INDEX('Game Records'!$E:$E,$H389)&amp;"")="n/a")),"Game Type; ","")&amp;IF(INDEX('Game Records'!$F:$F,$H389)="","Payment Type; ","")&amp;IF(AND(INDEX('Game Records'!$U:$U,$H389)&lt;&gt;"Subscription",INDEX('Game Records'!$U:$U,$H389)&lt;&gt;"Free Game",INDEX('Game Records'!$U:$U,$H389)&lt;&gt;"Disqualified — Free Game",INDEX('Game Records'!$G:$G,$H389)=""),"Gross Pot; ","")&amp;IF(AND(INDEX('Game Records'!$U:$U,$H389)&lt;&gt;"Free Game",INDEX('Game Records'!$U:$U,$H389)&lt;&gt;"Disqualified — Free Game",INDEX('Game Records'!$H:$H,$H389)=""),"Entry Fee; ","")&amp;IF(AND(INDEX('Game Records'!$U:$U,$H389)&lt;&gt;"Subscription",INDEX('Game Records'!$U:$U,$H389)&lt;&gt;"Free Game",INDEX('Game Records'!$U:$U,$H389)&lt;&gt;"Disqualified — Free Game",INDEX('Game Records'!$I:$I,$H389)=""),"Eligible Players; ","")&amp;IF(AND(INDEX('Game Records'!$U:$U,$H389)&lt;&gt;"Subscription",INDEX('Game Records'!$U:$U,$H389)&lt;&gt;"Free Game",INDEX('Game Records'!$U:$U,$H389)&lt;&gt;"Disqualified — Free Game",INDEX('Game Records'!$J:$J,$H389)=""),"Total Players; ","")&amp;IF(AND(LOWER(INDEX('Game Records'!$D:$D,$H389)&amp;"")="finalized",LOWER(INDEX('Game Records'!$L:$L,$H389)&amp;"")&lt;&gt;"yes",INDEX('Game Records'!$U:$U,$H389)&lt;&gt;"Subscription",INDEX('Game Records'!$U:$U,$H389)&lt;&gt;"Free Game",INDEX('Game Records'!$U:$U,$H389)&lt;&gt;"Disqualified — Free Game",INDEX('Game Records'!$K:$K,$H389)=""),"Final Payout; ","")&amp;IF(AND(LOWER(INDEX('Game Records'!$D:$D,$H389)&amp;"")="finalized",INDEX('Game Records'!$U:$U,$H389)&lt;&gt;"Subscription",INDEX('Game Records'!$U:$U,$H389)&lt;&gt;"Free Game",INDEX('Game Records'!$U:$U,$H389)&lt;&gt;"Disqualified — Free Game",OR(INDEX('Game Records'!$L:$L,$H389)="",LOWER(INDEX('Game Records'!$L:$L,$H389)&amp;"")="n/a")),"Disqualified Status; ",""))</f>
        <v/>
      </c>
      <c r="G389" s="23" t="str">
        <f t="array" ref="G389">IF($H389="","",IFERROR(INDEX('Game Records'!$M:$M,$H389),""))</f>
        <v/>
      </c>
      <c r="H389" s="3"/>
    </row>
    <row r="390" ht="24.0" customHeight="1">
      <c r="A390" s="18" t="str">
        <f t="shared" si="1"/>
        <v/>
      </c>
      <c r="B390" s="18" t="str">
        <f t="shared" si="2"/>
        <v/>
      </c>
      <c r="C390" s="23" t="str">
        <f t="array" ref="C390">IF($H390="","",IFERROR(INDEX('Game Records'!$A:$A,$H390),""))</f>
        <v/>
      </c>
      <c r="D390" s="23" t="str">
        <f t="array" ref="D390">IF($H390="","",IFERROR(INDEX('Game Records'!$U:$U,$H390),""))</f>
        <v/>
      </c>
      <c r="E390" s="23" t="str">
        <f t="array" ref="E390">IF($H390="","",LET(r,$H390,mode,LOWER(INDEX('Game Records'!$D:$D,r)&amp;""),endDate,INDEX('Game Records'!$C:$C,r),IF(mode="estimate",IF(endDate="","Estimate — End Date missing",IF(NOT(ISNUMBER(endDate)),"Estimate — Check End Date",IF(INT(endDate)&gt;=TODAY(),"In Progress — ends "&amp;TEXT(endDate,"mmm d, yyyy"),"Ready to Finalize"))),IF($F390="","No Highlighted Fields","Highlighted Fields Present"))))</f>
        <v/>
      </c>
      <c r="F390" s="23" t="str">
        <f t="array" ref="F390">IF($H390="","",IF(OR(NOT(_xlfn.ISFORMULA(INDEX('Game Records'!$N:$N,$H390))),NOT(_xlfn.ISFORMULA(INDEX('Game Records'!$O:$O,$H390))),NOT(_xlfn.ISFORMULA(INDEX('Game Records'!$P:$P,$H390))),NOT(_xlfn.ISFORMULA(INDEX('Game Records'!$Q:$Q,$H390))),NOT(_xlfn.ISFORMULA(INDEX('Game Records'!$R:$R,$H390))),NOT(_xlfn.ISFORMULA(INDEX('Game Records'!$S:$S,$H390))),NOT(_xlfn.ISFORMULA(INDEX('Game Records'!$T:$T,$H390))),NOT(_xlfn.ISFORMULA(INDEX('Game Records'!$U:$U,$H390))),NOT(_xlfn.ISFORMULA(INDEX('Game Records'!$V:$V,$H390))),NOT(_xlfn.ISFORMULA(INDEX('Game Records'!$W:$W,$H390))),NOT(_xlfn.ISFORMULA(INDEX('Game Records'!$X:$X,$H390))),NOT(_xlfn.ISFORMULA(INDEX('Game Records'!$Y:$Y,$H390))),NOT(_xlfn.ISFORMULA(INDEX('Game Records'!$Z:$Z,$H390)))),"","")&amp;IF(INDEX('Game Records'!$B:$B,$H390)="","Start Date; ","")&amp;IF(INDEX('Game Records'!$C:$C,$H390)="","End Date; ","")&amp;IF(AND(INDEX('Game Records'!$U:$U,$H390)&lt;&gt;"Subscription",INDEX('Game Records'!$U:$U,$H390)&lt;&gt;"Free Game",INDEX('Game Records'!$U:$U,$H390)&lt;&gt;"Disqualified — Free Game",OR(INDEX('Game Records'!$D:$D,$H390)="",LOWER(INDEX('Game Records'!$D:$D,$H390)&amp;"")="n/a")),"Entry Mode; ","")&amp;IF(AND(INDEX('Game Records'!$U:$U,$H390)&lt;&gt;"Subscription",INDEX('Game Records'!$U:$U,$H390)&lt;&gt;"Free Game",INDEX('Game Records'!$U:$U,$H390)&lt;&gt;"Disqualified — Free Game",OR(INDEX('Game Records'!$E:$E,$H390)="",LOWER(INDEX('Game Records'!$E:$E,$H390)&amp;"")="n/a")),"Game Type; ","")&amp;IF(INDEX('Game Records'!$F:$F,$H390)="","Payment Type; ","")&amp;IF(AND(INDEX('Game Records'!$U:$U,$H390)&lt;&gt;"Subscription",INDEX('Game Records'!$U:$U,$H390)&lt;&gt;"Free Game",INDEX('Game Records'!$U:$U,$H390)&lt;&gt;"Disqualified — Free Game",INDEX('Game Records'!$G:$G,$H390)=""),"Gross Pot; ","")&amp;IF(AND(INDEX('Game Records'!$U:$U,$H390)&lt;&gt;"Free Game",INDEX('Game Records'!$U:$U,$H390)&lt;&gt;"Disqualified — Free Game",INDEX('Game Records'!$H:$H,$H390)=""),"Entry Fee; ","")&amp;IF(AND(INDEX('Game Records'!$U:$U,$H390)&lt;&gt;"Subscription",INDEX('Game Records'!$U:$U,$H390)&lt;&gt;"Free Game",INDEX('Game Records'!$U:$U,$H390)&lt;&gt;"Disqualified — Free Game",INDEX('Game Records'!$I:$I,$H390)=""),"Eligible Players; ","")&amp;IF(AND(INDEX('Game Records'!$U:$U,$H390)&lt;&gt;"Subscription",INDEX('Game Records'!$U:$U,$H390)&lt;&gt;"Free Game",INDEX('Game Records'!$U:$U,$H390)&lt;&gt;"Disqualified — Free Game",INDEX('Game Records'!$J:$J,$H390)=""),"Total Players; ","")&amp;IF(AND(LOWER(INDEX('Game Records'!$D:$D,$H390)&amp;"")="finalized",LOWER(INDEX('Game Records'!$L:$L,$H390)&amp;"")&lt;&gt;"yes",INDEX('Game Records'!$U:$U,$H390)&lt;&gt;"Subscription",INDEX('Game Records'!$U:$U,$H390)&lt;&gt;"Free Game",INDEX('Game Records'!$U:$U,$H390)&lt;&gt;"Disqualified — Free Game",INDEX('Game Records'!$K:$K,$H390)=""),"Final Payout; ","")&amp;IF(AND(LOWER(INDEX('Game Records'!$D:$D,$H390)&amp;"")="finalized",INDEX('Game Records'!$U:$U,$H390)&lt;&gt;"Subscription",INDEX('Game Records'!$U:$U,$H390)&lt;&gt;"Free Game",INDEX('Game Records'!$U:$U,$H390)&lt;&gt;"Disqualified — Free Game",OR(INDEX('Game Records'!$L:$L,$H390)="",LOWER(INDEX('Game Records'!$L:$L,$H390)&amp;"")="n/a")),"Disqualified Status; ",""))</f>
        <v/>
      </c>
      <c r="G390" s="23" t="str">
        <f t="array" ref="G390">IF($H390="","",IFERROR(INDEX('Game Records'!$M:$M,$H390),""))</f>
        <v/>
      </c>
      <c r="H390" s="3"/>
    </row>
    <row r="391" ht="24.0" customHeight="1">
      <c r="A391" s="18" t="str">
        <f t="shared" si="1"/>
        <v/>
      </c>
      <c r="B391" s="18" t="str">
        <f t="shared" si="2"/>
        <v/>
      </c>
      <c r="C391" s="23" t="str">
        <f t="array" ref="C391">IF($H391="","",IFERROR(INDEX('Game Records'!$A:$A,$H391),""))</f>
        <v/>
      </c>
      <c r="D391" s="23" t="str">
        <f t="array" ref="D391">IF($H391="","",IFERROR(INDEX('Game Records'!$U:$U,$H391),""))</f>
        <v/>
      </c>
      <c r="E391" s="23" t="str">
        <f t="array" ref="E391">IF($H391="","",LET(r,$H391,mode,LOWER(INDEX('Game Records'!$D:$D,r)&amp;""),endDate,INDEX('Game Records'!$C:$C,r),IF(mode="estimate",IF(endDate="","Estimate — End Date missing",IF(NOT(ISNUMBER(endDate)),"Estimate — Check End Date",IF(INT(endDate)&gt;=TODAY(),"In Progress — ends "&amp;TEXT(endDate,"mmm d, yyyy"),"Ready to Finalize"))),IF($F391="","No Highlighted Fields","Highlighted Fields Present"))))</f>
        <v/>
      </c>
      <c r="F391" s="23" t="str">
        <f t="array" ref="F391">IF($H391="","",IF(OR(NOT(_xlfn.ISFORMULA(INDEX('Game Records'!$N:$N,$H391))),NOT(_xlfn.ISFORMULA(INDEX('Game Records'!$O:$O,$H391))),NOT(_xlfn.ISFORMULA(INDEX('Game Records'!$P:$P,$H391))),NOT(_xlfn.ISFORMULA(INDEX('Game Records'!$Q:$Q,$H391))),NOT(_xlfn.ISFORMULA(INDEX('Game Records'!$R:$R,$H391))),NOT(_xlfn.ISFORMULA(INDEX('Game Records'!$S:$S,$H391))),NOT(_xlfn.ISFORMULA(INDEX('Game Records'!$T:$T,$H391))),NOT(_xlfn.ISFORMULA(INDEX('Game Records'!$U:$U,$H391))),NOT(_xlfn.ISFORMULA(INDEX('Game Records'!$V:$V,$H391))),NOT(_xlfn.ISFORMULA(INDEX('Game Records'!$W:$W,$H391))),NOT(_xlfn.ISFORMULA(INDEX('Game Records'!$X:$X,$H391))),NOT(_xlfn.ISFORMULA(INDEX('Game Records'!$Y:$Y,$H391))),NOT(_xlfn.ISFORMULA(INDEX('Game Records'!$Z:$Z,$H391)))),"","")&amp;IF(INDEX('Game Records'!$B:$B,$H391)="","Start Date; ","")&amp;IF(INDEX('Game Records'!$C:$C,$H391)="","End Date; ","")&amp;IF(AND(INDEX('Game Records'!$U:$U,$H391)&lt;&gt;"Subscription",INDEX('Game Records'!$U:$U,$H391)&lt;&gt;"Free Game",INDEX('Game Records'!$U:$U,$H391)&lt;&gt;"Disqualified — Free Game",OR(INDEX('Game Records'!$D:$D,$H391)="",LOWER(INDEX('Game Records'!$D:$D,$H391)&amp;"")="n/a")),"Entry Mode; ","")&amp;IF(AND(INDEX('Game Records'!$U:$U,$H391)&lt;&gt;"Subscription",INDEX('Game Records'!$U:$U,$H391)&lt;&gt;"Free Game",INDEX('Game Records'!$U:$U,$H391)&lt;&gt;"Disqualified — Free Game",OR(INDEX('Game Records'!$E:$E,$H391)="",LOWER(INDEX('Game Records'!$E:$E,$H391)&amp;"")="n/a")),"Game Type; ","")&amp;IF(INDEX('Game Records'!$F:$F,$H391)="","Payment Type; ","")&amp;IF(AND(INDEX('Game Records'!$U:$U,$H391)&lt;&gt;"Subscription",INDEX('Game Records'!$U:$U,$H391)&lt;&gt;"Free Game",INDEX('Game Records'!$U:$U,$H391)&lt;&gt;"Disqualified — Free Game",INDEX('Game Records'!$G:$G,$H391)=""),"Gross Pot; ","")&amp;IF(AND(INDEX('Game Records'!$U:$U,$H391)&lt;&gt;"Free Game",INDEX('Game Records'!$U:$U,$H391)&lt;&gt;"Disqualified — Free Game",INDEX('Game Records'!$H:$H,$H391)=""),"Entry Fee; ","")&amp;IF(AND(INDEX('Game Records'!$U:$U,$H391)&lt;&gt;"Subscription",INDEX('Game Records'!$U:$U,$H391)&lt;&gt;"Free Game",INDEX('Game Records'!$U:$U,$H391)&lt;&gt;"Disqualified — Free Game",INDEX('Game Records'!$I:$I,$H391)=""),"Eligible Players; ","")&amp;IF(AND(INDEX('Game Records'!$U:$U,$H391)&lt;&gt;"Subscription",INDEX('Game Records'!$U:$U,$H391)&lt;&gt;"Free Game",INDEX('Game Records'!$U:$U,$H391)&lt;&gt;"Disqualified — Free Game",INDEX('Game Records'!$J:$J,$H391)=""),"Total Players; ","")&amp;IF(AND(LOWER(INDEX('Game Records'!$D:$D,$H391)&amp;"")="finalized",LOWER(INDEX('Game Records'!$L:$L,$H391)&amp;"")&lt;&gt;"yes",INDEX('Game Records'!$U:$U,$H391)&lt;&gt;"Subscription",INDEX('Game Records'!$U:$U,$H391)&lt;&gt;"Free Game",INDEX('Game Records'!$U:$U,$H391)&lt;&gt;"Disqualified — Free Game",INDEX('Game Records'!$K:$K,$H391)=""),"Final Payout; ","")&amp;IF(AND(LOWER(INDEX('Game Records'!$D:$D,$H391)&amp;"")="finalized",INDEX('Game Records'!$U:$U,$H391)&lt;&gt;"Subscription",INDEX('Game Records'!$U:$U,$H391)&lt;&gt;"Free Game",INDEX('Game Records'!$U:$U,$H391)&lt;&gt;"Disqualified — Free Game",OR(INDEX('Game Records'!$L:$L,$H391)="",LOWER(INDEX('Game Records'!$L:$L,$H391)&amp;"")="n/a")),"Disqualified Status; ",""))</f>
        <v/>
      </c>
      <c r="G391" s="23" t="str">
        <f t="array" ref="G391">IF($H391="","",IFERROR(INDEX('Game Records'!$M:$M,$H391),""))</f>
        <v/>
      </c>
      <c r="H391" s="3"/>
    </row>
    <row r="392" ht="24.0" customHeight="1">
      <c r="A392" s="18" t="str">
        <f t="shared" si="1"/>
        <v/>
      </c>
      <c r="B392" s="18" t="str">
        <f t="shared" si="2"/>
        <v/>
      </c>
      <c r="C392" s="23" t="str">
        <f t="array" ref="C392">IF($H392="","",IFERROR(INDEX('Game Records'!$A:$A,$H392),""))</f>
        <v/>
      </c>
      <c r="D392" s="23" t="str">
        <f t="array" ref="D392">IF($H392="","",IFERROR(INDEX('Game Records'!$U:$U,$H392),""))</f>
        <v/>
      </c>
      <c r="E392" s="23" t="str">
        <f t="array" ref="E392">IF($H392="","",LET(r,$H392,mode,LOWER(INDEX('Game Records'!$D:$D,r)&amp;""),endDate,INDEX('Game Records'!$C:$C,r),IF(mode="estimate",IF(endDate="","Estimate — End Date missing",IF(NOT(ISNUMBER(endDate)),"Estimate — Check End Date",IF(INT(endDate)&gt;=TODAY(),"In Progress — ends "&amp;TEXT(endDate,"mmm d, yyyy"),"Ready to Finalize"))),IF($F392="","No Highlighted Fields","Highlighted Fields Present"))))</f>
        <v/>
      </c>
      <c r="F392" s="23" t="str">
        <f t="array" ref="F392">IF($H392="","",IF(OR(NOT(_xlfn.ISFORMULA(INDEX('Game Records'!$N:$N,$H392))),NOT(_xlfn.ISFORMULA(INDEX('Game Records'!$O:$O,$H392))),NOT(_xlfn.ISFORMULA(INDEX('Game Records'!$P:$P,$H392))),NOT(_xlfn.ISFORMULA(INDEX('Game Records'!$Q:$Q,$H392))),NOT(_xlfn.ISFORMULA(INDEX('Game Records'!$R:$R,$H392))),NOT(_xlfn.ISFORMULA(INDEX('Game Records'!$S:$S,$H392))),NOT(_xlfn.ISFORMULA(INDEX('Game Records'!$T:$T,$H392))),NOT(_xlfn.ISFORMULA(INDEX('Game Records'!$U:$U,$H392))),NOT(_xlfn.ISFORMULA(INDEX('Game Records'!$V:$V,$H392))),NOT(_xlfn.ISFORMULA(INDEX('Game Records'!$W:$W,$H392))),NOT(_xlfn.ISFORMULA(INDEX('Game Records'!$X:$X,$H392))),NOT(_xlfn.ISFORMULA(INDEX('Game Records'!$Y:$Y,$H392))),NOT(_xlfn.ISFORMULA(INDEX('Game Records'!$Z:$Z,$H392)))),"","")&amp;IF(INDEX('Game Records'!$B:$B,$H392)="","Start Date; ","")&amp;IF(INDEX('Game Records'!$C:$C,$H392)="","End Date; ","")&amp;IF(AND(INDEX('Game Records'!$U:$U,$H392)&lt;&gt;"Subscription",INDEX('Game Records'!$U:$U,$H392)&lt;&gt;"Free Game",INDEX('Game Records'!$U:$U,$H392)&lt;&gt;"Disqualified — Free Game",OR(INDEX('Game Records'!$D:$D,$H392)="",LOWER(INDEX('Game Records'!$D:$D,$H392)&amp;"")="n/a")),"Entry Mode; ","")&amp;IF(AND(INDEX('Game Records'!$U:$U,$H392)&lt;&gt;"Subscription",INDEX('Game Records'!$U:$U,$H392)&lt;&gt;"Free Game",INDEX('Game Records'!$U:$U,$H392)&lt;&gt;"Disqualified — Free Game",OR(INDEX('Game Records'!$E:$E,$H392)="",LOWER(INDEX('Game Records'!$E:$E,$H392)&amp;"")="n/a")),"Game Type; ","")&amp;IF(INDEX('Game Records'!$F:$F,$H392)="","Payment Type; ","")&amp;IF(AND(INDEX('Game Records'!$U:$U,$H392)&lt;&gt;"Subscription",INDEX('Game Records'!$U:$U,$H392)&lt;&gt;"Free Game",INDEX('Game Records'!$U:$U,$H392)&lt;&gt;"Disqualified — Free Game",INDEX('Game Records'!$G:$G,$H392)=""),"Gross Pot; ","")&amp;IF(AND(INDEX('Game Records'!$U:$U,$H392)&lt;&gt;"Free Game",INDEX('Game Records'!$U:$U,$H392)&lt;&gt;"Disqualified — Free Game",INDEX('Game Records'!$H:$H,$H392)=""),"Entry Fee; ","")&amp;IF(AND(INDEX('Game Records'!$U:$U,$H392)&lt;&gt;"Subscription",INDEX('Game Records'!$U:$U,$H392)&lt;&gt;"Free Game",INDEX('Game Records'!$U:$U,$H392)&lt;&gt;"Disqualified — Free Game",INDEX('Game Records'!$I:$I,$H392)=""),"Eligible Players; ","")&amp;IF(AND(INDEX('Game Records'!$U:$U,$H392)&lt;&gt;"Subscription",INDEX('Game Records'!$U:$U,$H392)&lt;&gt;"Free Game",INDEX('Game Records'!$U:$U,$H392)&lt;&gt;"Disqualified — Free Game",INDEX('Game Records'!$J:$J,$H392)=""),"Total Players; ","")&amp;IF(AND(LOWER(INDEX('Game Records'!$D:$D,$H392)&amp;"")="finalized",LOWER(INDEX('Game Records'!$L:$L,$H392)&amp;"")&lt;&gt;"yes",INDEX('Game Records'!$U:$U,$H392)&lt;&gt;"Subscription",INDEX('Game Records'!$U:$U,$H392)&lt;&gt;"Free Game",INDEX('Game Records'!$U:$U,$H392)&lt;&gt;"Disqualified — Free Game",INDEX('Game Records'!$K:$K,$H392)=""),"Final Payout; ","")&amp;IF(AND(LOWER(INDEX('Game Records'!$D:$D,$H392)&amp;"")="finalized",INDEX('Game Records'!$U:$U,$H392)&lt;&gt;"Subscription",INDEX('Game Records'!$U:$U,$H392)&lt;&gt;"Free Game",INDEX('Game Records'!$U:$U,$H392)&lt;&gt;"Disqualified — Free Game",OR(INDEX('Game Records'!$L:$L,$H392)="",LOWER(INDEX('Game Records'!$L:$L,$H392)&amp;"")="n/a")),"Disqualified Status; ",""))</f>
        <v/>
      </c>
      <c r="G392" s="23" t="str">
        <f t="array" ref="G392">IF($H392="","",IFERROR(INDEX('Game Records'!$M:$M,$H392),""))</f>
        <v/>
      </c>
      <c r="H392" s="3"/>
    </row>
    <row r="393" ht="24.0" customHeight="1">
      <c r="A393" s="18" t="str">
        <f t="shared" si="1"/>
        <v/>
      </c>
      <c r="B393" s="18" t="str">
        <f t="shared" si="2"/>
        <v/>
      </c>
      <c r="C393" s="23" t="str">
        <f t="array" ref="C393">IF($H393="","",IFERROR(INDEX('Game Records'!$A:$A,$H393),""))</f>
        <v/>
      </c>
      <c r="D393" s="23" t="str">
        <f t="array" ref="D393">IF($H393="","",IFERROR(INDEX('Game Records'!$U:$U,$H393),""))</f>
        <v/>
      </c>
      <c r="E393" s="23" t="str">
        <f t="array" ref="E393">IF($H393="","",LET(r,$H393,mode,LOWER(INDEX('Game Records'!$D:$D,r)&amp;""),endDate,INDEX('Game Records'!$C:$C,r),IF(mode="estimate",IF(endDate="","Estimate — End Date missing",IF(NOT(ISNUMBER(endDate)),"Estimate — Check End Date",IF(INT(endDate)&gt;=TODAY(),"In Progress — ends "&amp;TEXT(endDate,"mmm d, yyyy"),"Ready to Finalize"))),IF($F393="","No Highlighted Fields","Highlighted Fields Present"))))</f>
        <v/>
      </c>
      <c r="F393" s="23" t="str">
        <f t="array" ref="F393">IF($H393="","",IF(OR(NOT(_xlfn.ISFORMULA(INDEX('Game Records'!$N:$N,$H393))),NOT(_xlfn.ISFORMULA(INDEX('Game Records'!$O:$O,$H393))),NOT(_xlfn.ISFORMULA(INDEX('Game Records'!$P:$P,$H393))),NOT(_xlfn.ISFORMULA(INDEX('Game Records'!$Q:$Q,$H393))),NOT(_xlfn.ISFORMULA(INDEX('Game Records'!$R:$R,$H393))),NOT(_xlfn.ISFORMULA(INDEX('Game Records'!$S:$S,$H393))),NOT(_xlfn.ISFORMULA(INDEX('Game Records'!$T:$T,$H393))),NOT(_xlfn.ISFORMULA(INDEX('Game Records'!$U:$U,$H393))),NOT(_xlfn.ISFORMULA(INDEX('Game Records'!$V:$V,$H393))),NOT(_xlfn.ISFORMULA(INDEX('Game Records'!$W:$W,$H393))),NOT(_xlfn.ISFORMULA(INDEX('Game Records'!$X:$X,$H393))),NOT(_xlfn.ISFORMULA(INDEX('Game Records'!$Y:$Y,$H393))),NOT(_xlfn.ISFORMULA(INDEX('Game Records'!$Z:$Z,$H393)))),"","")&amp;IF(INDEX('Game Records'!$B:$B,$H393)="","Start Date; ","")&amp;IF(INDEX('Game Records'!$C:$C,$H393)="","End Date; ","")&amp;IF(AND(INDEX('Game Records'!$U:$U,$H393)&lt;&gt;"Subscription",INDEX('Game Records'!$U:$U,$H393)&lt;&gt;"Free Game",INDEX('Game Records'!$U:$U,$H393)&lt;&gt;"Disqualified — Free Game",OR(INDEX('Game Records'!$D:$D,$H393)="",LOWER(INDEX('Game Records'!$D:$D,$H393)&amp;"")="n/a")),"Entry Mode; ","")&amp;IF(AND(INDEX('Game Records'!$U:$U,$H393)&lt;&gt;"Subscription",INDEX('Game Records'!$U:$U,$H393)&lt;&gt;"Free Game",INDEX('Game Records'!$U:$U,$H393)&lt;&gt;"Disqualified — Free Game",OR(INDEX('Game Records'!$E:$E,$H393)="",LOWER(INDEX('Game Records'!$E:$E,$H393)&amp;"")="n/a")),"Game Type; ","")&amp;IF(INDEX('Game Records'!$F:$F,$H393)="","Payment Type; ","")&amp;IF(AND(INDEX('Game Records'!$U:$U,$H393)&lt;&gt;"Subscription",INDEX('Game Records'!$U:$U,$H393)&lt;&gt;"Free Game",INDEX('Game Records'!$U:$U,$H393)&lt;&gt;"Disqualified — Free Game",INDEX('Game Records'!$G:$G,$H393)=""),"Gross Pot; ","")&amp;IF(AND(INDEX('Game Records'!$U:$U,$H393)&lt;&gt;"Free Game",INDEX('Game Records'!$U:$U,$H393)&lt;&gt;"Disqualified — Free Game",INDEX('Game Records'!$H:$H,$H393)=""),"Entry Fee; ","")&amp;IF(AND(INDEX('Game Records'!$U:$U,$H393)&lt;&gt;"Subscription",INDEX('Game Records'!$U:$U,$H393)&lt;&gt;"Free Game",INDEX('Game Records'!$U:$U,$H393)&lt;&gt;"Disqualified — Free Game",INDEX('Game Records'!$I:$I,$H393)=""),"Eligible Players; ","")&amp;IF(AND(INDEX('Game Records'!$U:$U,$H393)&lt;&gt;"Subscription",INDEX('Game Records'!$U:$U,$H393)&lt;&gt;"Free Game",INDEX('Game Records'!$U:$U,$H393)&lt;&gt;"Disqualified — Free Game",INDEX('Game Records'!$J:$J,$H393)=""),"Total Players; ","")&amp;IF(AND(LOWER(INDEX('Game Records'!$D:$D,$H393)&amp;"")="finalized",LOWER(INDEX('Game Records'!$L:$L,$H393)&amp;"")&lt;&gt;"yes",INDEX('Game Records'!$U:$U,$H393)&lt;&gt;"Subscription",INDEX('Game Records'!$U:$U,$H393)&lt;&gt;"Free Game",INDEX('Game Records'!$U:$U,$H393)&lt;&gt;"Disqualified — Free Game",INDEX('Game Records'!$K:$K,$H393)=""),"Final Payout; ","")&amp;IF(AND(LOWER(INDEX('Game Records'!$D:$D,$H393)&amp;"")="finalized",INDEX('Game Records'!$U:$U,$H393)&lt;&gt;"Subscription",INDEX('Game Records'!$U:$U,$H393)&lt;&gt;"Free Game",INDEX('Game Records'!$U:$U,$H393)&lt;&gt;"Disqualified — Free Game",OR(INDEX('Game Records'!$L:$L,$H393)="",LOWER(INDEX('Game Records'!$L:$L,$H393)&amp;"")="n/a")),"Disqualified Status; ",""))</f>
        <v/>
      </c>
      <c r="G393" s="23" t="str">
        <f t="array" ref="G393">IF($H393="","",IFERROR(INDEX('Game Records'!$M:$M,$H393),""))</f>
        <v/>
      </c>
      <c r="H393" s="3"/>
    </row>
    <row r="394" ht="24.0" customHeight="1">
      <c r="A394" s="18" t="str">
        <f t="shared" si="1"/>
        <v/>
      </c>
      <c r="B394" s="18" t="str">
        <f t="shared" si="2"/>
        <v/>
      </c>
      <c r="C394" s="23" t="str">
        <f t="array" ref="C394">IF($H394="","",IFERROR(INDEX('Game Records'!$A:$A,$H394),""))</f>
        <v/>
      </c>
      <c r="D394" s="23" t="str">
        <f t="array" ref="D394">IF($H394="","",IFERROR(INDEX('Game Records'!$U:$U,$H394),""))</f>
        <v/>
      </c>
      <c r="E394" s="23" t="str">
        <f t="array" ref="E394">IF($H394="","",LET(r,$H394,mode,LOWER(INDEX('Game Records'!$D:$D,r)&amp;""),endDate,INDEX('Game Records'!$C:$C,r),IF(mode="estimate",IF(endDate="","Estimate — End Date missing",IF(NOT(ISNUMBER(endDate)),"Estimate — Check End Date",IF(INT(endDate)&gt;=TODAY(),"In Progress — ends "&amp;TEXT(endDate,"mmm d, yyyy"),"Ready to Finalize"))),IF($F394="","No Highlighted Fields","Highlighted Fields Present"))))</f>
        <v/>
      </c>
      <c r="F394" s="23" t="str">
        <f t="array" ref="F394">IF($H394="","",IF(OR(NOT(_xlfn.ISFORMULA(INDEX('Game Records'!$N:$N,$H394))),NOT(_xlfn.ISFORMULA(INDEX('Game Records'!$O:$O,$H394))),NOT(_xlfn.ISFORMULA(INDEX('Game Records'!$P:$P,$H394))),NOT(_xlfn.ISFORMULA(INDEX('Game Records'!$Q:$Q,$H394))),NOT(_xlfn.ISFORMULA(INDEX('Game Records'!$R:$R,$H394))),NOT(_xlfn.ISFORMULA(INDEX('Game Records'!$S:$S,$H394))),NOT(_xlfn.ISFORMULA(INDEX('Game Records'!$T:$T,$H394))),NOT(_xlfn.ISFORMULA(INDEX('Game Records'!$U:$U,$H394))),NOT(_xlfn.ISFORMULA(INDEX('Game Records'!$V:$V,$H394))),NOT(_xlfn.ISFORMULA(INDEX('Game Records'!$W:$W,$H394))),NOT(_xlfn.ISFORMULA(INDEX('Game Records'!$X:$X,$H394))),NOT(_xlfn.ISFORMULA(INDEX('Game Records'!$Y:$Y,$H394))),NOT(_xlfn.ISFORMULA(INDEX('Game Records'!$Z:$Z,$H394)))),"","")&amp;IF(INDEX('Game Records'!$B:$B,$H394)="","Start Date; ","")&amp;IF(INDEX('Game Records'!$C:$C,$H394)="","End Date; ","")&amp;IF(AND(INDEX('Game Records'!$U:$U,$H394)&lt;&gt;"Subscription",INDEX('Game Records'!$U:$U,$H394)&lt;&gt;"Free Game",INDEX('Game Records'!$U:$U,$H394)&lt;&gt;"Disqualified — Free Game",OR(INDEX('Game Records'!$D:$D,$H394)="",LOWER(INDEX('Game Records'!$D:$D,$H394)&amp;"")="n/a")),"Entry Mode; ","")&amp;IF(AND(INDEX('Game Records'!$U:$U,$H394)&lt;&gt;"Subscription",INDEX('Game Records'!$U:$U,$H394)&lt;&gt;"Free Game",INDEX('Game Records'!$U:$U,$H394)&lt;&gt;"Disqualified — Free Game",OR(INDEX('Game Records'!$E:$E,$H394)="",LOWER(INDEX('Game Records'!$E:$E,$H394)&amp;"")="n/a")),"Game Type; ","")&amp;IF(INDEX('Game Records'!$F:$F,$H394)="","Payment Type; ","")&amp;IF(AND(INDEX('Game Records'!$U:$U,$H394)&lt;&gt;"Subscription",INDEX('Game Records'!$U:$U,$H394)&lt;&gt;"Free Game",INDEX('Game Records'!$U:$U,$H394)&lt;&gt;"Disqualified — Free Game",INDEX('Game Records'!$G:$G,$H394)=""),"Gross Pot; ","")&amp;IF(AND(INDEX('Game Records'!$U:$U,$H394)&lt;&gt;"Free Game",INDEX('Game Records'!$U:$U,$H394)&lt;&gt;"Disqualified — Free Game",INDEX('Game Records'!$H:$H,$H394)=""),"Entry Fee; ","")&amp;IF(AND(INDEX('Game Records'!$U:$U,$H394)&lt;&gt;"Subscription",INDEX('Game Records'!$U:$U,$H394)&lt;&gt;"Free Game",INDEX('Game Records'!$U:$U,$H394)&lt;&gt;"Disqualified — Free Game",INDEX('Game Records'!$I:$I,$H394)=""),"Eligible Players; ","")&amp;IF(AND(INDEX('Game Records'!$U:$U,$H394)&lt;&gt;"Subscription",INDEX('Game Records'!$U:$U,$H394)&lt;&gt;"Free Game",INDEX('Game Records'!$U:$U,$H394)&lt;&gt;"Disqualified — Free Game",INDEX('Game Records'!$J:$J,$H394)=""),"Total Players; ","")&amp;IF(AND(LOWER(INDEX('Game Records'!$D:$D,$H394)&amp;"")="finalized",LOWER(INDEX('Game Records'!$L:$L,$H394)&amp;"")&lt;&gt;"yes",INDEX('Game Records'!$U:$U,$H394)&lt;&gt;"Subscription",INDEX('Game Records'!$U:$U,$H394)&lt;&gt;"Free Game",INDEX('Game Records'!$U:$U,$H394)&lt;&gt;"Disqualified — Free Game",INDEX('Game Records'!$K:$K,$H394)=""),"Final Payout; ","")&amp;IF(AND(LOWER(INDEX('Game Records'!$D:$D,$H394)&amp;"")="finalized",INDEX('Game Records'!$U:$U,$H394)&lt;&gt;"Subscription",INDEX('Game Records'!$U:$U,$H394)&lt;&gt;"Free Game",INDEX('Game Records'!$U:$U,$H394)&lt;&gt;"Disqualified — Free Game",OR(INDEX('Game Records'!$L:$L,$H394)="",LOWER(INDEX('Game Records'!$L:$L,$H394)&amp;"")="n/a")),"Disqualified Status; ",""))</f>
        <v/>
      </c>
      <c r="G394" s="23" t="str">
        <f t="array" ref="G394">IF($H394="","",IFERROR(INDEX('Game Records'!$M:$M,$H394),""))</f>
        <v/>
      </c>
      <c r="H394" s="3"/>
    </row>
    <row r="395" ht="24.0" customHeight="1">
      <c r="A395" s="18" t="str">
        <f t="shared" si="1"/>
        <v/>
      </c>
      <c r="B395" s="18" t="str">
        <f t="shared" si="2"/>
        <v/>
      </c>
      <c r="C395" s="23" t="str">
        <f t="array" ref="C395">IF($H395="","",IFERROR(INDEX('Game Records'!$A:$A,$H395),""))</f>
        <v/>
      </c>
      <c r="D395" s="23" t="str">
        <f t="array" ref="D395">IF($H395="","",IFERROR(INDEX('Game Records'!$U:$U,$H395),""))</f>
        <v/>
      </c>
      <c r="E395" s="23" t="str">
        <f t="array" ref="E395">IF($H395="","",LET(r,$H395,mode,LOWER(INDEX('Game Records'!$D:$D,r)&amp;""),endDate,INDEX('Game Records'!$C:$C,r),IF(mode="estimate",IF(endDate="","Estimate — End Date missing",IF(NOT(ISNUMBER(endDate)),"Estimate — Check End Date",IF(INT(endDate)&gt;=TODAY(),"In Progress — ends "&amp;TEXT(endDate,"mmm d, yyyy"),"Ready to Finalize"))),IF($F395="","No Highlighted Fields","Highlighted Fields Present"))))</f>
        <v/>
      </c>
      <c r="F395" s="23" t="str">
        <f t="array" ref="F395">IF($H395="","",IF(OR(NOT(_xlfn.ISFORMULA(INDEX('Game Records'!$N:$N,$H395))),NOT(_xlfn.ISFORMULA(INDEX('Game Records'!$O:$O,$H395))),NOT(_xlfn.ISFORMULA(INDEX('Game Records'!$P:$P,$H395))),NOT(_xlfn.ISFORMULA(INDEX('Game Records'!$Q:$Q,$H395))),NOT(_xlfn.ISFORMULA(INDEX('Game Records'!$R:$R,$H395))),NOT(_xlfn.ISFORMULA(INDEX('Game Records'!$S:$S,$H395))),NOT(_xlfn.ISFORMULA(INDEX('Game Records'!$T:$T,$H395))),NOT(_xlfn.ISFORMULA(INDEX('Game Records'!$U:$U,$H395))),NOT(_xlfn.ISFORMULA(INDEX('Game Records'!$V:$V,$H395))),NOT(_xlfn.ISFORMULA(INDEX('Game Records'!$W:$W,$H395))),NOT(_xlfn.ISFORMULA(INDEX('Game Records'!$X:$X,$H395))),NOT(_xlfn.ISFORMULA(INDEX('Game Records'!$Y:$Y,$H395))),NOT(_xlfn.ISFORMULA(INDEX('Game Records'!$Z:$Z,$H395)))),"","")&amp;IF(INDEX('Game Records'!$B:$B,$H395)="","Start Date; ","")&amp;IF(INDEX('Game Records'!$C:$C,$H395)="","End Date; ","")&amp;IF(AND(INDEX('Game Records'!$U:$U,$H395)&lt;&gt;"Subscription",INDEX('Game Records'!$U:$U,$H395)&lt;&gt;"Free Game",INDEX('Game Records'!$U:$U,$H395)&lt;&gt;"Disqualified — Free Game",OR(INDEX('Game Records'!$D:$D,$H395)="",LOWER(INDEX('Game Records'!$D:$D,$H395)&amp;"")="n/a")),"Entry Mode; ","")&amp;IF(AND(INDEX('Game Records'!$U:$U,$H395)&lt;&gt;"Subscription",INDEX('Game Records'!$U:$U,$H395)&lt;&gt;"Free Game",INDEX('Game Records'!$U:$U,$H395)&lt;&gt;"Disqualified — Free Game",OR(INDEX('Game Records'!$E:$E,$H395)="",LOWER(INDEX('Game Records'!$E:$E,$H395)&amp;"")="n/a")),"Game Type; ","")&amp;IF(INDEX('Game Records'!$F:$F,$H395)="","Payment Type; ","")&amp;IF(AND(INDEX('Game Records'!$U:$U,$H395)&lt;&gt;"Subscription",INDEX('Game Records'!$U:$U,$H395)&lt;&gt;"Free Game",INDEX('Game Records'!$U:$U,$H395)&lt;&gt;"Disqualified — Free Game",INDEX('Game Records'!$G:$G,$H395)=""),"Gross Pot; ","")&amp;IF(AND(INDEX('Game Records'!$U:$U,$H395)&lt;&gt;"Free Game",INDEX('Game Records'!$U:$U,$H395)&lt;&gt;"Disqualified — Free Game",INDEX('Game Records'!$H:$H,$H395)=""),"Entry Fee; ","")&amp;IF(AND(INDEX('Game Records'!$U:$U,$H395)&lt;&gt;"Subscription",INDEX('Game Records'!$U:$U,$H395)&lt;&gt;"Free Game",INDEX('Game Records'!$U:$U,$H395)&lt;&gt;"Disqualified — Free Game",INDEX('Game Records'!$I:$I,$H395)=""),"Eligible Players; ","")&amp;IF(AND(INDEX('Game Records'!$U:$U,$H395)&lt;&gt;"Subscription",INDEX('Game Records'!$U:$U,$H395)&lt;&gt;"Free Game",INDEX('Game Records'!$U:$U,$H395)&lt;&gt;"Disqualified — Free Game",INDEX('Game Records'!$J:$J,$H395)=""),"Total Players; ","")&amp;IF(AND(LOWER(INDEX('Game Records'!$D:$D,$H395)&amp;"")="finalized",LOWER(INDEX('Game Records'!$L:$L,$H395)&amp;"")&lt;&gt;"yes",INDEX('Game Records'!$U:$U,$H395)&lt;&gt;"Subscription",INDEX('Game Records'!$U:$U,$H395)&lt;&gt;"Free Game",INDEX('Game Records'!$U:$U,$H395)&lt;&gt;"Disqualified — Free Game",INDEX('Game Records'!$K:$K,$H395)=""),"Final Payout; ","")&amp;IF(AND(LOWER(INDEX('Game Records'!$D:$D,$H395)&amp;"")="finalized",INDEX('Game Records'!$U:$U,$H395)&lt;&gt;"Subscription",INDEX('Game Records'!$U:$U,$H395)&lt;&gt;"Free Game",INDEX('Game Records'!$U:$U,$H395)&lt;&gt;"Disqualified — Free Game",OR(INDEX('Game Records'!$L:$L,$H395)="",LOWER(INDEX('Game Records'!$L:$L,$H395)&amp;"")="n/a")),"Disqualified Status; ",""))</f>
        <v/>
      </c>
      <c r="G395" s="23" t="str">
        <f t="array" ref="G395">IF($H395="","",IFERROR(INDEX('Game Records'!$M:$M,$H395),""))</f>
        <v/>
      </c>
      <c r="H395" s="3"/>
    </row>
    <row r="396" ht="24.0" customHeight="1">
      <c r="A396" s="18" t="str">
        <f t="shared" si="1"/>
        <v/>
      </c>
      <c r="B396" s="18" t="str">
        <f t="shared" si="2"/>
        <v/>
      </c>
      <c r="C396" s="23" t="str">
        <f t="array" ref="C396">IF($H396="","",IFERROR(INDEX('Game Records'!$A:$A,$H396),""))</f>
        <v/>
      </c>
      <c r="D396" s="23" t="str">
        <f t="array" ref="D396">IF($H396="","",IFERROR(INDEX('Game Records'!$U:$U,$H396),""))</f>
        <v/>
      </c>
      <c r="E396" s="23" t="str">
        <f t="array" ref="E396">IF($H396="","",LET(r,$H396,mode,LOWER(INDEX('Game Records'!$D:$D,r)&amp;""),endDate,INDEX('Game Records'!$C:$C,r),IF(mode="estimate",IF(endDate="","Estimate — End Date missing",IF(NOT(ISNUMBER(endDate)),"Estimate — Check End Date",IF(INT(endDate)&gt;=TODAY(),"In Progress — ends "&amp;TEXT(endDate,"mmm d, yyyy"),"Ready to Finalize"))),IF($F396="","No Highlighted Fields","Highlighted Fields Present"))))</f>
        <v/>
      </c>
      <c r="F396" s="23" t="str">
        <f t="array" ref="F396">IF($H396="","",IF(OR(NOT(_xlfn.ISFORMULA(INDEX('Game Records'!$N:$N,$H396))),NOT(_xlfn.ISFORMULA(INDEX('Game Records'!$O:$O,$H396))),NOT(_xlfn.ISFORMULA(INDEX('Game Records'!$P:$P,$H396))),NOT(_xlfn.ISFORMULA(INDEX('Game Records'!$Q:$Q,$H396))),NOT(_xlfn.ISFORMULA(INDEX('Game Records'!$R:$R,$H396))),NOT(_xlfn.ISFORMULA(INDEX('Game Records'!$S:$S,$H396))),NOT(_xlfn.ISFORMULA(INDEX('Game Records'!$T:$T,$H396))),NOT(_xlfn.ISFORMULA(INDEX('Game Records'!$U:$U,$H396))),NOT(_xlfn.ISFORMULA(INDEX('Game Records'!$V:$V,$H396))),NOT(_xlfn.ISFORMULA(INDEX('Game Records'!$W:$W,$H396))),NOT(_xlfn.ISFORMULA(INDEX('Game Records'!$X:$X,$H396))),NOT(_xlfn.ISFORMULA(INDEX('Game Records'!$Y:$Y,$H396))),NOT(_xlfn.ISFORMULA(INDEX('Game Records'!$Z:$Z,$H396)))),"","")&amp;IF(INDEX('Game Records'!$B:$B,$H396)="","Start Date; ","")&amp;IF(INDEX('Game Records'!$C:$C,$H396)="","End Date; ","")&amp;IF(AND(INDEX('Game Records'!$U:$U,$H396)&lt;&gt;"Subscription",INDEX('Game Records'!$U:$U,$H396)&lt;&gt;"Free Game",INDEX('Game Records'!$U:$U,$H396)&lt;&gt;"Disqualified — Free Game",OR(INDEX('Game Records'!$D:$D,$H396)="",LOWER(INDEX('Game Records'!$D:$D,$H396)&amp;"")="n/a")),"Entry Mode; ","")&amp;IF(AND(INDEX('Game Records'!$U:$U,$H396)&lt;&gt;"Subscription",INDEX('Game Records'!$U:$U,$H396)&lt;&gt;"Free Game",INDEX('Game Records'!$U:$U,$H396)&lt;&gt;"Disqualified — Free Game",OR(INDEX('Game Records'!$E:$E,$H396)="",LOWER(INDEX('Game Records'!$E:$E,$H396)&amp;"")="n/a")),"Game Type; ","")&amp;IF(INDEX('Game Records'!$F:$F,$H396)="","Payment Type; ","")&amp;IF(AND(INDEX('Game Records'!$U:$U,$H396)&lt;&gt;"Subscription",INDEX('Game Records'!$U:$U,$H396)&lt;&gt;"Free Game",INDEX('Game Records'!$U:$U,$H396)&lt;&gt;"Disqualified — Free Game",INDEX('Game Records'!$G:$G,$H396)=""),"Gross Pot; ","")&amp;IF(AND(INDEX('Game Records'!$U:$U,$H396)&lt;&gt;"Free Game",INDEX('Game Records'!$U:$U,$H396)&lt;&gt;"Disqualified — Free Game",INDEX('Game Records'!$H:$H,$H396)=""),"Entry Fee; ","")&amp;IF(AND(INDEX('Game Records'!$U:$U,$H396)&lt;&gt;"Subscription",INDEX('Game Records'!$U:$U,$H396)&lt;&gt;"Free Game",INDEX('Game Records'!$U:$U,$H396)&lt;&gt;"Disqualified — Free Game",INDEX('Game Records'!$I:$I,$H396)=""),"Eligible Players; ","")&amp;IF(AND(INDEX('Game Records'!$U:$U,$H396)&lt;&gt;"Subscription",INDEX('Game Records'!$U:$U,$H396)&lt;&gt;"Free Game",INDEX('Game Records'!$U:$U,$H396)&lt;&gt;"Disqualified — Free Game",INDEX('Game Records'!$J:$J,$H396)=""),"Total Players; ","")&amp;IF(AND(LOWER(INDEX('Game Records'!$D:$D,$H396)&amp;"")="finalized",LOWER(INDEX('Game Records'!$L:$L,$H396)&amp;"")&lt;&gt;"yes",INDEX('Game Records'!$U:$U,$H396)&lt;&gt;"Subscription",INDEX('Game Records'!$U:$U,$H396)&lt;&gt;"Free Game",INDEX('Game Records'!$U:$U,$H396)&lt;&gt;"Disqualified — Free Game",INDEX('Game Records'!$K:$K,$H396)=""),"Final Payout; ","")&amp;IF(AND(LOWER(INDEX('Game Records'!$D:$D,$H396)&amp;"")="finalized",INDEX('Game Records'!$U:$U,$H396)&lt;&gt;"Subscription",INDEX('Game Records'!$U:$U,$H396)&lt;&gt;"Free Game",INDEX('Game Records'!$U:$U,$H396)&lt;&gt;"Disqualified — Free Game",OR(INDEX('Game Records'!$L:$L,$H396)="",LOWER(INDEX('Game Records'!$L:$L,$H396)&amp;"")="n/a")),"Disqualified Status; ",""))</f>
        <v/>
      </c>
      <c r="G396" s="23" t="str">
        <f t="array" ref="G396">IF($H396="","",IFERROR(INDEX('Game Records'!$M:$M,$H396),""))</f>
        <v/>
      </c>
      <c r="H396" s="3"/>
    </row>
    <row r="397" ht="24.0" customHeight="1">
      <c r="A397" s="18" t="str">
        <f t="shared" si="1"/>
        <v/>
      </c>
      <c r="B397" s="18" t="str">
        <f t="shared" si="2"/>
        <v/>
      </c>
      <c r="C397" s="23" t="str">
        <f t="array" ref="C397">IF($H397="","",IFERROR(INDEX('Game Records'!$A:$A,$H397),""))</f>
        <v/>
      </c>
      <c r="D397" s="23" t="str">
        <f t="array" ref="D397">IF($H397="","",IFERROR(INDEX('Game Records'!$U:$U,$H397),""))</f>
        <v/>
      </c>
      <c r="E397" s="23" t="str">
        <f t="array" ref="E397">IF($H397="","",LET(r,$H397,mode,LOWER(INDEX('Game Records'!$D:$D,r)&amp;""),endDate,INDEX('Game Records'!$C:$C,r),IF(mode="estimate",IF(endDate="","Estimate — End Date missing",IF(NOT(ISNUMBER(endDate)),"Estimate — Check End Date",IF(INT(endDate)&gt;=TODAY(),"In Progress — ends "&amp;TEXT(endDate,"mmm d, yyyy"),"Ready to Finalize"))),IF($F397="","No Highlighted Fields","Highlighted Fields Present"))))</f>
        <v/>
      </c>
      <c r="F397" s="23" t="str">
        <f t="array" ref="F397">IF($H397="","",IF(OR(NOT(_xlfn.ISFORMULA(INDEX('Game Records'!$N:$N,$H397))),NOT(_xlfn.ISFORMULA(INDEX('Game Records'!$O:$O,$H397))),NOT(_xlfn.ISFORMULA(INDEX('Game Records'!$P:$P,$H397))),NOT(_xlfn.ISFORMULA(INDEX('Game Records'!$Q:$Q,$H397))),NOT(_xlfn.ISFORMULA(INDEX('Game Records'!$R:$R,$H397))),NOT(_xlfn.ISFORMULA(INDEX('Game Records'!$S:$S,$H397))),NOT(_xlfn.ISFORMULA(INDEX('Game Records'!$T:$T,$H397))),NOT(_xlfn.ISFORMULA(INDEX('Game Records'!$U:$U,$H397))),NOT(_xlfn.ISFORMULA(INDEX('Game Records'!$V:$V,$H397))),NOT(_xlfn.ISFORMULA(INDEX('Game Records'!$W:$W,$H397))),NOT(_xlfn.ISFORMULA(INDEX('Game Records'!$X:$X,$H397))),NOT(_xlfn.ISFORMULA(INDEX('Game Records'!$Y:$Y,$H397))),NOT(_xlfn.ISFORMULA(INDEX('Game Records'!$Z:$Z,$H397)))),"","")&amp;IF(INDEX('Game Records'!$B:$B,$H397)="","Start Date; ","")&amp;IF(INDEX('Game Records'!$C:$C,$H397)="","End Date; ","")&amp;IF(AND(INDEX('Game Records'!$U:$U,$H397)&lt;&gt;"Subscription",INDEX('Game Records'!$U:$U,$H397)&lt;&gt;"Free Game",INDEX('Game Records'!$U:$U,$H397)&lt;&gt;"Disqualified — Free Game",OR(INDEX('Game Records'!$D:$D,$H397)="",LOWER(INDEX('Game Records'!$D:$D,$H397)&amp;"")="n/a")),"Entry Mode; ","")&amp;IF(AND(INDEX('Game Records'!$U:$U,$H397)&lt;&gt;"Subscription",INDEX('Game Records'!$U:$U,$H397)&lt;&gt;"Free Game",INDEX('Game Records'!$U:$U,$H397)&lt;&gt;"Disqualified — Free Game",OR(INDEX('Game Records'!$E:$E,$H397)="",LOWER(INDEX('Game Records'!$E:$E,$H397)&amp;"")="n/a")),"Game Type; ","")&amp;IF(INDEX('Game Records'!$F:$F,$H397)="","Payment Type; ","")&amp;IF(AND(INDEX('Game Records'!$U:$U,$H397)&lt;&gt;"Subscription",INDEX('Game Records'!$U:$U,$H397)&lt;&gt;"Free Game",INDEX('Game Records'!$U:$U,$H397)&lt;&gt;"Disqualified — Free Game",INDEX('Game Records'!$G:$G,$H397)=""),"Gross Pot; ","")&amp;IF(AND(INDEX('Game Records'!$U:$U,$H397)&lt;&gt;"Free Game",INDEX('Game Records'!$U:$U,$H397)&lt;&gt;"Disqualified — Free Game",INDEX('Game Records'!$H:$H,$H397)=""),"Entry Fee; ","")&amp;IF(AND(INDEX('Game Records'!$U:$U,$H397)&lt;&gt;"Subscription",INDEX('Game Records'!$U:$U,$H397)&lt;&gt;"Free Game",INDEX('Game Records'!$U:$U,$H397)&lt;&gt;"Disqualified — Free Game",INDEX('Game Records'!$I:$I,$H397)=""),"Eligible Players; ","")&amp;IF(AND(INDEX('Game Records'!$U:$U,$H397)&lt;&gt;"Subscription",INDEX('Game Records'!$U:$U,$H397)&lt;&gt;"Free Game",INDEX('Game Records'!$U:$U,$H397)&lt;&gt;"Disqualified — Free Game",INDEX('Game Records'!$J:$J,$H397)=""),"Total Players; ","")&amp;IF(AND(LOWER(INDEX('Game Records'!$D:$D,$H397)&amp;"")="finalized",LOWER(INDEX('Game Records'!$L:$L,$H397)&amp;"")&lt;&gt;"yes",INDEX('Game Records'!$U:$U,$H397)&lt;&gt;"Subscription",INDEX('Game Records'!$U:$U,$H397)&lt;&gt;"Free Game",INDEX('Game Records'!$U:$U,$H397)&lt;&gt;"Disqualified — Free Game",INDEX('Game Records'!$K:$K,$H397)=""),"Final Payout; ","")&amp;IF(AND(LOWER(INDEX('Game Records'!$D:$D,$H397)&amp;"")="finalized",INDEX('Game Records'!$U:$U,$H397)&lt;&gt;"Subscription",INDEX('Game Records'!$U:$U,$H397)&lt;&gt;"Free Game",INDEX('Game Records'!$U:$U,$H397)&lt;&gt;"Disqualified — Free Game",OR(INDEX('Game Records'!$L:$L,$H397)="",LOWER(INDEX('Game Records'!$L:$L,$H397)&amp;"")="n/a")),"Disqualified Status; ",""))</f>
        <v/>
      </c>
      <c r="G397" s="23" t="str">
        <f t="array" ref="G397">IF($H397="","",IFERROR(INDEX('Game Records'!$M:$M,$H397),""))</f>
        <v/>
      </c>
      <c r="H397" s="3"/>
    </row>
    <row r="398" ht="24.0" customHeight="1">
      <c r="A398" s="18" t="str">
        <f t="shared" si="1"/>
        <v/>
      </c>
      <c r="B398" s="18" t="str">
        <f t="shared" si="2"/>
        <v/>
      </c>
      <c r="C398" s="23" t="str">
        <f t="array" ref="C398">IF($H398="","",IFERROR(INDEX('Game Records'!$A:$A,$H398),""))</f>
        <v/>
      </c>
      <c r="D398" s="23" t="str">
        <f t="array" ref="D398">IF($H398="","",IFERROR(INDEX('Game Records'!$U:$U,$H398),""))</f>
        <v/>
      </c>
      <c r="E398" s="23" t="str">
        <f t="array" ref="E398">IF($H398="","",LET(r,$H398,mode,LOWER(INDEX('Game Records'!$D:$D,r)&amp;""),endDate,INDEX('Game Records'!$C:$C,r),IF(mode="estimate",IF(endDate="","Estimate — End Date missing",IF(NOT(ISNUMBER(endDate)),"Estimate — Check End Date",IF(INT(endDate)&gt;=TODAY(),"In Progress — ends "&amp;TEXT(endDate,"mmm d, yyyy"),"Ready to Finalize"))),IF($F398="","No Highlighted Fields","Highlighted Fields Present"))))</f>
        <v/>
      </c>
      <c r="F398" s="23" t="str">
        <f t="array" ref="F398">IF($H398="","",IF(OR(NOT(_xlfn.ISFORMULA(INDEX('Game Records'!$N:$N,$H398))),NOT(_xlfn.ISFORMULA(INDEX('Game Records'!$O:$O,$H398))),NOT(_xlfn.ISFORMULA(INDEX('Game Records'!$P:$P,$H398))),NOT(_xlfn.ISFORMULA(INDEX('Game Records'!$Q:$Q,$H398))),NOT(_xlfn.ISFORMULA(INDEX('Game Records'!$R:$R,$H398))),NOT(_xlfn.ISFORMULA(INDEX('Game Records'!$S:$S,$H398))),NOT(_xlfn.ISFORMULA(INDEX('Game Records'!$T:$T,$H398))),NOT(_xlfn.ISFORMULA(INDEX('Game Records'!$U:$U,$H398))),NOT(_xlfn.ISFORMULA(INDEX('Game Records'!$V:$V,$H398))),NOT(_xlfn.ISFORMULA(INDEX('Game Records'!$W:$W,$H398))),NOT(_xlfn.ISFORMULA(INDEX('Game Records'!$X:$X,$H398))),NOT(_xlfn.ISFORMULA(INDEX('Game Records'!$Y:$Y,$H398))),NOT(_xlfn.ISFORMULA(INDEX('Game Records'!$Z:$Z,$H398)))),"","")&amp;IF(INDEX('Game Records'!$B:$B,$H398)="","Start Date; ","")&amp;IF(INDEX('Game Records'!$C:$C,$H398)="","End Date; ","")&amp;IF(AND(INDEX('Game Records'!$U:$U,$H398)&lt;&gt;"Subscription",INDEX('Game Records'!$U:$U,$H398)&lt;&gt;"Free Game",INDEX('Game Records'!$U:$U,$H398)&lt;&gt;"Disqualified — Free Game",OR(INDEX('Game Records'!$D:$D,$H398)="",LOWER(INDEX('Game Records'!$D:$D,$H398)&amp;"")="n/a")),"Entry Mode; ","")&amp;IF(AND(INDEX('Game Records'!$U:$U,$H398)&lt;&gt;"Subscription",INDEX('Game Records'!$U:$U,$H398)&lt;&gt;"Free Game",INDEX('Game Records'!$U:$U,$H398)&lt;&gt;"Disqualified — Free Game",OR(INDEX('Game Records'!$E:$E,$H398)="",LOWER(INDEX('Game Records'!$E:$E,$H398)&amp;"")="n/a")),"Game Type; ","")&amp;IF(INDEX('Game Records'!$F:$F,$H398)="","Payment Type; ","")&amp;IF(AND(INDEX('Game Records'!$U:$U,$H398)&lt;&gt;"Subscription",INDEX('Game Records'!$U:$U,$H398)&lt;&gt;"Free Game",INDEX('Game Records'!$U:$U,$H398)&lt;&gt;"Disqualified — Free Game",INDEX('Game Records'!$G:$G,$H398)=""),"Gross Pot; ","")&amp;IF(AND(INDEX('Game Records'!$U:$U,$H398)&lt;&gt;"Free Game",INDEX('Game Records'!$U:$U,$H398)&lt;&gt;"Disqualified — Free Game",INDEX('Game Records'!$H:$H,$H398)=""),"Entry Fee; ","")&amp;IF(AND(INDEX('Game Records'!$U:$U,$H398)&lt;&gt;"Subscription",INDEX('Game Records'!$U:$U,$H398)&lt;&gt;"Free Game",INDEX('Game Records'!$U:$U,$H398)&lt;&gt;"Disqualified — Free Game",INDEX('Game Records'!$I:$I,$H398)=""),"Eligible Players; ","")&amp;IF(AND(INDEX('Game Records'!$U:$U,$H398)&lt;&gt;"Subscription",INDEX('Game Records'!$U:$U,$H398)&lt;&gt;"Free Game",INDEX('Game Records'!$U:$U,$H398)&lt;&gt;"Disqualified — Free Game",INDEX('Game Records'!$J:$J,$H398)=""),"Total Players; ","")&amp;IF(AND(LOWER(INDEX('Game Records'!$D:$D,$H398)&amp;"")="finalized",LOWER(INDEX('Game Records'!$L:$L,$H398)&amp;"")&lt;&gt;"yes",INDEX('Game Records'!$U:$U,$H398)&lt;&gt;"Subscription",INDEX('Game Records'!$U:$U,$H398)&lt;&gt;"Free Game",INDEX('Game Records'!$U:$U,$H398)&lt;&gt;"Disqualified — Free Game",INDEX('Game Records'!$K:$K,$H398)=""),"Final Payout; ","")&amp;IF(AND(LOWER(INDEX('Game Records'!$D:$D,$H398)&amp;"")="finalized",INDEX('Game Records'!$U:$U,$H398)&lt;&gt;"Subscription",INDEX('Game Records'!$U:$U,$H398)&lt;&gt;"Free Game",INDEX('Game Records'!$U:$U,$H398)&lt;&gt;"Disqualified — Free Game",OR(INDEX('Game Records'!$L:$L,$H398)="",LOWER(INDEX('Game Records'!$L:$L,$H398)&amp;"")="n/a")),"Disqualified Status; ",""))</f>
        <v/>
      </c>
      <c r="G398" s="23" t="str">
        <f t="array" ref="G398">IF($H398="","",IFERROR(INDEX('Game Records'!$M:$M,$H398),""))</f>
        <v/>
      </c>
      <c r="H398" s="3"/>
    </row>
    <row r="399" ht="24.0" customHeight="1">
      <c r="A399" s="18" t="str">
        <f t="shared" si="1"/>
        <v/>
      </c>
      <c r="B399" s="18" t="str">
        <f t="shared" si="2"/>
        <v/>
      </c>
      <c r="C399" s="23" t="str">
        <f t="array" ref="C399">IF($H399="","",IFERROR(INDEX('Game Records'!$A:$A,$H399),""))</f>
        <v/>
      </c>
      <c r="D399" s="23" t="str">
        <f t="array" ref="D399">IF($H399="","",IFERROR(INDEX('Game Records'!$U:$U,$H399),""))</f>
        <v/>
      </c>
      <c r="E399" s="23" t="str">
        <f t="array" ref="E399">IF($H399="","",LET(r,$H399,mode,LOWER(INDEX('Game Records'!$D:$D,r)&amp;""),endDate,INDEX('Game Records'!$C:$C,r),IF(mode="estimate",IF(endDate="","Estimate — End Date missing",IF(NOT(ISNUMBER(endDate)),"Estimate — Check End Date",IF(INT(endDate)&gt;=TODAY(),"In Progress — ends "&amp;TEXT(endDate,"mmm d, yyyy"),"Ready to Finalize"))),IF($F399="","No Highlighted Fields","Highlighted Fields Present"))))</f>
        <v/>
      </c>
      <c r="F399" s="23" t="str">
        <f t="array" ref="F399">IF($H399="","",IF(OR(NOT(_xlfn.ISFORMULA(INDEX('Game Records'!$N:$N,$H399))),NOT(_xlfn.ISFORMULA(INDEX('Game Records'!$O:$O,$H399))),NOT(_xlfn.ISFORMULA(INDEX('Game Records'!$P:$P,$H399))),NOT(_xlfn.ISFORMULA(INDEX('Game Records'!$Q:$Q,$H399))),NOT(_xlfn.ISFORMULA(INDEX('Game Records'!$R:$R,$H399))),NOT(_xlfn.ISFORMULA(INDEX('Game Records'!$S:$S,$H399))),NOT(_xlfn.ISFORMULA(INDEX('Game Records'!$T:$T,$H399))),NOT(_xlfn.ISFORMULA(INDEX('Game Records'!$U:$U,$H399))),NOT(_xlfn.ISFORMULA(INDEX('Game Records'!$V:$V,$H399))),NOT(_xlfn.ISFORMULA(INDEX('Game Records'!$W:$W,$H399))),NOT(_xlfn.ISFORMULA(INDEX('Game Records'!$X:$X,$H399))),NOT(_xlfn.ISFORMULA(INDEX('Game Records'!$Y:$Y,$H399))),NOT(_xlfn.ISFORMULA(INDEX('Game Records'!$Z:$Z,$H399)))),"","")&amp;IF(INDEX('Game Records'!$B:$B,$H399)="","Start Date; ","")&amp;IF(INDEX('Game Records'!$C:$C,$H399)="","End Date; ","")&amp;IF(AND(INDEX('Game Records'!$U:$U,$H399)&lt;&gt;"Subscription",INDEX('Game Records'!$U:$U,$H399)&lt;&gt;"Free Game",INDEX('Game Records'!$U:$U,$H399)&lt;&gt;"Disqualified — Free Game",OR(INDEX('Game Records'!$D:$D,$H399)="",LOWER(INDEX('Game Records'!$D:$D,$H399)&amp;"")="n/a")),"Entry Mode; ","")&amp;IF(AND(INDEX('Game Records'!$U:$U,$H399)&lt;&gt;"Subscription",INDEX('Game Records'!$U:$U,$H399)&lt;&gt;"Free Game",INDEX('Game Records'!$U:$U,$H399)&lt;&gt;"Disqualified — Free Game",OR(INDEX('Game Records'!$E:$E,$H399)="",LOWER(INDEX('Game Records'!$E:$E,$H399)&amp;"")="n/a")),"Game Type; ","")&amp;IF(INDEX('Game Records'!$F:$F,$H399)="","Payment Type; ","")&amp;IF(AND(INDEX('Game Records'!$U:$U,$H399)&lt;&gt;"Subscription",INDEX('Game Records'!$U:$U,$H399)&lt;&gt;"Free Game",INDEX('Game Records'!$U:$U,$H399)&lt;&gt;"Disqualified — Free Game",INDEX('Game Records'!$G:$G,$H399)=""),"Gross Pot; ","")&amp;IF(AND(INDEX('Game Records'!$U:$U,$H399)&lt;&gt;"Free Game",INDEX('Game Records'!$U:$U,$H399)&lt;&gt;"Disqualified — Free Game",INDEX('Game Records'!$H:$H,$H399)=""),"Entry Fee; ","")&amp;IF(AND(INDEX('Game Records'!$U:$U,$H399)&lt;&gt;"Subscription",INDEX('Game Records'!$U:$U,$H399)&lt;&gt;"Free Game",INDEX('Game Records'!$U:$U,$H399)&lt;&gt;"Disqualified — Free Game",INDEX('Game Records'!$I:$I,$H399)=""),"Eligible Players; ","")&amp;IF(AND(INDEX('Game Records'!$U:$U,$H399)&lt;&gt;"Subscription",INDEX('Game Records'!$U:$U,$H399)&lt;&gt;"Free Game",INDEX('Game Records'!$U:$U,$H399)&lt;&gt;"Disqualified — Free Game",INDEX('Game Records'!$J:$J,$H399)=""),"Total Players; ","")&amp;IF(AND(LOWER(INDEX('Game Records'!$D:$D,$H399)&amp;"")="finalized",LOWER(INDEX('Game Records'!$L:$L,$H399)&amp;"")&lt;&gt;"yes",INDEX('Game Records'!$U:$U,$H399)&lt;&gt;"Subscription",INDEX('Game Records'!$U:$U,$H399)&lt;&gt;"Free Game",INDEX('Game Records'!$U:$U,$H399)&lt;&gt;"Disqualified — Free Game",INDEX('Game Records'!$K:$K,$H399)=""),"Final Payout; ","")&amp;IF(AND(LOWER(INDEX('Game Records'!$D:$D,$H399)&amp;"")="finalized",INDEX('Game Records'!$U:$U,$H399)&lt;&gt;"Subscription",INDEX('Game Records'!$U:$U,$H399)&lt;&gt;"Free Game",INDEX('Game Records'!$U:$U,$H399)&lt;&gt;"Disqualified — Free Game",OR(INDEX('Game Records'!$L:$L,$H399)="",LOWER(INDEX('Game Records'!$L:$L,$H399)&amp;"")="n/a")),"Disqualified Status; ",""))</f>
        <v/>
      </c>
      <c r="G399" s="23" t="str">
        <f t="array" ref="G399">IF($H399="","",IFERROR(INDEX('Game Records'!$M:$M,$H399),""))</f>
        <v/>
      </c>
      <c r="H399" s="3"/>
    </row>
    <row r="400" ht="24.0" customHeight="1">
      <c r="A400" s="18" t="str">
        <f t="shared" si="1"/>
        <v/>
      </c>
      <c r="B400" s="18" t="str">
        <f t="shared" si="2"/>
        <v/>
      </c>
      <c r="C400" s="23" t="str">
        <f t="array" ref="C400">IF($H400="","",IFERROR(INDEX('Game Records'!$A:$A,$H400),""))</f>
        <v/>
      </c>
      <c r="D400" s="23" t="str">
        <f t="array" ref="D400">IF($H400="","",IFERROR(INDEX('Game Records'!$U:$U,$H400),""))</f>
        <v/>
      </c>
      <c r="E400" s="23" t="str">
        <f t="array" ref="E400">IF($H400="","",LET(r,$H400,mode,LOWER(INDEX('Game Records'!$D:$D,r)&amp;""),endDate,INDEX('Game Records'!$C:$C,r),IF(mode="estimate",IF(endDate="","Estimate — End Date missing",IF(NOT(ISNUMBER(endDate)),"Estimate — Check End Date",IF(INT(endDate)&gt;=TODAY(),"In Progress — ends "&amp;TEXT(endDate,"mmm d, yyyy"),"Ready to Finalize"))),IF($F400="","No Highlighted Fields","Highlighted Fields Present"))))</f>
        <v/>
      </c>
      <c r="F400" s="23" t="str">
        <f t="array" ref="F400">IF($H400="","",IF(OR(NOT(_xlfn.ISFORMULA(INDEX('Game Records'!$N:$N,$H400))),NOT(_xlfn.ISFORMULA(INDEX('Game Records'!$O:$O,$H400))),NOT(_xlfn.ISFORMULA(INDEX('Game Records'!$P:$P,$H400))),NOT(_xlfn.ISFORMULA(INDEX('Game Records'!$Q:$Q,$H400))),NOT(_xlfn.ISFORMULA(INDEX('Game Records'!$R:$R,$H400))),NOT(_xlfn.ISFORMULA(INDEX('Game Records'!$S:$S,$H400))),NOT(_xlfn.ISFORMULA(INDEX('Game Records'!$T:$T,$H400))),NOT(_xlfn.ISFORMULA(INDEX('Game Records'!$U:$U,$H400))),NOT(_xlfn.ISFORMULA(INDEX('Game Records'!$V:$V,$H400))),NOT(_xlfn.ISFORMULA(INDEX('Game Records'!$W:$W,$H400))),NOT(_xlfn.ISFORMULA(INDEX('Game Records'!$X:$X,$H400))),NOT(_xlfn.ISFORMULA(INDEX('Game Records'!$Y:$Y,$H400))),NOT(_xlfn.ISFORMULA(INDEX('Game Records'!$Z:$Z,$H400)))),"","")&amp;IF(INDEX('Game Records'!$B:$B,$H400)="","Start Date; ","")&amp;IF(INDEX('Game Records'!$C:$C,$H400)="","End Date; ","")&amp;IF(AND(INDEX('Game Records'!$U:$U,$H400)&lt;&gt;"Subscription",INDEX('Game Records'!$U:$U,$H400)&lt;&gt;"Free Game",INDEX('Game Records'!$U:$U,$H400)&lt;&gt;"Disqualified — Free Game",OR(INDEX('Game Records'!$D:$D,$H400)="",LOWER(INDEX('Game Records'!$D:$D,$H400)&amp;"")="n/a")),"Entry Mode; ","")&amp;IF(AND(INDEX('Game Records'!$U:$U,$H400)&lt;&gt;"Subscription",INDEX('Game Records'!$U:$U,$H400)&lt;&gt;"Free Game",INDEX('Game Records'!$U:$U,$H400)&lt;&gt;"Disqualified — Free Game",OR(INDEX('Game Records'!$E:$E,$H400)="",LOWER(INDEX('Game Records'!$E:$E,$H400)&amp;"")="n/a")),"Game Type; ","")&amp;IF(INDEX('Game Records'!$F:$F,$H400)="","Payment Type; ","")&amp;IF(AND(INDEX('Game Records'!$U:$U,$H400)&lt;&gt;"Subscription",INDEX('Game Records'!$U:$U,$H400)&lt;&gt;"Free Game",INDEX('Game Records'!$U:$U,$H400)&lt;&gt;"Disqualified — Free Game",INDEX('Game Records'!$G:$G,$H400)=""),"Gross Pot; ","")&amp;IF(AND(INDEX('Game Records'!$U:$U,$H400)&lt;&gt;"Free Game",INDEX('Game Records'!$U:$U,$H400)&lt;&gt;"Disqualified — Free Game",INDEX('Game Records'!$H:$H,$H400)=""),"Entry Fee; ","")&amp;IF(AND(INDEX('Game Records'!$U:$U,$H400)&lt;&gt;"Subscription",INDEX('Game Records'!$U:$U,$H400)&lt;&gt;"Free Game",INDEX('Game Records'!$U:$U,$H400)&lt;&gt;"Disqualified — Free Game",INDEX('Game Records'!$I:$I,$H400)=""),"Eligible Players; ","")&amp;IF(AND(INDEX('Game Records'!$U:$U,$H400)&lt;&gt;"Subscription",INDEX('Game Records'!$U:$U,$H400)&lt;&gt;"Free Game",INDEX('Game Records'!$U:$U,$H400)&lt;&gt;"Disqualified — Free Game",INDEX('Game Records'!$J:$J,$H400)=""),"Total Players; ","")&amp;IF(AND(LOWER(INDEX('Game Records'!$D:$D,$H400)&amp;"")="finalized",LOWER(INDEX('Game Records'!$L:$L,$H400)&amp;"")&lt;&gt;"yes",INDEX('Game Records'!$U:$U,$H400)&lt;&gt;"Subscription",INDEX('Game Records'!$U:$U,$H400)&lt;&gt;"Free Game",INDEX('Game Records'!$U:$U,$H400)&lt;&gt;"Disqualified — Free Game",INDEX('Game Records'!$K:$K,$H400)=""),"Final Payout; ","")&amp;IF(AND(LOWER(INDEX('Game Records'!$D:$D,$H400)&amp;"")="finalized",INDEX('Game Records'!$U:$U,$H400)&lt;&gt;"Subscription",INDEX('Game Records'!$U:$U,$H400)&lt;&gt;"Free Game",INDEX('Game Records'!$U:$U,$H400)&lt;&gt;"Disqualified — Free Game",OR(INDEX('Game Records'!$L:$L,$H400)="",LOWER(INDEX('Game Records'!$L:$L,$H400)&amp;"")="n/a")),"Disqualified Status; ",""))</f>
        <v/>
      </c>
      <c r="G400" s="23" t="str">
        <f t="array" ref="G400">IF($H400="","",IFERROR(INDEX('Game Records'!$M:$M,$H400),""))</f>
        <v/>
      </c>
      <c r="H400" s="3"/>
    </row>
    <row r="401" ht="24.0" customHeight="1">
      <c r="A401" s="18" t="str">
        <f t="shared" si="1"/>
        <v/>
      </c>
      <c r="B401" s="18" t="str">
        <f t="shared" si="2"/>
        <v/>
      </c>
      <c r="C401" s="23" t="str">
        <f t="array" ref="C401">IF($H401="","",IFERROR(INDEX('Game Records'!$A:$A,$H401),""))</f>
        <v/>
      </c>
      <c r="D401" s="23" t="str">
        <f t="array" ref="D401">IF($H401="","",IFERROR(INDEX('Game Records'!$U:$U,$H401),""))</f>
        <v/>
      </c>
      <c r="E401" s="23" t="str">
        <f t="array" ref="E401">IF($H401="","",LET(r,$H401,mode,LOWER(INDEX('Game Records'!$D:$D,r)&amp;""),endDate,INDEX('Game Records'!$C:$C,r),IF(mode="estimate",IF(endDate="","Estimate — End Date missing",IF(NOT(ISNUMBER(endDate)),"Estimate — Check End Date",IF(INT(endDate)&gt;=TODAY(),"In Progress — ends "&amp;TEXT(endDate,"mmm d, yyyy"),"Ready to Finalize"))),IF($F401="","No Highlighted Fields","Highlighted Fields Present"))))</f>
        <v/>
      </c>
      <c r="F401" s="23" t="str">
        <f t="array" ref="F401">IF($H401="","",IF(OR(NOT(_xlfn.ISFORMULA(INDEX('Game Records'!$N:$N,$H401))),NOT(_xlfn.ISFORMULA(INDEX('Game Records'!$O:$O,$H401))),NOT(_xlfn.ISFORMULA(INDEX('Game Records'!$P:$P,$H401))),NOT(_xlfn.ISFORMULA(INDEX('Game Records'!$Q:$Q,$H401))),NOT(_xlfn.ISFORMULA(INDEX('Game Records'!$R:$R,$H401))),NOT(_xlfn.ISFORMULA(INDEX('Game Records'!$S:$S,$H401))),NOT(_xlfn.ISFORMULA(INDEX('Game Records'!$T:$T,$H401))),NOT(_xlfn.ISFORMULA(INDEX('Game Records'!$U:$U,$H401))),NOT(_xlfn.ISFORMULA(INDEX('Game Records'!$V:$V,$H401))),NOT(_xlfn.ISFORMULA(INDEX('Game Records'!$W:$W,$H401))),NOT(_xlfn.ISFORMULA(INDEX('Game Records'!$X:$X,$H401))),NOT(_xlfn.ISFORMULA(INDEX('Game Records'!$Y:$Y,$H401))),NOT(_xlfn.ISFORMULA(INDEX('Game Records'!$Z:$Z,$H401)))),"","")&amp;IF(INDEX('Game Records'!$B:$B,$H401)="","Start Date; ","")&amp;IF(INDEX('Game Records'!$C:$C,$H401)="","End Date; ","")&amp;IF(AND(INDEX('Game Records'!$U:$U,$H401)&lt;&gt;"Subscription",INDEX('Game Records'!$U:$U,$H401)&lt;&gt;"Free Game",INDEX('Game Records'!$U:$U,$H401)&lt;&gt;"Disqualified — Free Game",OR(INDEX('Game Records'!$D:$D,$H401)="",LOWER(INDEX('Game Records'!$D:$D,$H401)&amp;"")="n/a")),"Entry Mode; ","")&amp;IF(AND(INDEX('Game Records'!$U:$U,$H401)&lt;&gt;"Subscription",INDEX('Game Records'!$U:$U,$H401)&lt;&gt;"Free Game",INDEX('Game Records'!$U:$U,$H401)&lt;&gt;"Disqualified — Free Game",OR(INDEX('Game Records'!$E:$E,$H401)="",LOWER(INDEX('Game Records'!$E:$E,$H401)&amp;"")="n/a")),"Game Type; ","")&amp;IF(INDEX('Game Records'!$F:$F,$H401)="","Payment Type; ","")&amp;IF(AND(INDEX('Game Records'!$U:$U,$H401)&lt;&gt;"Subscription",INDEX('Game Records'!$U:$U,$H401)&lt;&gt;"Free Game",INDEX('Game Records'!$U:$U,$H401)&lt;&gt;"Disqualified — Free Game",INDEX('Game Records'!$G:$G,$H401)=""),"Gross Pot; ","")&amp;IF(AND(INDEX('Game Records'!$U:$U,$H401)&lt;&gt;"Free Game",INDEX('Game Records'!$U:$U,$H401)&lt;&gt;"Disqualified — Free Game",INDEX('Game Records'!$H:$H,$H401)=""),"Entry Fee; ","")&amp;IF(AND(INDEX('Game Records'!$U:$U,$H401)&lt;&gt;"Subscription",INDEX('Game Records'!$U:$U,$H401)&lt;&gt;"Free Game",INDEX('Game Records'!$U:$U,$H401)&lt;&gt;"Disqualified — Free Game",INDEX('Game Records'!$I:$I,$H401)=""),"Eligible Players; ","")&amp;IF(AND(INDEX('Game Records'!$U:$U,$H401)&lt;&gt;"Subscription",INDEX('Game Records'!$U:$U,$H401)&lt;&gt;"Free Game",INDEX('Game Records'!$U:$U,$H401)&lt;&gt;"Disqualified — Free Game",INDEX('Game Records'!$J:$J,$H401)=""),"Total Players; ","")&amp;IF(AND(LOWER(INDEX('Game Records'!$D:$D,$H401)&amp;"")="finalized",LOWER(INDEX('Game Records'!$L:$L,$H401)&amp;"")&lt;&gt;"yes",INDEX('Game Records'!$U:$U,$H401)&lt;&gt;"Subscription",INDEX('Game Records'!$U:$U,$H401)&lt;&gt;"Free Game",INDEX('Game Records'!$U:$U,$H401)&lt;&gt;"Disqualified — Free Game",INDEX('Game Records'!$K:$K,$H401)=""),"Final Payout; ","")&amp;IF(AND(LOWER(INDEX('Game Records'!$D:$D,$H401)&amp;"")="finalized",INDEX('Game Records'!$U:$U,$H401)&lt;&gt;"Subscription",INDEX('Game Records'!$U:$U,$H401)&lt;&gt;"Free Game",INDEX('Game Records'!$U:$U,$H401)&lt;&gt;"Disqualified — Free Game",OR(INDEX('Game Records'!$L:$L,$H401)="",LOWER(INDEX('Game Records'!$L:$L,$H401)&amp;"")="n/a")),"Disqualified Status; ",""))</f>
        <v/>
      </c>
      <c r="G401" s="23" t="str">
        <f t="array" ref="G401">IF($H401="","",IFERROR(INDEX('Game Records'!$M:$M,$H401),""))</f>
        <v/>
      </c>
      <c r="H401" s="3"/>
    </row>
    <row r="402" ht="24.0" customHeight="1">
      <c r="A402" s="18" t="str">
        <f t="shared" si="1"/>
        <v/>
      </c>
      <c r="B402" s="18" t="str">
        <f t="shared" si="2"/>
        <v/>
      </c>
      <c r="C402" s="23" t="str">
        <f t="array" ref="C402">IF($H402="","",IFERROR(INDEX('Game Records'!$A:$A,$H402),""))</f>
        <v/>
      </c>
      <c r="D402" s="23" t="str">
        <f t="array" ref="D402">IF($H402="","",IFERROR(INDEX('Game Records'!$U:$U,$H402),""))</f>
        <v/>
      </c>
      <c r="E402" s="23" t="str">
        <f t="array" ref="E402">IF($H402="","",LET(r,$H402,mode,LOWER(INDEX('Game Records'!$D:$D,r)&amp;""),endDate,INDEX('Game Records'!$C:$C,r),IF(mode="estimate",IF(endDate="","Estimate — End Date missing",IF(NOT(ISNUMBER(endDate)),"Estimate — Check End Date",IF(INT(endDate)&gt;=TODAY(),"In Progress — ends "&amp;TEXT(endDate,"mmm d, yyyy"),"Ready to Finalize"))),IF($F402="","No Highlighted Fields","Highlighted Fields Present"))))</f>
        <v/>
      </c>
      <c r="F402" s="23" t="str">
        <f t="array" ref="F402">IF($H402="","",IF(OR(NOT(_xlfn.ISFORMULA(INDEX('Game Records'!$N:$N,$H402))),NOT(_xlfn.ISFORMULA(INDEX('Game Records'!$O:$O,$H402))),NOT(_xlfn.ISFORMULA(INDEX('Game Records'!$P:$P,$H402))),NOT(_xlfn.ISFORMULA(INDEX('Game Records'!$Q:$Q,$H402))),NOT(_xlfn.ISFORMULA(INDEX('Game Records'!$R:$R,$H402))),NOT(_xlfn.ISFORMULA(INDEX('Game Records'!$S:$S,$H402))),NOT(_xlfn.ISFORMULA(INDEX('Game Records'!$T:$T,$H402))),NOT(_xlfn.ISFORMULA(INDEX('Game Records'!$U:$U,$H402))),NOT(_xlfn.ISFORMULA(INDEX('Game Records'!$V:$V,$H402))),NOT(_xlfn.ISFORMULA(INDEX('Game Records'!$W:$W,$H402))),NOT(_xlfn.ISFORMULA(INDEX('Game Records'!$X:$X,$H402))),NOT(_xlfn.ISFORMULA(INDEX('Game Records'!$Y:$Y,$H402))),NOT(_xlfn.ISFORMULA(INDEX('Game Records'!$Z:$Z,$H402)))),"","")&amp;IF(INDEX('Game Records'!$B:$B,$H402)="","Start Date; ","")&amp;IF(INDEX('Game Records'!$C:$C,$H402)="","End Date; ","")&amp;IF(AND(INDEX('Game Records'!$U:$U,$H402)&lt;&gt;"Subscription",INDEX('Game Records'!$U:$U,$H402)&lt;&gt;"Free Game",INDEX('Game Records'!$U:$U,$H402)&lt;&gt;"Disqualified — Free Game",OR(INDEX('Game Records'!$D:$D,$H402)="",LOWER(INDEX('Game Records'!$D:$D,$H402)&amp;"")="n/a")),"Entry Mode; ","")&amp;IF(AND(INDEX('Game Records'!$U:$U,$H402)&lt;&gt;"Subscription",INDEX('Game Records'!$U:$U,$H402)&lt;&gt;"Free Game",INDEX('Game Records'!$U:$U,$H402)&lt;&gt;"Disqualified — Free Game",OR(INDEX('Game Records'!$E:$E,$H402)="",LOWER(INDEX('Game Records'!$E:$E,$H402)&amp;"")="n/a")),"Game Type; ","")&amp;IF(INDEX('Game Records'!$F:$F,$H402)="","Payment Type; ","")&amp;IF(AND(INDEX('Game Records'!$U:$U,$H402)&lt;&gt;"Subscription",INDEX('Game Records'!$U:$U,$H402)&lt;&gt;"Free Game",INDEX('Game Records'!$U:$U,$H402)&lt;&gt;"Disqualified — Free Game",INDEX('Game Records'!$G:$G,$H402)=""),"Gross Pot; ","")&amp;IF(AND(INDEX('Game Records'!$U:$U,$H402)&lt;&gt;"Free Game",INDEX('Game Records'!$U:$U,$H402)&lt;&gt;"Disqualified — Free Game",INDEX('Game Records'!$H:$H,$H402)=""),"Entry Fee; ","")&amp;IF(AND(INDEX('Game Records'!$U:$U,$H402)&lt;&gt;"Subscription",INDEX('Game Records'!$U:$U,$H402)&lt;&gt;"Free Game",INDEX('Game Records'!$U:$U,$H402)&lt;&gt;"Disqualified — Free Game",INDEX('Game Records'!$I:$I,$H402)=""),"Eligible Players; ","")&amp;IF(AND(INDEX('Game Records'!$U:$U,$H402)&lt;&gt;"Subscription",INDEX('Game Records'!$U:$U,$H402)&lt;&gt;"Free Game",INDEX('Game Records'!$U:$U,$H402)&lt;&gt;"Disqualified — Free Game",INDEX('Game Records'!$J:$J,$H402)=""),"Total Players; ","")&amp;IF(AND(LOWER(INDEX('Game Records'!$D:$D,$H402)&amp;"")="finalized",LOWER(INDEX('Game Records'!$L:$L,$H402)&amp;"")&lt;&gt;"yes",INDEX('Game Records'!$U:$U,$H402)&lt;&gt;"Subscription",INDEX('Game Records'!$U:$U,$H402)&lt;&gt;"Free Game",INDEX('Game Records'!$U:$U,$H402)&lt;&gt;"Disqualified — Free Game",INDEX('Game Records'!$K:$K,$H402)=""),"Final Payout; ","")&amp;IF(AND(LOWER(INDEX('Game Records'!$D:$D,$H402)&amp;"")="finalized",INDEX('Game Records'!$U:$U,$H402)&lt;&gt;"Subscription",INDEX('Game Records'!$U:$U,$H402)&lt;&gt;"Free Game",INDEX('Game Records'!$U:$U,$H402)&lt;&gt;"Disqualified — Free Game",OR(INDEX('Game Records'!$L:$L,$H402)="",LOWER(INDEX('Game Records'!$L:$L,$H402)&amp;"")="n/a")),"Disqualified Status; ",""))</f>
        <v/>
      </c>
      <c r="G402" s="23" t="str">
        <f t="array" ref="G402">IF($H402="","",IFERROR(INDEX('Game Records'!$M:$M,$H402),""))</f>
        <v/>
      </c>
      <c r="H402" s="3"/>
    </row>
    <row r="403" ht="24.0" customHeight="1">
      <c r="A403" s="18" t="str">
        <f t="shared" si="1"/>
        <v/>
      </c>
      <c r="B403" s="18" t="str">
        <f t="shared" si="2"/>
        <v/>
      </c>
      <c r="C403" s="23" t="str">
        <f t="array" ref="C403">IF($H403="","",IFERROR(INDEX('Game Records'!$A:$A,$H403),""))</f>
        <v/>
      </c>
      <c r="D403" s="23" t="str">
        <f t="array" ref="D403">IF($H403="","",IFERROR(INDEX('Game Records'!$U:$U,$H403),""))</f>
        <v/>
      </c>
      <c r="E403" s="23" t="str">
        <f t="array" ref="E403">IF($H403="","",LET(r,$H403,mode,LOWER(INDEX('Game Records'!$D:$D,r)&amp;""),endDate,INDEX('Game Records'!$C:$C,r),IF(mode="estimate",IF(endDate="","Estimate — End Date missing",IF(NOT(ISNUMBER(endDate)),"Estimate — Check End Date",IF(INT(endDate)&gt;=TODAY(),"In Progress — ends "&amp;TEXT(endDate,"mmm d, yyyy"),"Ready to Finalize"))),IF($F403="","No Highlighted Fields","Highlighted Fields Present"))))</f>
        <v/>
      </c>
      <c r="F403" s="23" t="str">
        <f t="array" ref="F403">IF($H403="","",IF(OR(NOT(_xlfn.ISFORMULA(INDEX('Game Records'!$N:$N,$H403))),NOT(_xlfn.ISFORMULA(INDEX('Game Records'!$O:$O,$H403))),NOT(_xlfn.ISFORMULA(INDEX('Game Records'!$P:$P,$H403))),NOT(_xlfn.ISFORMULA(INDEX('Game Records'!$Q:$Q,$H403))),NOT(_xlfn.ISFORMULA(INDEX('Game Records'!$R:$R,$H403))),NOT(_xlfn.ISFORMULA(INDEX('Game Records'!$S:$S,$H403))),NOT(_xlfn.ISFORMULA(INDEX('Game Records'!$T:$T,$H403))),NOT(_xlfn.ISFORMULA(INDEX('Game Records'!$U:$U,$H403))),NOT(_xlfn.ISFORMULA(INDEX('Game Records'!$V:$V,$H403))),NOT(_xlfn.ISFORMULA(INDEX('Game Records'!$W:$W,$H403))),NOT(_xlfn.ISFORMULA(INDEX('Game Records'!$X:$X,$H403))),NOT(_xlfn.ISFORMULA(INDEX('Game Records'!$Y:$Y,$H403))),NOT(_xlfn.ISFORMULA(INDEX('Game Records'!$Z:$Z,$H403)))),"","")&amp;IF(INDEX('Game Records'!$B:$B,$H403)="","Start Date; ","")&amp;IF(INDEX('Game Records'!$C:$C,$H403)="","End Date; ","")&amp;IF(AND(INDEX('Game Records'!$U:$U,$H403)&lt;&gt;"Subscription",INDEX('Game Records'!$U:$U,$H403)&lt;&gt;"Free Game",INDEX('Game Records'!$U:$U,$H403)&lt;&gt;"Disqualified — Free Game",OR(INDEX('Game Records'!$D:$D,$H403)="",LOWER(INDEX('Game Records'!$D:$D,$H403)&amp;"")="n/a")),"Entry Mode; ","")&amp;IF(AND(INDEX('Game Records'!$U:$U,$H403)&lt;&gt;"Subscription",INDEX('Game Records'!$U:$U,$H403)&lt;&gt;"Free Game",INDEX('Game Records'!$U:$U,$H403)&lt;&gt;"Disqualified — Free Game",OR(INDEX('Game Records'!$E:$E,$H403)="",LOWER(INDEX('Game Records'!$E:$E,$H403)&amp;"")="n/a")),"Game Type; ","")&amp;IF(INDEX('Game Records'!$F:$F,$H403)="","Payment Type; ","")&amp;IF(AND(INDEX('Game Records'!$U:$U,$H403)&lt;&gt;"Subscription",INDEX('Game Records'!$U:$U,$H403)&lt;&gt;"Free Game",INDEX('Game Records'!$U:$U,$H403)&lt;&gt;"Disqualified — Free Game",INDEX('Game Records'!$G:$G,$H403)=""),"Gross Pot; ","")&amp;IF(AND(INDEX('Game Records'!$U:$U,$H403)&lt;&gt;"Free Game",INDEX('Game Records'!$U:$U,$H403)&lt;&gt;"Disqualified — Free Game",INDEX('Game Records'!$H:$H,$H403)=""),"Entry Fee; ","")&amp;IF(AND(INDEX('Game Records'!$U:$U,$H403)&lt;&gt;"Subscription",INDEX('Game Records'!$U:$U,$H403)&lt;&gt;"Free Game",INDEX('Game Records'!$U:$U,$H403)&lt;&gt;"Disqualified — Free Game",INDEX('Game Records'!$I:$I,$H403)=""),"Eligible Players; ","")&amp;IF(AND(INDEX('Game Records'!$U:$U,$H403)&lt;&gt;"Subscription",INDEX('Game Records'!$U:$U,$H403)&lt;&gt;"Free Game",INDEX('Game Records'!$U:$U,$H403)&lt;&gt;"Disqualified — Free Game",INDEX('Game Records'!$J:$J,$H403)=""),"Total Players; ","")&amp;IF(AND(LOWER(INDEX('Game Records'!$D:$D,$H403)&amp;"")="finalized",LOWER(INDEX('Game Records'!$L:$L,$H403)&amp;"")&lt;&gt;"yes",INDEX('Game Records'!$U:$U,$H403)&lt;&gt;"Subscription",INDEX('Game Records'!$U:$U,$H403)&lt;&gt;"Free Game",INDEX('Game Records'!$U:$U,$H403)&lt;&gt;"Disqualified — Free Game",INDEX('Game Records'!$K:$K,$H403)=""),"Final Payout; ","")&amp;IF(AND(LOWER(INDEX('Game Records'!$D:$D,$H403)&amp;"")="finalized",INDEX('Game Records'!$U:$U,$H403)&lt;&gt;"Subscription",INDEX('Game Records'!$U:$U,$H403)&lt;&gt;"Free Game",INDEX('Game Records'!$U:$U,$H403)&lt;&gt;"Disqualified — Free Game",OR(INDEX('Game Records'!$L:$L,$H403)="",LOWER(INDEX('Game Records'!$L:$L,$H403)&amp;"")="n/a")),"Disqualified Status; ",""))</f>
        <v/>
      </c>
      <c r="G403" s="23" t="str">
        <f t="array" ref="G403">IF($H403="","",IFERROR(INDEX('Game Records'!$M:$M,$H403),""))</f>
        <v/>
      </c>
      <c r="H403" s="3"/>
    </row>
    <row r="404" ht="24.0" customHeight="1">
      <c r="A404" s="18" t="str">
        <f t="shared" si="1"/>
        <v/>
      </c>
      <c r="B404" s="18" t="str">
        <f t="shared" si="2"/>
        <v/>
      </c>
      <c r="C404" s="23" t="str">
        <f t="array" ref="C404">IF($H404="","",IFERROR(INDEX('Game Records'!$A:$A,$H404),""))</f>
        <v/>
      </c>
      <c r="D404" s="23" t="str">
        <f t="array" ref="D404">IF($H404="","",IFERROR(INDEX('Game Records'!$U:$U,$H404),""))</f>
        <v/>
      </c>
      <c r="E404" s="23" t="str">
        <f t="array" ref="E404">IF($H404="","",LET(r,$H404,mode,LOWER(INDEX('Game Records'!$D:$D,r)&amp;""),endDate,INDEX('Game Records'!$C:$C,r),IF(mode="estimate",IF(endDate="","Estimate — End Date missing",IF(NOT(ISNUMBER(endDate)),"Estimate — Check End Date",IF(INT(endDate)&gt;=TODAY(),"In Progress — ends "&amp;TEXT(endDate,"mmm d, yyyy"),"Ready to Finalize"))),IF($F404="","No Highlighted Fields","Highlighted Fields Present"))))</f>
        <v/>
      </c>
      <c r="F404" s="23" t="str">
        <f t="array" ref="F404">IF($H404="","",IF(OR(NOT(_xlfn.ISFORMULA(INDEX('Game Records'!$N:$N,$H404))),NOT(_xlfn.ISFORMULA(INDEX('Game Records'!$O:$O,$H404))),NOT(_xlfn.ISFORMULA(INDEX('Game Records'!$P:$P,$H404))),NOT(_xlfn.ISFORMULA(INDEX('Game Records'!$Q:$Q,$H404))),NOT(_xlfn.ISFORMULA(INDEX('Game Records'!$R:$R,$H404))),NOT(_xlfn.ISFORMULA(INDEX('Game Records'!$S:$S,$H404))),NOT(_xlfn.ISFORMULA(INDEX('Game Records'!$T:$T,$H404))),NOT(_xlfn.ISFORMULA(INDEX('Game Records'!$U:$U,$H404))),NOT(_xlfn.ISFORMULA(INDEX('Game Records'!$V:$V,$H404))),NOT(_xlfn.ISFORMULA(INDEX('Game Records'!$W:$W,$H404))),NOT(_xlfn.ISFORMULA(INDEX('Game Records'!$X:$X,$H404))),NOT(_xlfn.ISFORMULA(INDEX('Game Records'!$Y:$Y,$H404))),NOT(_xlfn.ISFORMULA(INDEX('Game Records'!$Z:$Z,$H404)))),"","")&amp;IF(INDEX('Game Records'!$B:$B,$H404)="","Start Date; ","")&amp;IF(INDEX('Game Records'!$C:$C,$H404)="","End Date; ","")&amp;IF(AND(INDEX('Game Records'!$U:$U,$H404)&lt;&gt;"Subscription",INDEX('Game Records'!$U:$U,$H404)&lt;&gt;"Free Game",INDEX('Game Records'!$U:$U,$H404)&lt;&gt;"Disqualified — Free Game",OR(INDEX('Game Records'!$D:$D,$H404)="",LOWER(INDEX('Game Records'!$D:$D,$H404)&amp;"")="n/a")),"Entry Mode; ","")&amp;IF(AND(INDEX('Game Records'!$U:$U,$H404)&lt;&gt;"Subscription",INDEX('Game Records'!$U:$U,$H404)&lt;&gt;"Free Game",INDEX('Game Records'!$U:$U,$H404)&lt;&gt;"Disqualified — Free Game",OR(INDEX('Game Records'!$E:$E,$H404)="",LOWER(INDEX('Game Records'!$E:$E,$H404)&amp;"")="n/a")),"Game Type; ","")&amp;IF(INDEX('Game Records'!$F:$F,$H404)="","Payment Type; ","")&amp;IF(AND(INDEX('Game Records'!$U:$U,$H404)&lt;&gt;"Subscription",INDEX('Game Records'!$U:$U,$H404)&lt;&gt;"Free Game",INDEX('Game Records'!$U:$U,$H404)&lt;&gt;"Disqualified — Free Game",INDEX('Game Records'!$G:$G,$H404)=""),"Gross Pot; ","")&amp;IF(AND(INDEX('Game Records'!$U:$U,$H404)&lt;&gt;"Free Game",INDEX('Game Records'!$U:$U,$H404)&lt;&gt;"Disqualified — Free Game",INDEX('Game Records'!$H:$H,$H404)=""),"Entry Fee; ","")&amp;IF(AND(INDEX('Game Records'!$U:$U,$H404)&lt;&gt;"Subscription",INDEX('Game Records'!$U:$U,$H404)&lt;&gt;"Free Game",INDEX('Game Records'!$U:$U,$H404)&lt;&gt;"Disqualified — Free Game",INDEX('Game Records'!$I:$I,$H404)=""),"Eligible Players; ","")&amp;IF(AND(INDEX('Game Records'!$U:$U,$H404)&lt;&gt;"Subscription",INDEX('Game Records'!$U:$U,$H404)&lt;&gt;"Free Game",INDEX('Game Records'!$U:$U,$H404)&lt;&gt;"Disqualified — Free Game",INDEX('Game Records'!$J:$J,$H404)=""),"Total Players; ","")&amp;IF(AND(LOWER(INDEX('Game Records'!$D:$D,$H404)&amp;"")="finalized",LOWER(INDEX('Game Records'!$L:$L,$H404)&amp;"")&lt;&gt;"yes",INDEX('Game Records'!$U:$U,$H404)&lt;&gt;"Subscription",INDEX('Game Records'!$U:$U,$H404)&lt;&gt;"Free Game",INDEX('Game Records'!$U:$U,$H404)&lt;&gt;"Disqualified — Free Game",INDEX('Game Records'!$K:$K,$H404)=""),"Final Payout; ","")&amp;IF(AND(LOWER(INDEX('Game Records'!$D:$D,$H404)&amp;"")="finalized",INDEX('Game Records'!$U:$U,$H404)&lt;&gt;"Subscription",INDEX('Game Records'!$U:$U,$H404)&lt;&gt;"Free Game",INDEX('Game Records'!$U:$U,$H404)&lt;&gt;"Disqualified — Free Game",OR(INDEX('Game Records'!$L:$L,$H404)="",LOWER(INDEX('Game Records'!$L:$L,$H404)&amp;"")="n/a")),"Disqualified Status; ",""))</f>
        <v/>
      </c>
      <c r="G404" s="23" t="str">
        <f t="array" ref="G404">IF($H404="","",IFERROR(INDEX('Game Records'!$M:$M,$H404),""))</f>
        <v/>
      </c>
      <c r="H404" s="3"/>
    </row>
    <row r="405" ht="24.0" customHeight="1">
      <c r="A405" s="18" t="str">
        <f t="shared" si="1"/>
        <v/>
      </c>
      <c r="B405" s="18" t="str">
        <f t="shared" si="2"/>
        <v/>
      </c>
      <c r="C405" s="23" t="str">
        <f t="array" ref="C405">IF($H405="","",IFERROR(INDEX('Game Records'!$A:$A,$H405),""))</f>
        <v/>
      </c>
      <c r="D405" s="23" t="str">
        <f t="array" ref="D405">IF($H405="","",IFERROR(INDEX('Game Records'!$U:$U,$H405),""))</f>
        <v/>
      </c>
      <c r="E405" s="23" t="str">
        <f t="array" ref="E405">IF($H405="","",LET(r,$H405,mode,LOWER(INDEX('Game Records'!$D:$D,r)&amp;""),endDate,INDEX('Game Records'!$C:$C,r),IF(mode="estimate",IF(endDate="","Estimate — End Date missing",IF(NOT(ISNUMBER(endDate)),"Estimate — Check End Date",IF(INT(endDate)&gt;=TODAY(),"In Progress — ends "&amp;TEXT(endDate,"mmm d, yyyy"),"Ready to Finalize"))),IF($F405="","No Highlighted Fields","Highlighted Fields Present"))))</f>
        <v/>
      </c>
      <c r="F405" s="23" t="str">
        <f t="array" ref="F405">IF($H405="","",IF(OR(NOT(_xlfn.ISFORMULA(INDEX('Game Records'!$N:$N,$H405))),NOT(_xlfn.ISFORMULA(INDEX('Game Records'!$O:$O,$H405))),NOT(_xlfn.ISFORMULA(INDEX('Game Records'!$P:$P,$H405))),NOT(_xlfn.ISFORMULA(INDEX('Game Records'!$Q:$Q,$H405))),NOT(_xlfn.ISFORMULA(INDEX('Game Records'!$R:$R,$H405))),NOT(_xlfn.ISFORMULA(INDEX('Game Records'!$S:$S,$H405))),NOT(_xlfn.ISFORMULA(INDEX('Game Records'!$T:$T,$H405))),NOT(_xlfn.ISFORMULA(INDEX('Game Records'!$U:$U,$H405))),NOT(_xlfn.ISFORMULA(INDEX('Game Records'!$V:$V,$H405))),NOT(_xlfn.ISFORMULA(INDEX('Game Records'!$W:$W,$H405))),NOT(_xlfn.ISFORMULA(INDEX('Game Records'!$X:$X,$H405))),NOT(_xlfn.ISFORMULA(INDEX('Game Records'!$Y:$Y,$H405))),NOT(_xlfn.ISFORMULA(INDEX('Game Records'!$Z:$Z,$H405)))),"","")&amp;IF(INDEX('Game Records'!$B:$B,$H405)="","Start Date; ","")&amp;IF(INDEX('Game Records'!$C:$C,$H405)="","End Date; ","")&amp;IF(AND(INDEX('Game Records'!$U:$U,$H405)&lt;&gt;"Subscription",INDEX('Game Records'!$U:$U,$H405)&lt;&gt;"Free Game",INDEX('Game Records'!$U:$U,$H405)&lt;&gt;"Disqualified — Free Game",OR(INDEX('Game Records'!$D:$D,$H405)="",LOWER(INDEX('Game Records'!$D:$D,$H405)&amp;"")="n/a")),"Entry Mode; ","")&amp;IF(AND(INDEX('Game Records'!$U:$U,$H405)&lt;&gt;"Subscription",INDEX('Game Records'!$U:$U,$H405)&lt;&gt;"Free Game",INDEX('Game Records'!$U:$U,$H405)&lt;&gt;"Disqualified — Free Game",OR(INDEX('Game Records'!$E:$E,$H405)="",LOWER(INDEX('Game Records'!$E:$E,$H405)&amp;"")="n/a")),"Game Type; ","")&amp;IF(INDEX('Game Records'!$F:$F,$H405)="","Payment Type; ","")&amp;IF(AND(INDEX('Game Records'!$U:$U,$H405)&lt;&gt;"Subscription",INDEX('Game Records'!$U:$U,$H405)&lt;&gt;"Free Game",INDEX('Game Records'!$U:$U,$H405)&lt;&gt;"Disqualified — Free Game",INDEX('Game Records'!$G:$G,$H405)=""),"Gross Pot; ","")&amp;IF(AND(INDEX('Game Records'!$U:$U,$H405)&lt;&gt;"Free Game",INDEX('Game Records'!$U:$U,$H405)&lt;&gt;"Disqualified — Free Game",INDEX('Game Records'!$H:$H,$H405)=""),"Entry Fee; ","")&amp;IF(AND(INDEX('Game Records'!$U:$U,$H405)&lt;&gt;"Subscription",INDEX('Game Records'!$U:$U,$H405)&lt;&gt;"Free Game",INDEX('Game Records'!$U:$U,$H405)&lt;&gt;"Disqualified — Free Game",INDEX('Game Records'!$I:$I,$H405)=""),"Eligible Players; ","")&amp;IF(AND(INDEX('Game Records'!$U:$U,$H405)&lt;&gt;"Subscription",INDEX('Game Records'!$U:$U,$H405)&lt;&gt;"Free Game",INDEX('Game Records'!$U:$U,$H405)&lt;&gt;"Disqualified — Free Game",INDEX('Game Records'!$J:$J,$H405)=""),"Total Players; ","")&amp;IF(AND(LOWER(INDEX('Game Records'!$D:$D,$H405)&amp;"")="finalized",LOWER(INDEX('Game Records'!$L:$L,$H405)&amp;"")&lt;&gt;"yes",INDEX('Game Records'!$U:$U,$H405)&lt;&gt;"Subscription",INDEX('Game Records'!$U:$U,$H405)&lt;&gt;"Free Game",INDEX('Game Records'!$U:$U,$H405)&lt;&gt;"Disqualified — Free Game",INDEX('Game Records'!$K:$K,$H405)=""),"Final Payout; ","")&amp;IF(AND(LOWER(INDEX('Game Records'!$D:$D,$H405)&amp;"")="finalized",INDEX('Game Records'!$U:$U,$H405)&lt;&gt;"Subscription",INDEX('Game Records'!$U:$U,$H405)&lt;&gt;"Free Game",INDEX('Game Records'!$U:$U,$H405)&lt;&gt;"Disqualified — Free Game",OR(INDEX('Game Records'!$L:$L,$H405)="",LOWER(INDEX('Game Records'!$L:$L,$H405)&amp;"")="n/a")),"Disqualified Status; ",""))</f>
        <v/>
      </c>
      <c r="G405" s="23" t="str">
        <f t="array" ref="G405">IF($H405="","",IFERROR(INDEX('Game Records'!$M:$M,$H405),""))</f>
        <v/>
      </c>
      <c r="H405" s="3"/>
    </row>
    <row r="406" ht="24.0" customHeight="1">
      <c r="A406" s="18" t="str">
        <f t="shared" si="1"/>
        <v/>
      </c>
      <c r="B406" s="18" t="str">
        <f t="shared" si="2"/>
        <v/>
      </c>
      <c r="C406" s="23" t="str">
        <f t="array" ref="C406">IF($H406="","",IFERROR(INDEX('Game Records'!$A:$A,$H406),""))</f>
        <v/>
      </c>
      <c r="D406" s="23" t="str">
        <f t="array" ref="D406">IF($H406="","",IFERROR(INDEX('Game Records'!$U:$U,$H406),""))</f>
        <v/>
      </c>
      <c r="E406" s="23" t="str">
        <f t="array" ref="E406">IF($H406="","",LET(r,$H406,mode,LOWER(INDEX('Game Records'!$D:$D,r)&amp;""),endDate,INDEX('Game Records'!$C:$C,r),IF(mode="estimate",IF(endDate="","Estimate — End Date missing",IF(NOT(ISNUMBER(endDate)),"Estimate — Check End Date",IF(INT(endDate)&gt;=TODAY(),"In Progress — ends "&amp;TEXT(endDate,"mmm d, yyyy"),"Ready to Finalize"))),IF($F406="","No Highlighted Fields","Highlighted Fields Present"))))</f>
        <v/>
      </c>
      <c r="F406" s="23" t="str">
        <f t="array" ref="F406">IF($H406="","",IF(OR(NOT(_xlfn.ISFORMULA(INDEX('Game Records'!$N:$N,$H406))),NOT(_xlfn.ISFORMULA(INDEX('Game Records'!$O:$O,$H406))),NOT(_xlfn.ISFORMULA(INDEX('Game Records'!$P:$P,$H406))),NOT(_xlfn.ISFORMULA(INDEX('Game Records'!$Q:$Q,$H406))),NOT(_xlfn.ISFORMULA(INDEX('Game Records'!$R:$R,$H406))),NOT(_xlfn.ISFORMULA(INDEX('Game Records'!$S:$S,$H406))),NOT(_xlfn.ISFORMULA(INDEX('Game Records'!$T:$T,$H406))),NOT(_xlfn.ISFORMULA(INDEX('Game Records'!$U:$U,$H406))),NOT(_xlfn.ISFORMULA(INDEX('Game Records'!$V:$V,$H406))),NOT(_xlfn.ISFORMULA(INDEX('Game Records'!$W:$W,$H406))),NOT(_xlfn.ISFORMULA(INDEX('Game Records'!$X:$X,$H406))),NOT(_xlfn.ISFORMULA(INDEX('Game Records'!$Y:$Y,$H406))),NOT(_xlfn.ISFORMULA(INDEX('Game Records'!$Z:$Z,$H406)))),"","")&amp;IF(INDEX('Game Records'!$B:$B,$H406)="","Start Date; ","")&amp;IF(INDEX('Game Records'!$C:$C,$H406)="","End Date; ","")&amp;IF(AND(INDEX('Game Records'!$U:$U,$H406)&lt;&gt;"Subscription",INDEX('Game Records'!$U:$U,$H406)&lt;&gt;"Free Game",INDEX('Game Records'!$U:$U,$H406)&lt;&gt;"Disqualified — Free Game",OR(INDEX('Game Records'!$D:$D,$H406)="",LOWER(INDEX('Game Records'!$D:$D,$H406)&amp;"")="n/a")),"Entry Mode; ","")&amp;IF(AND(INDEX('Game Records'!$U:$U,$H406)&lt;&gt;"Subscription",INDEX('Game Records'!$U:$U,$H406)&lt;&gt;"Free Game",INDEX('Game Records'!$U:$U,$H406)&lt;&gt;"Disqualified — Free Game",OR(INDEX('Game Records'!$E:$E,$H406)="",LOWER(INDEX('Game Records'!$E:$E,$H406)&amp;"")="n/a")),"Game Type; ","")&amp;IF(INDEX('Game Records'!$F:$F,$H406)="","Payment Type; ","")&amp;IF(AND(INDEX('Game Records'!$U:$U,$H406)&lt;&gt;"Subscription",INDEX('Game Records'!$U:$U,$H406)&lt;&gt;"Free Game",INDEX('Game Records'!$U:$U,$H406)&lt;&gt;"Disqualified — Free Game",INDEX('Game Records'!$G:$G,$H406)=""),"Gross Pot; ","")&amp;IF(AND(INDEX('Game Records'!$U:$U,$H406)&lt;&gt;"Free Game",INDEX('Game Records'!$U:$U,$H406)&lt;&gt;"Disqualified — Free Game",INDEX('Game Records'!$H:$H,$H406)=""),"Entry Fee; ","")&amp;IF(AND(INDEX('Game Records'!$U:$U,$H406)&lt;&gt;"Subscription",INDEX('Game Records'!$U:$U,$H406)&lt;&gt;"Free Game",INDEX('Game Records'!$U:$U,$H406)&lt;&gt;"Disqualified — Free Game",INDEX('Game Records'!$I:$I,$H406)=""),"Eligible Players; ","")&amp;IF(AND(INDEX('Game Records'!$U:$U,$H406)&lt;&gt;"Subscription",INDEX('Game Records'!$U:$U,$H406)&lt;&gt;"Free Game",INDEX('Game Records'!$U:$U,$H406)&lt;&gt;"Disqualified — Free Game",INDEX('Game Records'!$J:$J,$H406)=""),"Total Players; ","")&amp;IF(AND(LOWER(INDEX('Game Records'!$D:$D,$H406)&amp;"")="finalized",LOWER(INDEX('Game Records'!$L:$L,$H406)&amp;"")&lt;&gt;"yes",INDEX('Game Records'!$U:$U,$H406)&lt;&gt;"Subscription",INDEX('Game Records'!$U:$U,$H406)&lt;&gt;"Free Game",INDEX('Game Records'!$U:$U,$H406)&lt;&gt;"Disqualified — Free Game",INDEX('Game Records'!$K:$K,$H406)=""),"Final Payout; ","")&amp;IF(AND(LOWER(INDEX('Game Records'!$D:$D,$H406)&amp;"")="finalized",INDEX('Game Records'!$U:$U,$H406)&lt;&gt;"Subscription",INDEX('Game Records'!$U:$U,$H406)&lt;&gt;"Free Game",INDEX('Game Records'!$U:$U,$H406)&lt;&gt;"Disqualified — Free Game",OR(INDEX('Game Records'!$L:$L,$H406)="",LOWER(INDEX('Game Records'!$L:$L,$H406)&amp;"")="n/a")),"Disqualified Status; ",""))</f>
        <v/>
      </c>
      <c r="G406" s="23" t="str">
        <f t="array" ref="G406">IF($H406="","",IFERROR(INDEX('Game Records'!$M:$M,$H406),""))</f>
        <v/>
      </c>
      <c r="H406" s="3"/>
    </row>
    <row r="407" ht="24.0" customHeight="1">
      <c r="A407" s="18" t="str">
        <f t="shared" si="1"/>
        <v/>
      </c>
      <c r="B407" s="18" t="str">
        <f t="shared" si="2"/>
        <v/>
      </c>
      <c r="C407" s="23" t="str">
        <f t="array" ref="C407">IF($H407="","",IFERROR(INDEX('Game Records'!$A:$A,$H407),""))</f>
        <v/>
      </c>
      <c r="D407" s="23" t="str">
        <f t="array" ref="D407">IF($H407="","",IFERROR(INDEX('Game Records'!$U:$U,$H407),""))</f>
        <v/>
      </c>
      <c r="E407" s="23" t="str">
        <f t="array" ref="E407">IF($H407="","",LET(r,$H407,mode,LOWER(INDEX('Game Records'!$D:$D,r)&amp;""),endDate,INDEX('Game Records'!$C:$C,r),IF(mode="estimate",IF(endDate="","Estimate — End Date missing",IF(NOT(ISNUMBER(endDate)),"Estimate — Check End Date",IF(INT(endDate)&gt;=TODAY(),"In Progress — ends "&amp;TEXT(endDate,"mmm d, yyyy"),"Ready to Finalize"))),IF($F407="","No Highlighted Fields","Highlighted Fields Present"))))</f>
        <v/>
      </c>
      <c r="F407" s="23" t="str">
        <f t="array" ref="F407">IF($H407="","",IF(OR(NOT(_xlfn.ISFORMULA(INDEX('Game Records'!$N:$N,$H407))),NOT(_xlfn.ISFORMULA(INDEX('Game Records'!$O:$O,$H407))),NOT(_xlfn.ISFORMULA(INDEX('Game Records'!$P:$P,$H407))),NOT(_xlfn.ISFORMULA(INDEX('Game Records'!$Q:$Q,$H407))),NOT(_xlfn.ISFORMULA(INDEX('Game Records'!$R:$R,$H407))),NOT(_xlfn.ISFORMULA(INDEX('Game Records'!$S:$S,$H407))),NOT(_xlfn.ISFORMULA(INDEX('Game Records'!$T:$T,$H407))),NOT(_xlfn.ISFORMULA(INDEX('Game Records'!$U:$U,$H407))),NOT(_xlfn.ISFORMULA(INDEX('Game Records'!$V:$V,$H407))),NOT(_xlfn.ISFORMULA(INDEX('Game Records'!$W:$W,$H407))),NOT(_xlfn.ISFORMULA(INDEX('Game Records'!$X:$X,$H407))),NOT(_xlfn.ISFORMULA(INDEX('Game Records'!$Y:$Y,$H407))),NOT(_xlfn.ISFORMULA(INDEX('Game Records'!$Z:$Z,$H407)))),"","")&amp;IF(INDEX('Game Records'!$B:$B,$H407)="","Start Date; ","")&amp;IF(INDEX('Game Records'!$C:$C,$H407)="","End Date; ","")&amp;IF(AND(INDEX('Game Records'!$U:$U,$H407)&lt;&gt;"Subscription",INDEX('Game Records'!$U:$U,$H407)&lt;&gt;"Free Game",INDEX('Game Records'!$U:$U,$H407)&lt;&gt;"Disqualified — Free Game",OR(INDEX('Game Records'!$D:$D,$H407)="",LOWER(INDEX('Game Records'!$D:$D,$H407)&amp;"")="n/a")),"Entry Mode; ","")&amp;IF(AND(INDEX('Game Records'!$U:$U,$H407)&lt;&gt;"Subscription",INDEX('Game Records'!$U:$U,$H407)&lt;&gt;"Free Game",INDEX('Game Records'!$U:$U,$H407)&lt;&gt;"Disqualified — Free Game",OR(INDEX('Game Records'!$E:$E,$H407)="",LOWER(INDEX('Game Records'!$E:$E,$H407)&amp;"")="n/a")),"Game Type; ","")&amp;IF(INDEX('Game Records'!$F:$F,$H407)="","Payment Type; ","")&amp;IF(AND(INDEX('Game Records'!$U:$U,$H407)&lt;&gt;"Subscription",INDEX('Game Records'!$U:$U,$H407)&lt;&gt;"Free Game",INDEX('Game Records'!$U:$U,$H407)&lt;&gt;"Disqualified — Free Game",INDEX('Game Records'!$G:$G,$H407)=""),"Gross Pot; ","")&amp;IF(AND(INDEX('Game Records'!$U:$U,$H407)&lt;&gt;"Free Game",INDEX('Game Records'!$U:$U,$H407)&lt;&gt;"Disqualified — Free Game",INDEX('Game Records'!$H:$H,$H407)=""),"Entry Fee; ","")&amp;IF(AND(INDEX('Game Records'!$U:$U,$H407)&lt;&gt;"Subscription",INDEX('Game Records'!$U:$U,$H407)&lt;&gt;"Free Game",INDEX('Game Records'!$U:$U,$H407)&lt;&gt;"Disqualified — Free Game",INDEX('Game Records'!$I:$I,$H407)=""),"Eligible Players; ","")&amp;IF(AND(INDEX('Game Records'!$U:$U,$H407)&lt;&gt;"Subscription",INDEX('Game Records'!$U:$U,$H407)&lt;&gt;"Free Game",INDEX('Game Records'!$U:$U,$H407)&lt;&gt;"Disqualified — Free Game",INDEX('Game Records'!$J:$J,$H407)=""),"Total Players; ","")&amp;IF(AND(LOWER(INDEX('Game Records'!$D:$D,$H407)&amp;"")="finalized",LOWER(INDEX('Game Records'!$L:$L,$H407)&amp;"")&lt;&gt;"yes",INDEX('Game Records'!$U:$U,$H407)&lt;&gt;"Subscription",INDEX('Game Records'!$U:$U,$H407)&lt;&gt;"Free Game",INDEX('Game Records'!$U:$U,$H407)&lt;&gt;"Disqualified — Free Game",INDEX('Game Records'!$K:$K,$H407)=""),"Final Payout; ","")&amp;IF(AND(LOWER(INDEX('Game Records'!$D:$D,$H407)&amp;"")="finalized",INDEX('Game Records'!$U:$U,$H407)&lt;&gt;"Subscription",INDEX('Game Records'!$U:$U,$H407)&lt;&gt;"Free Game",INDEX('Game Records'!$U:$U,$H407)&lt;&gt;"Disqualified — Free Game",OR(INDEX('Game Records'!$L:$L,$H407)="",LOWER(INDEX('Game Records'!$L:$L,$H407)&amp;"")="n/a")),"Disqualified Status; ",""))</f>
        <v/>
      </c>
      <c r="G407" s="23" t="str">
        <f t="array" ref="G407">IF($H407="","",IFERROR(INDEX('Game Records'!$M:$M,$H407),""))</f>
        <v/>
      </c>
      <c r="H407" s="3"/>
    </row>
    <row r="408" ht="24.0" customHeight="1">
      <c r="A408" s="18" t="str">
        <f t="shared" si="1"/>
        <v/>
      </c>
      <c r="B408" s="18" t="str">
        <f t="shared" si="2"/>
        <v/>
      </c>
      <c r="C408" s="23" t="str">
        <f t="array" ref="C408">IF($H408="","",IFERROR(INDEX('Game Records'!$A:$A,$H408),""))</f>
        <v/>
      </c>
      <c r="D408" s="23" t="str">
        <f t="array" ref="D408">IF($H408="","",IFERROR(INDEX('Game Records'!$U:$U,$H408),""))</f>
        <v/>
      </c>
      <c r="E408" s="23" t="str">
        <f t="array" ref="E408">IF($H408="","",LET(r,$H408,mode,LOWER(INDEX('Game Records'!$D:$D,r)&amp;""),endDate,INDEX('Game Records'!$C:$C,r),IF(mode="estimate",IF(endDate="","Estimate — End Date missing",IF(NOT(ISNUMBER(endDate)),"Estimate — Check End Date",IF(INT(endDate)&gt;=TODAY(),"In Progress — ends "&amp;TEXT(endDate,"mmm d, yyyy"),"Ready to Finalize"))),IF($F408="","No Highlighted Fields","Highlighted Fields Present"))))</f>
        <v/>
      </c>
      <c r="F408" s="23" t="str">
        <f t="array" ref="F408">IF($H408="","",IF(OR(NOT(_xlfn.ISFORMULA(INDEX('Game Records'!$N:$N,$H408))),NOT(_xlfn.ISFORMULA(INDEX('Game Records'!$O:$O,$H408))),NOT(_xlfn.ISFORMULA(INDEX('Game Records'!$P:$P,$H408))),NOT(_xlfn.ISFORMULA(INDEX('Game Records'!$Q:$Q,$H408))),NOT(_xlfn.ISFORMULA(INDEX('Game Records'!$R:$R,$H408))),NOT(_xlfn.ISFORMULA(INDEX('Game Records'!$S:$S,$H408))),NOT(_xlfn.ISFORMULA(INDEX('Game Records'!$T:$T,$H408))),NOT(_xlfn.ISFORMULA(INDEX('Game Records'!$U:$U,$H408))),NOT(_xlfn.ISFORMULA(INDEX('Game Records'!$V:$V,$H408))),NOT(_xlfn.ISFORMULA(INDEX('Game Records'!$W:$W,$H408))),NOT(_xlfn.ISFORMULA(INDEX('Game Records'!$X:$X,$H408))),NOT(_xlfn.ISFORMULA(INDEX('Game Records'!$Y:$Y,$H408))),NOT(_xlfn.ISFORMULA(INDEX('Game Records'!$Z:$Z,$H408)))),"","")&amp;IF(INDEX('Game Records'!$B:$B,$H408)="","Start Date; ","")&amp;IF(INDEX('Game Records'!$C:$C,$H408)="","End Date; ","")&amp;IF(AND(INDEX('Game Records'!$U:$U,$H408)&lt;&gt;"Subscription",INDEX('Game Records'!$U:$U,$H408)&lt;&gt;"Free Game",INDEX('Game Records'!$U:$U,$H408)&lt;&gt;"Disqualified — Free Game",OR(INDEX('Game Records'!$D:$D,$H408)="",LOWER(INDEX('Game Records'!$D:$D,$H408)&amp;"")="n/a")),"Entry Mode; ","")&amp;IF(AND(INDEX('Game Records'!$U:$U,$H408)&lt;&gt;"Subscription",INDEX('Game Records'!$U:$U,$H408)&lt;&gt;"Free Game",INDEX('Game Records'!$U:$U,$H408)&lt;&gt;"Disqualified — Free Game",OR(INDEX('Game Records'!$E:$E,$H408)="",LOWER(INDEX('Game Records'!$E:$E,$H408)&amp;"")="n/a")),"Game Type; ","")&amp;IF(INDEX('Game Records'!$F:$F,$H408)="","Payment Type; ","")&amp;IF(AND(INDEX('Game Records'!$U:$U,$H408)&lt;&gt;"Subscription",INDEX('Game Records'!$U:$U,$H408)&lt;&gt;"Free Game",INDEX('Game Records'!$U:$U,$H408)&lt;&gt;"Disqualified — Free Game",INDEX('Game Records'!$G:$G,$H408)=""),"Gross Pot; ","")&amp;IF(AND(INDEX('Game Records'!$U:$U,$H408)&lt;&gt;"Free Game",INDEX('Game Records'!$U:$U,$H408)&lt;&gt;"Disqualified — Free Game",INDEX('Game Records'!$H:$H,$H408)=""),"Entry Fee; ","")&amp;IF(AND(INDEX('Game Records'!$U:$U,$H408)&lt;&gt;"Subscription",INDEX('Game Records'!$U:$U,$H408)&lt;&gt;"Free Game",INDEX('Game Records'!$U:$U,$H408)&lt;&gt;"Disqualified — Free Game",INDEX('Game Records'!$I:$I,$H408)=""),"Eligible Players; ","")&amp;IF(AND(INDEX('Game Records'!$U:$U,$H408)&lt;&gt;"Subscription",INDEX('Game Records'!$U:$U,$H408)&lt;&gt;"Free Game",INDEX('Game Records'!$U:$U,$H408)&lt;&gt;"Disqualified — Free Game",INDEX('Game Records'!$J:$J,$H408)=""),"Total Players; ","")&amp;IF(AND(LOWER(INDEX('Game Records'!$D:$D,$H408)&amp;"")="finalized",LOWER(INDEX('Game Records'!$L:$L,$H408)&amp;"")&lt;&gt;"yes",INDEX('Game Records'!$U:$U,$H408)&lt;&gt;"Subscription",INDEX('Game Records'!$U:$U,$H408)&lt;&gt;"Free Game",INDEX('Game Records'!$U:$U,$H408)&lt;&gt;"Disqualified — Free Game",INDEX('Game Records'!$K:$K,$H408)=""),"Final Payout; ","")&amp;IF(AND(LOWER(INDEX('Game Records'!$D:$D,$H408)&amp;"")="finalized",INDEX('Game Records'!$U:$U,$H408)&lt;&gt;"Subscription",INDEX('Game Records'!$U:$U,$H408)&lt;&gt;"Free Game",INDEX('Game Records'!$U:$U,$H408)&lt;&gt;"Disqualified — Free Game",OR(INDEX('Game Records'!$L:$L,$H408)="",LOWER(INDEX('Game Records'!$L:$L,$H408)&amp;"")="n/a")),"Disqualified Status; ",""))</f>
        <v/>
      </c>
      <c r="G408" s="23" t="str">
        <f t="array" ref="G408">IF($H408="","",IFERROR(INDEX('Game Records'!$M:$M,$H408),""))</f>
        <v/>
      </c>
      <c r="H408" s="3"/>
    </row>
    <row r="409" ht="24.0" customHeight="1">
      <c r="A409" s="18" t="str">
        <f t="shared" si="1"/>
        <v/>
      </c>
      <c r="B409" s="18" t="str">
        <f t="shared" si="2"/>
        <v/>
      </c>
      <c r="C409" s="23" t="str">
        <f t="array" ref="C409">IF($H409="","",IFERROR(INDEX('Game Records'!$A:$A,$H409),""))</f>
        <v/>
      </c>
      <c r="D409" s="23" t="str">
        <f t="array" ref="D409">IF($H409="","",IFERROR(INDEX('Game Records'!$U:$U,$H409),""))</f>
        <v/>
      </c>
      <c r="E409" s="23" t="str">
        <f t="array" ref="E409">IF($H409="","",LET(r,$H409,mode,LOWER(INDEX('Game Records'!$D:$D,r)&amp;""),endDate,INDEX('Game Records'!$C:$C,r),IF(mode="estimate",IF(endDate="","Estimate — End Date missing",IF(NOT(ISNUMBER(endDate)),"Estimate — Check End Date",IF(INT(endDate)&gt;=TODAY(),"In Progress — ends "&amp;TEXT(endDate,"mmm d, yyyy"),"Ready to Finalize"))),IF($F409="","No Highlighted Fields","Highlighted Fields Present"))))</f>
        <v/>
      </c>
      <c r="F409" s="23" t="str">
        <f t="array" ref="F409">IF($H409="","",IF(OR(NOT(_xlfn.ISFORMULA(INDEX('Game Records'!$N:$N,$H409))),NOT(_xlfn.ISFORMULA(INDEX('Game Records'!$O:$O,$H409))),NOT(_xlfn.ISFORMULA(INDEX('Game Records'!$P:$P,$H409))),NOT(_xlfn.ISFORMULA(INDEX('Game Records'!$Q:$Q,$H409))),NOT(_xlfn.ISFORMULA(INDEX('Game Records'!$R:$R,$H409))),NOT(_xlfn.ISFORMULA(INDEX('Game Records'!$S:$S,$H409))),NOT(_xlfn.ISFORMULA(INDEX('Game Records'!$T:$T,$H409))),NOT(_xlfn.ISFORMULA(INDEX('Game Records'!$U:$U,$H409))),NOT(_xlfn.ISFORMULA(INDEX('Game Records'!$V:$V,$H409))),NOT(_xlfn.ISFORMULA(INDEX('Game Records'!$W:$W,$H409))),NOT(_xlfn.ISFORMULA(INDEX('Game Records'!$X:$X,$H409))),NOT(_xlfn.ISFORMULA(INDEX('Game Records'!$Y:$Y,$H409))),NOT(_xlfn.ISFORMULA(INDEX('Game Records'!$Z:$Z,$H409)))),"","")&amp;IF(INDEX('Game Records'!$B:$B,$H409)="","Start Date; ","")&amp;IF(INDEX('Game Records'!$C:$C,$H409)="","End Date; ","")&amp;IF(AND(INDEX('Game Records'!$U:$U,$H409)&lt;&gt;"Subscription",INDEX('Game Records'!$U:$U,$H409)&lt;&gt;"Free Game",INDEX('Game Records'!$U:$U,$H409)&lt;&gt;"Disqualified — Free Game",OR(INDEX('Game Records'!$D:$D,$H409)="",LOWER(INDEX('Game Records'!$D:$D,$H409)&amp;"")="n/a")),"Entry Mode; ","")&amp;IF(AND(INDEX('Game Records'!$U:$U,$H409)&lt;&gt;"Subscription",INDEX('Game Records'!$U:$U,$H409)&lt;&gt;"Free Game",INDEX('Game Records'!$U:$U,$H409)&lt;&gt;"Disqualified — Free Game",OR(INDEX('Game Records'!$E:$E,$H409)="",LOWER(INDEX('Game Records'!$E:$E,$H409)&amp;"")="n/a")),"Game Type; ","")&amp;IF(INDEX('Game Records'!$F:$F,$H409)="","Payment Type; ","")&amp;IF(AND(INDEX('Game Records'!$U:$U,$H409)&lt;&gt;"Subscription",INDEX('Game Records'!$U:$U,$H409)&lt;&gt;"Free Game",INDEX('Game Records'!$U:$U,$H409)&lt;&gt;"Disqualified — Free Game",INDEX('Game Records'!$G:$G,$H409)=""),"Gross Pot; ","")&amp;IF(AND(INDEX('Game Records'!$U:$U,$H409)&lt;&gt;"Free Game",INDEX('Game Records'!$U:$U,$H409)&lt;&gt;"Disqualified — Free Game",INDEX('Game Records'!$H:$H,$H409)=""),"Entry Fee; ","")&amp;IF(AND(INDEX('Game Records'!$U:$U,$H409)&lt;&gt;"Subscription",INDEX('Game Records'!$U:$U,$H409)&lt;&gt;"Free Game",INDEX('Game Records'!$U:$U,$H409)&lt;&gt;"Disqualified — Free Game",INDEX('Game Records'!$I:$I,$H409)=""),"Eligible Players; ","")&amp;IF(AND(INDEX('Game Records'!$U:$U,$H409)&lt;&gt;"Subscription",INDEX('Game Records'!$U:$U,$H409)&lt;&gt;"Free Game",INDEX('Game Records'!$U:$U,$H409)&lt;&gt;"Disqualified — Free Game",INDEX('Game Records'!$J:$J,$H409)=""),"Total Players; ","")&amp;IF(AND(LOWER(INDEX('Game Records'!$D:$D,$H409)&amp;"")="finalized",LOWER(INDEX('Game Records'!$L:$L,$H409)&amp;"")&lt;&gt;"yes",INDEX('Game Records'!$U:$U,$H409)&lt;&gt;"Subscription",INDEX('Game Records'!$U:$U,$H409)&lt;&gt;"Free Game",INDEX('Game Records'!$U:$U,$H409)&lt;&gt;"Disqualified — Free Game",INDEX('Game Records'!$K:$K,$H409)=""),"Final Payout; ","")&amp;IF(AND(LOWER(INDEX('Game Records'!$D:$D,$H409)&amp;"")="finalized",INDEX('Game Records'!$U:$U,$H409)&lt;&gt;"Subscription",INDEX('Game Records'!$U:$U,$H409)&lt;&gt;"Free Game",INDEX('Game Records'!$U:$U,$H409)&lt;&gt;"Disqualified — Free Game",OR(INDEX('Game Records'!$L:$L,$H409)="",LOWER(INDEX('Game Records'!$L:$L,$H409)&amp;"")="n/a")),"Disqualified Status; ",""))</f>
        <v/>
      </c>
      <c r="G409" s="23" t="str">
        <f t="array" ref="G409">IF($H409="","",IFERROR(INDEX('Game Records'!$M:$M,$H409),""))</f>
        <v/>
      </c>
      <c r="H409" s="3"/>
    </row>
    <row r="410" ht="24.0" customHeight="1">
      <c r="A410" s="18" t="str">
        <f t="shared" si="1"/>
        <v/>
      </c>
      <c r="B410" s="18" t="str">
        <f t="shared" si="2"/>
        <v/>
      </c>
      <c r="C410" s="23" t="str">
        <f t="array" ref="C410">IF($H410="","",IFERROR(INDEX('Game Records'!$A:$A,$H410),""))</f>
        <v/>
      </c>
      <c r="D410" s="23" t="str">
        <f t="array" ref="D410">IF($H410="","",IFERROR(INDEX('Game Records'!$U:$U,$H410),""))</f>
        <v/>
      </c>
      <c r="E410" s="23" t="str">
        <f t="array" ref="E410">IF($H410="","",LET(r,$H410,mode,LOWER(INDEX('Game Records'!$D:$D,r)&amp;""),endDate,INDEX('Game Records'!$C:$C,r),IF(mode="estimate",IF(endDate="","Estimate — End Date missing",IF(NOT(ISNUMBER(endDate)),"Estimate — Check End Date",IF(INT(endDate)&gt;=TODAY(),"In Progress — ends "&amp;TEXT(endDate,"mmm d, yyyy"),"Ready to Finalize"))),IF($F410="","No Highlighted Fields","Highlighted Fields Present"))))</f>
        <v/>
      </c>
      <c r="F410" s="23" t="str">
        <f t="array" ref="F410">IF($H410="","",IF(OR(NOT(_xlfn.ISFORMULA(INDEX('Game Records'!$N:$N,$H410))),NOT(_xlfn.ISFORMULA(INDEX('Game Records'!$O:$O,$H410))),NOT(_xlfn.ISFORMULA(INDEX('Game Records'!$P:$P,$H410))),NOT(_xlfn.ISFORMULA(INDEX('Game Records'!$Q:$Q,$H410))),NOT(_xlfn.ISFORMULA(INDEX('Game Records'!$R:$R,$H410))),NOT(_xlfn.ISFORMULA(INDEX('Game Records'!$S:$S,$H410))),NOT(_xlfn.ISFORMULA(INDEX('Game Records'!$T:$T,$H410))),NOT(_xlfn.ISFORMULA(INDEX('Game Records'!$U:$U,$H410))),NOT(_xlfn.ISFORMULA(INDEX('Game Records'!$V:$V,$H410))),NOT(_xlfn.ISFORMULA(INDEX('Game Records'!$W:$W,$H410))),NOT(_xlfn.ISFORMULA(INDEX('Game Records'!$X:$X,$H410))),NOT(_xlfn.ISFORMULA(INDEX('Game Records'!$Y:$Y,$H410))),NOT(_xlfn.ISFORMULA(INDEX('Game Records'!$Z:$Z,$H410)))),"","")&amp;IF(INDEX('Game Records'!$B:$B,$H410)="","Start Date; ","")&amp;IF(INDEX('Game Records'!$C:$C,$H410)="","End Date; ","")&amp;IF(AND(INDEX('Game Records'!$U:$U,$H410)&lt;&gt;"Subscription",INDEX('Game Records'!$U:$U,$H410)&lt;&gt;"Free Game",INDEX('Game Records'!$U:$U,$H410)&lt;&gt;"Disqualified — Free Game",OR(INDEX('Game Records'!$D:$D,$H410)="",LOWER(INDEX('Game Records'!$D:$D,$H410)&amp;"")="n/a")),"Entry Mode; ","")&amp;IF(AND(INDEX('Game Records'!$U:$U,$H410)&lt;&gt;"Subscription",INDEX('Game Records'!$U:$U,$H410)&lt;&gt;"Free Game",INDEX('Game Records'!$U:$U,$H410)&lt;&gt;"Disqualified — Free Game",OR(INDEX('Game Records'!$E:$E,$H410)="",LOWER(INDEX('Game Records'!$E:$E,$H410)&amp;"")="n/a")),"Game Type; ","")&amp;IF(INDEX('Game Records'!$F:$F,$H410)="","Payment Type; ","")&amp;IF(AND(INDEX('Game Records'!$U:$U,$H410)&lt;&gt;"Subscription",INDEX('Game Records'!$U:$U,$H410)&lt;&gt;"Free Game",INDEX('Game Records'!$U:$U,$H410)&lt;&gt;"Disqualified — Free Game",INDEX('Game Records'!$G:$G,$H410)=""),"Gross Pot; ","")&amp;IF(AND(INDEX('Game Records'!$U:$U,$H410)&lt;&gt;"Free Game",INDEX('Game Records'!$U:$U,$H410)&lt;&gt;"Disqualified — Free Game",INDEX('Game Records'!$H:$H,$H410)=""),"Entry Fee; ","")&amp;IF(AND(INDEX('Game Records'!$U:$U,$H410)&lt;&gt;"Subscription",INDEX('Game Records'!$U:$U,$H410)&lt;&gt;"Free Game",INDEX('Game Records'!$U:$U,$H410)&lt;&gt;"Disqualified — Free Game",INDEX('Game Records'!$I:$I,$H410)=""),"Eligible Players; ","")&amp;IF(AND(INDEX('Game Records'!$U:$U,$H410)&lt;&gt;"Subscription",INDEX('Game Records'!$U:$U,$H410)&lt;&gt;"Free Game",INDEX('Game Records'!$U:$U,$H410)&lt;&gt;"Disqualified — Free Game",INDEX('Game Records'!$J:$J,$H410)=""),"Total Players; ","")&amp;IF(AND(LOWER(INDEX('Game Records'!$D:$D,$H410)&amp;"")="finalized",LOWER(INDEX('Game Records'!$L:$L,$H410)&amp;"")&lt;&gt;"yes",INDEX('Game Records'!$U:$U,$H410)&lt;&gt;"Subscription",INDEX('Game Records'!$U:$U,$H410)&lt;&gt;"Free Game",INDEX('Game Records'!$U:$U,$H410)&lt;&gt;"Disqualified — Free Game",INDEX('Game Records'!$K:$K,$H410)=""),"Final Payout; ","")&amp;IF(AND(LOWER(INDEX('Game Records'!$D:$D,$H410)&amp;"")="finalized",INDEX('Game Records'!$U:$U,$H410)&lt;&gt;"Subscription",INDEX('Game Records'!$U:$U,$H410)&lt;&gt;"Free Game",INDEX('Game Records'!$U:$U,$H410)&lt;&gt;"Disqualified — Free Game",OR(INDEX('Game Records'!$L:$L,$H410)="",LOWER(INDEX('Game Records'!$L:$L,$H410)&amp;"")="n/a")),"Disqualified Status; ",""))</f>
        <v/>
      </c>
      <c r="G410" s="23" t="str">
        <f t="array" ref="G410">IF($H410="","",IFERROR(INDEX('Game Records'!$M:$M,$H410),""))</f>
        <v/>
      </c>
      <c r="H410" s="3"/>
    </row>
    <row r="411" ht="24.0" customHeight="1">
      <c r="A411" s="18" t="str">
        <f t="shared" si="1"/>
        <v/>
      </c>
      <c r="B411" s="18" t="str">
        <f t="shared" si="2"/>
        <v/>
      </c>
      <c r="C411" s="23" t="str">
        <f t="array" ref="C411">IF($H411="","",IFERROR(INDEX('Game Records'!$A:$A,$H411),""))</f>
        <v/>
      </c>
      <c r="D411" s="23" t="str">
        <f t="array" ref="D411">IF($H411="","",IFERROR(INDEX('Game Records'!$U:$U,$H411),""))</f>
        <v/>
      </c>
      <c r="E411" s="23" t="str">
        <f t="array" ref="E411">IF($H411="","",LET(r,$H411,mode,LOWER(INDEX('Game Records'!$D:$D,r)&amp;""),endDate,INDEX('Game Records'!$C:$C,r),IF(mode="estimate",IF(endDate="","Estimate — End Date missing",IF(NOT(ISNUMBER(endDate)),"Estimate — Check End Date",IF(INT(endDate)&gt;=TODAY(),"In Progress — ends "&amp;TEXT(endDate,"mmm d, yyyy"),"Ready to Finalize"))),IF($F411="","No Highlighted Fields","Highlighted Fields Present"))))</f>
        <v/>
      </c>
      <c r="F411" s="23" t="str">
        <f t="array" ref="F411">IF($H411="","",IF(OR(NOT(_xlfn.ISFORMULA(INDEX('Game Records'!$N:$N,$H411))),NOT(_xlfn.ISFORMULA(INDEX('Game Records'!$O:$O,$H411))),NOT(_xlfn.ISFORMULA(INDEX('Game Records'!$P:$P,$H411))),NOT(_xlfn.ISFORMULA(INDEX('Game Records'!$Q:$Q,$H411))),NOT(_xlfn.ISFORMULA(INDEX('Game Records'!$R:$R,$H411))),NOT(_xlfn.ISFORMULA(INDEX('Game Records'!$S:$S,$H411))),NOT(_xlfn.ISFORMULA(INDEX('Game Records'!$T:$T,$H411))),NOT(_xlfn.ISFORMULA(INDEX('Game Records'!$U:$U,$H411))),NOT(_xlfn.ISFORMULA(INDEX('Game Records'!$V:$V,$H411))),NOT(_xlfn.ISFORMULA(INDEX('Game Records'!$W:$W,$H411))),NOT(_xlfn.ISFORMULA(INDEX('Game Records'!$X:$X,$H411))),NOT(_xlfn.ISFORMULA(INDEX('Game Records'!$Y:$Y,$H411))),NOT(_xlfn.ISFORMULA(INDEX('Game Records'!$Z:$Z,$H411)))),"","")&amp;IF(INDEX('Game Records'!$B:$B,$H411)="","Start Date; ","")&amp;IF(INDEX('Game Records'!$C:$C,$H411)="","End Date; ","")&amp;IF(AND(INDEX('Game Records'!$U:$U,$H411)&lt;&gt;"Subscription",INDEX('Game Records'!$U:$U,$H411)&lt;&gt;"Free Game",INDEX('Game Records'!$U:$U,$H411)&lt;&gt;"Disqualified — Free Game",OR(INDEX('Game Records'!$D:$D,$H411)="",LOWER(INDEX('Game Records'!$D:$D,$H411)&amp;"")="n/a")),"Entry Mode; ","")&amp;IF(AND(INDEX('Game Records'!$U:$U,$H411)&lt;&gt;"Subscription",INDEX('Game Records'!$U:$U,$H411)&lt;&gt;"Free Game",INDEX('Game Records'!$U:$U,$H411)&lt;&gt;"Disqualified — Free Game",OR(INDEX('Game Records'!$E:$E,$H411)="",LOWER(INDEX('Game Records'!$E:$E,$H411)&amp;"")="n/a")),"Game Type; ","")&amp;IF(INDEX('Game Records'!$F:$F,$H411)="","Payment Type; ","")&amp;IF(AND(INDEX('Game Records'!$U:$U,$H411)&lt;&gt;"Subscription",INDEX('Game Records'!$U:$U,$H411)&lt;&gt;"Free Game",INDEX('Game Records'!$U:$U,$H411)&lt;&gt;"Disqualified — Free Game",INDEX('Game Records'!$G:$G,$H411)=""),"Gross Pot; ","")&amp;IF(AND(INDEX('Game Records'!$U:$U,$H411)&lt;&gt;"Free Game",INDEX('Game Records'!$U:$U,$H411)&lt;&gt;"Disqualified — Free Game",INDEX('Game Records'!$H:$H,$H411)=""),"Entry Fee; ","")&amp;IF(AND(INDEX('Game Records'!$U:$U,$H411)&lt;&gt;"Subscription",INDEX('Game Records'!$U:$U,$H411)&lt;&gt;"Free Game",INDEX('Game Records'!$U:$U,$H411)&lt;&gt;"Disqualified — Free Game",INDEX('Game Records'!$I:$I,$H411)=""),"Eligible Players; ","")&amp;IF(AND(INDEX('Game Records'!$U:$U,$H411)&lt;&gt;"Subscription",INDEX('Game Records'!$U:$U,$H411)&lt;&gt;"Free Game",INDEX('Game Records'!$U:$U,$H411)&lt;&gt;"Disqualified — Free Game",INDEX('Game Records'!$J:$J,$H411)=""),"Total Players; ","")&amp;IF(AND(LOWER(INDEX('Game Records'!$D:$D,$H411)&amp;"")="finalized",LOWER(INDEX('Game Records'!$L:$L,$H411)&amp;"")&lt;&gt;"yes",INDEX('Game Records'!$U:$U,$H411)&lt;&gt;"Subscription",INDEX('Game Records'!$U:$U,$H411)&lt;&gt;"Free Game",INDEX('Game Records'!$U:$U,$H411)&lt;&gt;"Disqualified — Free Game",INDEX('Game Records'!$K:$K,$H411)=""),"Final Payout; ","")&amp;IF(AND(LOWER(INDEX('Game Records'!$D:$D,$H411)&amp;"")="finalized",INDEX('Game Records'!$U:$U,$H411)&lt;&gt;"Subscription",INDEX('Game Records'!$U:$U,$H411)&lt;&gt;"Free Game",INDEX('Game Records'!$U:$U,$H411)&lt;&gt;"Disqualified — Free Game",OR(INDEX('Game Records'!$L:$L,$H411)="",LOWER(INDEX('Game Records'!$L:$L,$H411)&amp;"")="n/a")),"Disqualified Status; ",""))</f>
        <v/>
      </c>
      <c r="G411" s="23" t="str">
        <f t="array" ref="G411">IF($H411="","",IFERROR(INDEX('Game Records'!$M:$M,$H411),""))</f>
        <v/>
      </c>
      <c r="H411" s="3"/>
    </row>
    <row r="412" ht="24.0" customHeight="1">
      <c r="A412" s="18" t="str">
        <f t="shared" si="1"/>
        <v/>
      </c>
      <c r="B412" s="18" t="str">
        <f t="shared" si="2"/>
        <v/>
      </c>
      <c r="C412" s="23" t="str">
        <f t="array" ref="C412">IF($H412="","",IFERROR(INDEX('Game Records'!$A:$A,$H412),""))</f>
        <v/>
      </c>
      <c r="D412" s="23" t="str">
        <f t="array" ref="D412">IF($H412="","",IFERROR(INDEX('Game Records'!$U:$U,$H412),""))</f>
        <v/>
      </c>
      <c r="E412" s="23" t="str">
        <f t="array" ref="E412">IF($H412="","",LET(r,$H412,mode,LOWER(INDEX('Game Records'!$D:$D,r)&amp;""),endDate,INDEX('Game Records'!$C:$C,r),IF(mode="estimate",IF(endDate="","Estimate — End Date missing",IF(NOT(ISNUMBER(endDate)),"Estimate — Check End Date",IF(INT(endDate)&gt;=TODAY(),"In Progress — ends "&amp;TEXT(endDate,"mmm d, yyyy"),"Ready to Finalize"))),IF($F412="","No Highlighted Fields","Highlighted Fields Present"))))</f>
        <v/>
      </c>
      <c r="F412" s="23" t="str">
        <f t="array" ref="F412">IF($H412="","",IF(OR(NOT(_xlfn.ISFORMULA(INDEX('Game Records'!$N:$N,$H412))),NOT(_xlfn.ISFORMULA(INDEX('Game Records'!$O:$O,$H412))),NOT(_xlfn.ISFORMULA(INDEX('Game Records'!$P:$P,$H412))),NOT(_xlfn.ISFORMULA(INDEX('Game Records'!$Q:$Q,$H412))),NOT(_xlfn.ISFORMULA(INDEX('Game Records'!$R:$R,$H412))),NOT(_xlfn.ISFORMULA(INDEX('Game Records'!$S:$S,$H412))),NOT(_xlfn.ISFORMULA(INDEX('Game Records'!$T:$T,$H412))),NOT(_xlfn.ISFORMULA(INDEX('Game Records'!$U:$U,$H412))),NOT(_xlfn.ISFORMULA(INDEX('Game Records'!$V:$V,$H412))),NOT(_xlfn.ISFORMULA(INDEX('Game Records'!$W:$W,$H412))),NOT(_xlfn.ISFORMULA(INDEX('Game Records'!$X:$X,$H412))),NOT(_xlfn.ISFORMULA(INDEX('Game Records'!$Y:$Y,$H412))),NOT(_xlfn.ISFORMULA(INDEX('Game Records'!$Z:$Z,$H412)))),"","")&amp;IF(INDEX('Game Records'!$B:$B,$H412)="","Start Date; ","")&amp;IF(INDEX('Game Records'!$C:$C,$H412)="","End Date; ","")&amp;IF(AND(INDEX('Game Records'!$U:$U,$H412)&lt;&gt;"Subscription",INDEX('Game Records'!$U:$U,$H412)&lt;&gt;"Free Game",INDEX('Game Records'!$U:$U,$H412)&lt;&gt;"Disqualified — Free Game",OR(INDEX('Game Records'!$D:$D,$H412)="",LOWER(INDEX('Game Records'!$D:$D,$H412)&amp;"")="n/a")),"Entry Mode; ","")&amp;IF(AND(INDEX('Game Records'!$U:$U,$H412)&lt;&gt;"Subscription",INDEX('Game Records'!$U:$U,$H412)&lt;&gt;"Free Game",INDEX('Game Records'!$U:$U,$H412)&lt;&gt;"Disqualified — Free Game",OR(INDEX('Game Records'!$E:$E,$H412)="",LOWER(INDEX('Game Records'!$E:$E,$H412)&amp;"")="n/a")),"Game Type; ","")&amp;IF(INDEX('Game Records'!$F:$F,$H412)="","Payment Type; ","")&amp;IF(AND(INDEX('Game Records'!$U:$U,$H412)&lt;&gt;"Subscription",INDEX('Game Records'!$U:$U,$H412)&lt;&gt;"Free Game",INDEX('Game Records'!$U:$U,$H412)&lt;&gt;"Disqualified — Free Game",INDEX('Game Records'!$G:$G,$H412)=""),"Gross Pot; ","")&amp;IF(AND(INDEX('Game Records'!$U:$U,$H412)&lt;&gt;"Free Game",INDEX('Game Records'!$U:$U,$H412)&lt;&gt;"Disqualified — Free Game",INDEX('Game Records'!$H:$H,$H412)=""),"Entry Fee; ","")&amp;IF(AND(INDEX('Game Records'!$U:$U,$H412)&lt;&gt;"Subscription",INDEX('Game Records'!$U:$U,$H412)&lt;&gt;"Free Game",INDEX('Game Records'!$U:$U,$H412)&lt;&gt;"Disqualified — Free Game",INDEX('Game Records'!$I:$I,$H412)=""),"Eligible Players; ","")&amp;IF(AND(INDEX('Game Records'!$U:$U,$H412)&lt;&gt;"Subscription",INDEX('Game Records'!$U:$U,$H412)&lt;&gt;"Free Game",INDEX('Game Records'!$U:$U,$H412)&lt;&gt;"Disqualified — Free Game",INDEX('Game Records'!$J:$J,$H412)=""),"Total Players; ","")&amp;IF(AND(LOWER(INDEX('Game Records'!$D:$D,$H412)&amp;"")="finalized",LOWER(INDEX('Game Records'!$L:$L,$H412)&amp;"")&lt;&gt;"yes",INDEX('Game Records'!$U:$U,$H412)&lt;&gt;"Subscription",INDEX('Game Records'!$U:$U,$H412)&lt;&gt;"Free Game",INDEX('Game Records'!$U:$U,$H412)&lt;&gt;"Disqualified — Free Game",INDEX('Game Records'!$K:$K,$H412)=""),"Final Payout; ","")&amp;IF(AND(LOWER(INDEX('Game Records'!$D:$D,$H412)&amp;"")="finalized",INDEX('Game Records'!$U:$U,$H412)&lt;&gt;"Subscription",INDEX('Game Records'!$U:$U,$H412)&lt;&gt;"Free Game",INDEX('Game Records'!$U:$U,$H412)&lt;&gt;"Disqualified — Free Game",OR(INDEX('Game Records'!$L:$L,$H412)="",LOWER(INDEX('Game Records'!$L:$L,$H412)&amp;"")="n/a")),"Disqualified Status; ",""))</f>
        <v/>
      </c>
      <c r="G412" s="23" t="str">
        <f t="array" ref="G412">IF($H412="","",IFERROR(INDEX('Game Records'!$M:$M,$H412),""))</f>
        <v/>
      </c>
      <c r="H412" s="3"/>
    </row>
    <row r="413" ht="24.0" customHeight="1">
      <c r="A413" s="18" t="str">
        <f t="shared" si="1"/>
        <v/>
      </c>
      <c r="B413" s="18" t="str">
        <f t="shared" si="2"/>
        <v/>
      </c>
      <c r="C413" s="23" t="str">
        <f t="array" ref="C413">IF($H413="","",IFERROR(INDEX('Game Records'!$A:$A,$H413),""))</f>
        <v/>
      </c>
      <c r="D413" s="23" t="str">
        <f t="array" ref="D413">IF($H413="","",IFERROR(INDEX('Game Records'!$U:$U,$H413),""))</f>
        <v/>
      </c>
      <c r="E413" s="23" t="str">
        <f t="array" ref="E413">IF($H413="","",LET(r,$H413,mode,LOWER(INDEX('Game Records'!$D:$D,r)&amp;""),endDate,INDEX('Game Records'!$C:$C,r),IF(mode="estimate",IF(endDate="","Estimate — End Date missing",IF(NOT(ISNUMBER(endDate)),"Estimate — Check End Date",IF(INT(endDate)&gt;=TODAY(),"In Progress — ends "&amp;TEXT(endDate,"mmm d, yyyy"),"Ready to Finalize"))),IF($F413="","No Highlighted Fields","Highlighted Fields Present"))))</f>
        <v/>
      </c>
      <c r="F413" s="23" t="str">
        <f t="array" ref="F413">IF($H413="","",IF(OR(NOT(_xlfn.ISFORMULA(INDEX('Game Records'!$N:$N,$H413))),NOT(_xlfn.ISFORMULA(INDEX('Game Records'!$O:$O,$H413))),NOT(_xlfn.ISFORMULA(INDEX('Game Records'!$P:$P,$H413))),NOT(_xlfn.ISFORMULA(INDEX('Game Records'!$Q:$Q,$H413))),NOT(_xlfn.ISFORMULA(INDEX('Game Records'!$R:$R,$H413))),NOT(_xlfn.ISFORMULA(INDEX('Game Records'!$S:$S,$H413))),NOT(_xlfn.ISFORMULA(INDEX('Game Records'!$T:$T,$H413))),NOT(_xlfn.ISFORMULA(INDEX('Game Records'!$U:$U,$H413))),NOT(_xlfn.ISFORMULA(INDEX('Game Records'!$V:$V,$H413))),NOT(_xlfn.ISFORMULA(INDEX('Game Records'!$W:$W,$H413))),NOT(_xlfn.ISFORMULA(INDEX('Game Records'!$X:$X,$H413))),NOT(_xlfn.ISFORMULA(INDEX('Game Records'!$Y:$Y,$H413))),NOT(_xlfn.ISFORMULA(INDEX('Game Records'!$Z:$Z,$H413)))),"","")&amp;IF(INDEX('Game Records'!$B:$B,$H413)="","Start Date; ","")&amp;IF(INDEX('Game Records'!$C:$C,$H413)="","End Date; ","")&amp;IF(AND(INDEX('Game Records'!$U:$U,$H413)&lt;&gt;"Subscription",INDEX('Game Records'!$U:$U,$H413)&lt;&gt;"Free Game",INDEX('Game Records'!$U:$U,$H413)&lt;&gt;"Disqualified — Free Game",OR(INDEX('Game Records'!$D:$D,$H413)="",LOWER(INDEX('Game Records'!$D:$D,$H413)&amp;"")="n/a")),"Entry Mode; ","")&amp;IF(AND(INDEX('Game Records'!$U:$U,$H413)&lt;&gt;"Subscription",INDEX('Game Records'!$U:$U,$H413)&lt;&gt;"Free Game",INDEX('Game Records'!$U:$U,$H413)&lt;&gt;"Disqualified — Free Game",OR(INDEX('Game Records'!$E:$E,$H413)="",LOWER(INDEX('Game Records'!$E:$E,$H413)&amp;"")="n/a")),"Game Type; ","")&amp;IF(INDEX('Game Records'!$F:$F,$H413)="","Payment Type; ","")&amp;IF(AND(INDEX('Game Records'!$U:$U,$H413)&lt;&gt;"Subscription",INDEX('Game Records'!$U:$U,$H413)&lt;&gt;"Free Game",INDEX('Game Records'!$U:$U,$H413)&lt;&gt;"Disqualified — Free Game",INDEX('Game Records'!$G:$G,$H413)=""),"Gross Pot; ","")&amp;IF(AND(INDEX('Game Records'!$U:$U,$H413)&lt;&gt;"Free Game",INDEX('Game Records'!$U:$U,$H413)&lt;&gt;"Disqualified — Free Game",INDEX('Game Records'!$H:$H,$H413)=""),"Entry Fee; ","")&amp;IF(AND(INDEX('Game Records'!$U:$U,$H413)&lt;&gt;"Subscription",INDEX('Game Records'!$U:$U,$H413)&lt;&gt;"Free Game",INDEX('Game Records'!$U:$U,$H413)&lt;&gt;"Disqualified — Free Game",INDEX('Game Records'!$I:$I,$H413)=""),"Eligible Players; ","")&amp;IF(AND(INDEX('Game Records'!$U:$U,$H413)&lt;&gt;"Subscription",INDEX('Game Records'!$U:$U,$H413)&lt;&gt;"Free Game",INDEX('Game Records'!$U:$U,$H413)&lt;&gt;"Disqualified — Free Game",INDEX('Game Records'!$J:$J,$H413)=""),"Total Players; ","")&amp;IF(AND(LOWER(INDEX('Game Records'!$D:$D,$H413)&amp;"")="finalized",LOWER(INDEX('Game Records'!$L:$L,$H413)&amp;"")&lt;&gt;"yes",INDEX('Game Records'!$U:$U,$H413)&lt;&gt;"Subscription",INDEX('Game Records'!$U:$U,$H413)&lt;&gt;"Free Game",INDEX('Game Records'!$U:$U,$H413)&lt;&gt;"Disqualified — Free Game",INDEX('Game Records'!$K:$K,$H413)=""),"Final Payout; ","")&amp;IF(AND(LOWER(INDEX('Game Records'!$D:$D,$H413)&amp;"")="finalized",INDEX('Game Records'!$U:$U,$H413)&lt;&gt;"Subscription",INDEX('Game Records'!$U:$U,$H413)&lt;&gt;"Free Game",INDEX('Game Records'!$U:$U,$H413)&lt;&gt;"Disqualified — Free Game",OR(INDEX('Game Records'!$L:$L,$H413)="",LOWER(INDEX('Game Records'!$L:$L,$H413)&amp;"")="n/a")),"Disqualified Status; ",""))</f>
        <v/>
      </c>
      <c r="G413" s="23" t="str">
        <f t="array" ref="G413">IF($H413="","",IFERROR(INDEX('Game Records'!$M:$M,$H413),""))</f>
        <v/>
      </c>
      <c r="H413" s="3"/>
    </row>
    <row r="414" ht="24.0" customHeight="1">
      <c r="A414" s="18" t="str">
        <f t="shared" si="1"/>
        <v/>
      </c>
      <c r="B414" s="18" t="str">
        <f t="shared" si="2"/>
        <v/>
      </c>
      <c r="C414" s="23" t="str">
        <f t="array" ref="C414">IF($H414="","",IFERROR(INDEX('Game Records'!$A:$A,$H414),""))</f>
        <v/>
      </c>
      <c r="D414" s="23" t="str">
        <f t="array" ref="D414">IF($H414="","",IFERROR(INDEX('Game Records'!$U:$U,$H414),""))</f>
        <v/>
      </c>
      <c r="E414" s="23" t="str">
        <f t="array" ref="E414">IF($H414="","",LET(r,$H414,mode,LOWER(INDEX('Game Records'!$D:$D,r)&amp;""),endDate,INDEX('Game Records'!$C:$C,r),IF(mode="estimate",IF(endDate="","Estimate — End Date missing",IF(NOT(ISNUMBER(endDate)),"Estimate — Check End Date",IF(INT(endDate)&gt;=TODAY(),"In Progress — ends "&amp;TEXT(endDate,"mmm d, yyyy"),"Ready to Finalize"))),IF($F414="","No Highlighted Fields","Highlighted Fields Present"))))</f>
        <v/>
      </c>
      <c r="F414" s="23" t="str">
        <f t="array" ref="F414">IF($H414="","",IF(OR(NOT(_xlfn.ISFORMULA(INDEX('Game Records'!$N:$N,$H414))),NOT(_xlfn.ISFORMULA(INDEX('Game Records'!$O:$O,$H414))),NOT(_xlfn.ISFORMULA(INDEX('Game Records'!$P:$P,$H414))),NOT(_xlfn.ISFORMULA(INDEX('Game Records'!$Q:$Q,$H414))),NOT(_xlfn.ISFORMULA(INDEX('Game Records'!$R:$R,$H414))),NOT(_xlfn.ISFORMULA(INDEX('Game Records'!$S:$S,$H414))),NOT(_xlfn.ISFORMULA(INDEX('Game Records'!$T:$T,$H414))),NOT(_xlfn.ISFORMULA(INDEX('Game Records'!$U:$U,$H414))),NOT(_xlfn.ISFORMULA(INDEX('Game Records'!$V:$V,$H414))),NOT(_xlfn.ISFORMULA(INDEX('Game Records'!$W:$W,$H414))),NOT(_xlfn.ISFORMULA(INDEX('Game Records'!$X:$X,$H414))),NOT(_xlfn.ISFORMULA(INDEX('Game Records'!$Y:$Y,$H414))),NOT(_xlfn.ISFORMULA(INDEX('Game Records'!$Z:$Z,$H414)))),"","")&amp;IF(INDEX('Game Records'!$B:$B,$H414)="","Start Date; ","")&amp;IF(INDEX('Game Records'!$C:$C,$H414)="","End Date; ","")&amp;IF(AND(INDEX('Game Records'!$U:$U,$H414)&lt;&gt;"Subscription",INDEX('Game Records'!$U:$U,$H414)&lt;&gt;"Free Game",INDEX('Game Records'!$U:$U,$H414)&lt;&gt;"Disqualified — Free Game",OR(INDEX('Game Records'!$D:$D,$H414)="",LOWER(INDEX('Game Records'!$D:$D,$H414)&amp;"")="n/a")),"Entry Mode; ","")&amp;IF(AND(INDEX('Game Records'!$U:$U,$H414)&lt;&gt;"Subscription",INDEX('Game Records'!$U:$U,$H414)&lt;&gt;"Free Game",INDEX('Game Records'!$U:$U,$H414)&lt;&gt;"Disqualified — Free Game",OR(INDEX('Game Records'!$E:$E,$H414)="",LOWER(INDEX('Game Records'!$E:$E,$H414)&amp;"")="n/a")),"Game Type; ","")&amp;IF(INDEX('Game Records'!$F:$F,$H414)="","Payment Type; ","")&amp;IF(AND(INDEX('Game Records'!$U:$U,$H414)&lt;&gt;"Subscription",INDEX('Game Records'!$U:$U,$H414)&lt;&gt;"Free Game",INDEX('Game Records'!$U:$U,$H414)&lt;&gt;"Disqualified — Free Game",INDEX('Game Records'!$G:$G,$H414)=""),"Gross Pot; ","")&amp;IF(AND(INDEX('Game Records'!$U:$U,$H414)&lt;&gt;"Free Game",INDEX('Game Records'!$U:$U,$H414)&lt;&gt;"Disqualified — Free Game",INDEX('Game Records'!$H:$H,$H414)=""),"Entry Fee; ","")&amp;IF(AND(INDEX('Game Records'!$U:$U,$H414)&lt;&gt;"Subscription",INDEX('Game Records'!$U:$U,$H414)&lt;&gt;"Free Game",INDEX('Game Records'!$U:$U,$H414)&lt;&gt;"Disqualified — Free Game",INDEX('Game Records'!$I:$I,$H414)=""),"Eligible Players; ","")&amp;IF(AND(INDEX('Game Records'!$U:$U,$H414)&lt;&gt;"Subscription",INDEX('Game Records'!$U:$U,$H414)&lt;&gt;"Free Game",INDEX('Game Records'!$U:$U,$H414)&lt;&gt;"Disqualified — Free Game",INDEX('Game Records'!$J:$J,$H414)=""),"Total Players; ","")&amp;IF(AND(LOWER(INDEX('Game Records'!$D:$D,$H414)&amp;"")="finalized",LOWER(INDEX('Game Records'!$L:$L,$H414)&amp;"")&lt;&gt;"yes",INDEX('Game Records'!$U:$U,$H414)&lt;&gt;"Subscription",INDEX('Game Records'!$U:$U,$H414)&lt;&gt;"Free Game",INDEX('Game Records'!$U:$U,$H414)&lt;&gt;"Disqualified — Free Game",INDEX('Game Records'!$K:$K,$H414)=""),"Final Payout; ","")&amp;IF(AND(LOWER(INDEX('Game Records'!$D:$D,$H414)&amp;"")="finalized",INDEX('Game Records'!$U:$U,$H414)&lt;&gt;"Subscription",INDEX('Game Records'!$U:$U,$H414)&lt;&gt;"Free Game",INDEX('Game Records'!$U:$U,$H414)&lt;&gt;"Disqualified — Free Game",OR(INDEX('Game Records'!$L:$L,$H414)="",LOWER(INDEX('Game Records'!$L:$L,$H414)&amp;"")="n/a")),"Disqualified Status; ",""))</f>
        <v/>
      </c>
      <c r="G414" s="23" t="str">
        <f t="array" ref="G414">IF($H414="","",IFERROR(INDEX('Game Records'!$M:$M,$H414),""))</f>
        <v/>
      </c>
      <c r="H414" s="3"/>
    </row>
    <row r="415" ht="24.0" customHeight="1">
      <c r="A415" s="18" t="str">
        <f t="shared" si="1"/>
        <v/>
      </c>
      <c r="B415" s="18" t="str">
        <f t="shared" si="2"/>
        <v/>
      </c>
      <c r="C415" s="23" t="str">
        <f t="array" ref="C415">IF($H415="","",IFERROR(INDEX('Game Records'!$A:$A,$H415),""))</f>
        <v/>
      </c>
      <c r="D415" s="23" t="str">
        <f t="array" ref="D415">IF($H415="","",IFERROR(INDEX('Game Records'!$U:$U,$H415),""))</f>
        <v/>
      </c>
      <c r="E415" s="23" t="str">
        <f t="array" ref="E415">IF($H415="","",LET(r,$H415,mode,LOWER(INDEX('Game Records'!$D:$D,r)&amp;""),endDate,INDEX('Game Records'!$C:$C,r),IF(mode="estimate",IF(endDate="","Estimate — End Date missing",IF(NOT(ISNUMBER(endDate)),"Estimate — Check End Date",IF(INT(endDate)&gt;=TODAY(),"In Progress — ends "&amp;TEXT(endDate,"mmm d, yyyy"),"Ready to Finalize"))),IF($F415="","No Highlighted Fields","Highlighted Fields Present"))))</f>
        <v/>
      </c>
      <c r="F415" s="23" t="str">
        <f t="array" ref="F415">IF($H415="","",IF(OR(NOT(_xlfn.ISFORMULA(INDEX('Game Records'!$N:$N,$H415))),NOT(_xlfn.ISFORMULA(INDEX('Game Records'!$O:$O,$H415))),NOT(_xlfn.ISFORMULA(INDEX('Game Records'!$P:$P,$H415))),NOT(_xlfn.ISFORMULA(INDEX('Game Records'!$Q:$Q,$H415))),NOT(_xlfn.ISFORMULA(INDEX('Game Records'!$R:$R,$H415))),NOT(_xlfn.ISFORMULA(INDEX('Game Records'!$S:$S,$H415))),NOT(_xlfn.ISFORMULA(INDEX('Game Records'!$T:$T,$H415))),NOT(_xlfn.ISFORMULA(INDEX('Game Records'!$U:$U,$H415))),NOT(_xlfn.ISFORMULA(INDEX('Game Records'!$V:$V,$H415))),NOT(_xlfn.ISFORMULA(INDEX('Game Records'!$W:$W,$H415))),NOT(_xlfn.ISFORMULA(INDEX('Game Records'!$X:$X,$H415))),NOT(_xlfn.ISFORMULA(INDEX('Game Records'!$Y:$Y,$H415))),NOT(_xlfn.ISFORMULA(INDEX('Game Records'!$Z:$Z,$H415)))),"","")&amp;IF(INDEX('Game Records'!$B:$B,$H415)="","Start Date; ","")&amp;IF(INDEX('Game Records'!$C:$C,$H415)="","End Date; ","")&amp;IF(AND(INDEX('Game Records'!$U:$U,$H415)&lt;&gt;"Subscription",INDEX('Game Records'!$U:$U,$H415)&lt;&gt;"Free Game",INDEX('Game Records'!$U:$U,$H415)&lt;&gt;"Disqualified — Free Game",OR(INDEX('Game Records'!$D:$D,$H415)="",LOWER(INDEX('Game Records'!$D:$D,$H415)&amp;"")="n/a")),"Entry Mode; ","")&amp;IF(AND(INDEX('Game Records'!$U:$U,$H415)&lt;&gt;"Subscription",INDEX('Game Records'!$U:$U,$H415)&lt;&gt;"Free Game",INDEX('Game Records'!$U:$U,$H415)&lt;&gt;"Disqualified — Free Game",OR(INDEX('Game Records'!$E:$E,$H415)="",LOWER(INDEX('Game Records'!$E:$E,$H415)&amp;"")="n/a")),"Game Type; ","")&amp;IF(INDEX('Game Records'!$F:$F,$H415)="","Payment Type; ","")&amp;IF(AND(INDEX('Game Records'!$U:$U,$H415)&lt;&gt;"Subscription",INDEX('Game Records'!$U:$U,$H415)&lt;&gt;"Free Game",INDEX('Game Records'!$U:$U,$H415)&lt;&gt;"Disqualified — Free Game",INDEX('Game Records'!$G:$G,$H415)=""),"Gross Pot; ","")&amp;IF(AND(INDEX('Game Records'!$U:$U,$H415)&lt;&gt;"Free Game",INDEX('Game Records'!$U:$U,$H415)&lt;&gt;"Disqualified — Free Game",INDEX('Game Records'!$H:$H,$H415)=""),"Entry Fee; ","")&amp;IF(AND(INDEX('Game Records'!$U:$U,$H415)&lt;&gt;"Subscription",INDEX('Game Records'!$U:$U,$H415)&lt;&gt;"Free Game",INDEX('Game Records'!$U:$U,$H415)&lt;&gt;"Disqualified — Free Game",INDEX('Game Records'!$I:$I,$H415)=""),"Eligible Players; ","")&amp;IF(AND(INDEX('Game Records'!$U:$U,$H415)&lt;&gt;"Subscription",INDEX('Game Records'!$U:$U,$H415)&lt;&gt;"Free Game",INDEX('Game Records'!$U:$U,$H415)&lt;&gt;"Disqualified — Free Game",INDEX('Game Records'!$J:$J,$H415)=""),"Total Players; ","")&amp;IF(AND(LOWER(INDEX('Game Records'!$D:$D,$H415)&amp;"")="finalized",LOWER(INDEX('Game Records'!$L:$L,$H415)&amp;"")&lt;&gt;"yes",INDEX('Game Records'!$U:$U,$H415)&lt;&gt;"Subscription",INDEX('Game Records'!$U:$U,$H415)&lt;&gt;"Free Game",INDEX('Game Records'!$U:$U,$H415)&lt;&gt;"Disqualified — Free Game",INDEX('Game Records'!$K:$K,$H415)=""),"Final Payout; ","")&amp;IF(AND(LOWER(INDEX('Game Records'!$D:$D,$H415)&amp;"")="finalized",INDEX('Game Records'!$U:$U,$H415)&lt;&gt;"Subscription",INDEX('Game Records'!$U:$U,$H415)&lt;&gt;"Free Game",INDEX('Game Records'!$U:$U,$H415)&lt;&gt;"Disqualified — Free Game",OR(INDEX('Game Records'!$L:$L,$H415)="",LOWER(INDEX('Game Records'!$L:$L,$H415)&amp;"")="n/a")),"Disqualified Status; ",""))</f>
        <v/>
      </c>
      <c r="G415" s="23" t="str">
        <f t="array" ref="G415">IF($H415="","",IFERROR(INDEX('Game Records'!$M:$M,$H415),""))</f>
        <v/>
      </c>
      <c r="H415" s="3"/>
    </row>
    <row r="416" ht="24.0" customHeight="1">
      <c r="A416" s="18" t="str">
        <f t="shared" si="1"/>
        <v/>
      </c>
      <c r="B416" s="18" t="str">
        <f t="shared" si="2"/>
        <v/>
      </c>
      <c r="C416" s="23" t="str">
        <f t="array" ref="C416">IF($H416="","",IFERROR(INDEX('Game Records'!$A:$A,$H416),""))</f>
        <v/>
      </c>
      <c r="D416" s="23" t="str">
        <f t="array" ref="D416">IF($H416="","",IFERROR(INDEX('Game Records'!$U:$U,$H416),""))</f>
        <v/>
      </c>
      <c r="E416" s="23" t="str">
        <f t="array" ref="E416">IF($H416="","",LET(r,$H416,mode,LOWER(INDEX('Game Records'!$D:$D,r)&amp;""),endDate,INDEX('Game Records'!$C:$C,r),IF(mode="estimate",IF(endDate="","Estimate — End Date missing",IF(NOT(ISNUMBER(endDate)),"Estimate — Check End Date",IF(INT(endDate)&gt;=TODAY(),"In Progress — ends "&amp;TEXT(endDate,"mmm d, yyyy"),"Ready to Finalize"))),IF($F416="","No Highlighted Fields","Highlighted Fields Present"))))</f>
        <v/>
      </c>
      <c r="F416" s="23" t="str">
        <f t="array" ref="F416">IF($H416="","",IF(OR(NOT(_xlfn.ISFORMULA(INDEX('Game Records'!$N:$N,$H416))),NOT(_xlfn.ISFORMULA(INDEX('Game Records'!$O:$O,$H416))),NOT(_xlfn.ISFORMULA(INDEX('Game Records'!$P:$P,$H416))),NOT(_xlfn.ISFORMULA(INDEX('Game Records'!$Q:$Q,$H416))),NOT(_xlfn.ISFORMULA(INDEX('Game Records'!$R:$R,$H416))),NOT(_xlfn.ISFORMULA(INDEX('Game Records'!$S:$S,$H416))),NOT(_xlfn.ISFORMULA(INDEX('Game Records'!$T:$T,$H416))),NOT(_xlfn.ISFORMULA(INDEX('Game Records'!$U:$U,$H416))),NOT(_xlfn.ISFORMULA(INDEX('Game Records'!$V:$V,$H416))),NOT(_xlfn.ISFORMULA(INDEX('Game Records'!$W:$W,$H416))),NOT(_xlfn.ISFORMULA(INDEX('Game Records'!$X:$X,$H416))),NOT(_xlfn.ISFORMULA(INDEX('Game Records'!$Y:$Y,$H416))),NOT(_xlfn.ISFORMULA(INDEX('Game Records'!$Z:$Z,$H416)))),"","")&amp;IF(INDEX('Game Records'!$B:$B,$H416)="","Start Date; ","")&amp;IF(INDEX('Game Records'!$C:$C,$H416)="","End Date; ","")&amp;IF(AND(INDEX('Game Records'!$U:$U,$H416)&lt;&gt;"Subscription",INDEX('Game Records'!$U:$U,$H416)&lt;&gt;"Free Game",INDEX('Game Records'!$U:$U,$H416)&lt;&gt;"Disqualified — Free Game",OR(INDEX('Game Records'!$D:$D,$H416)="",LOWER(INDEX('Game Records'!$D:$D,$H416)&amp;"")="n/a")),"Entry Mode; ","")&amp;IF(AND(INDEX('Game Records'!$U:$U,$H416)&lt;&gt;"Subscription",INDEX('Game Records'!$U:$U,$H416)&lt;&gt;"Free Game",INDEX('Game Records'!$U:$U,$H416)&lt;&gt;"Disqualified — Free Game",OR(INDEX('Game Records'!$E:$E,$H416)="",LOWER(INDEX('Game Records'!$E:$E,$H416)&amp;"")="n/a")),"Game Type; ","")&amp;IF(INDEX('Game Records'!$F:$F,$H416)="","Payment Type; ","")&amp;IF(AND(INDEX('Game Records'!$U:$U,$H416)&lt;&gt;"Subscription",INDEX('Game Records'!$U:$U,$H416)&lt;&gt;"Free Game",INDEX('Game Records'!$U:$U,$H416)&lt;&gt;"Disqualified — Free Game",INDEX('Game Records'!$G:$G,$H416)=""),"Gross Pot; ","")&amp;IF(AND(INDEX('Game Records'!$U:$U,$H416)&lt;&gt;"Free Game",INDEX('Game Records'!$U:$U,$H416)&lt;&gt;"Disqualified — Free Game",INDEX('Game Records'!$H:$H,$H416)=""),"Entry Fee; ","")&amp;IF(AND(INDEX('Game Records'!$U:$U,$H416)&lt;&gt;"Subscription",INDEX('Game Records'!$U:$U,$H416)&lt;&gt;"Free Game",INDEX('Game Records'!$U:$U,$H416)&lt;&gt;"Disqualified — Free Game",INDEX('Game Records'!$I:$I,$H416)=""),"Eligible Players; ","")&amp;IF(AND(INDEX('Game Records'!$U:$U,$H416)&lt;&gt;"Subscription",INDEX('Game Records'!$U:$U,$H416)&lt;&gt;"Free Game",INDEX('Game Records'!$U:$U,$H416)&lt;&gt;"Disqualified — Free Game",INDEX('Game Records'!$J:$J,$H416)=""),"Total Players; ","")&amp;IF(AND(LOWER(INDEX('Game Records'!$D:$D,$H416)&amp;"")="finalized",LOWER(INDEX('Game Records'!$L:$L,$H416)&amp;"")&lt;&gt;"yes",INDEX('Game Records'!$U:$U,$H416)&lt;&gt;"Subscription",INDEX('Game Records'!$U:$U,$H416)&lt;&gt;"Free Game",INDEX('Game Records'!$U:$U,$H416)&lt;&gt;"Disqualified — Free Game",INDEX('Game Records'!$K:$K,$H416)=""),"Final Payout; ","")&amp;IF(AND(LOWER(INDEX('Game Records'!$D:$D,$H416)&amp;"")="finalized",INDEX('Game Records'!$U:$U,$H416)&lt;&gt;"Subscription",INDEX('Game Records'!$U:$U,$H416)&lt;&gt;"Free Game",INDEX('Game Records'!$U:$U,$H416)&lt;&gt;"Disqualified — Free Game",OR(INDEX('Game Records'!$L:$L,$H416)="",LOWER(INDEX('Game Records'!$L:$L,$H416)&amp;"")="n/a")),"Disqualified Status; ",""))</f>
        <v/>
      </c>
      <c r="G416" s="23" t="str">
        <f t="array" ref="G416">IF($H416="","",IFERROR(INDEX('Game Records'!$M:$M,$H416),""))</f>
        <v/>
      </c>
      <c r="H416" s="3"/>
    </row>
    <row r="417" ht="24.0" customHeight="1">
      <c r="A417" s="18" t="str">
        <f t="shared" si="1"/>
        <v/>
      </c>
      <c r="B417" s="18" t="str">
        <f t="shared" si="2"/>
        <v/>
      </c>
      <c r="C417" s="23" t="str">
        <f t="array" ref="C417">IF($H417="","",IFERROR(INDEX('Game Records'!$A:$A,$H417),""))</f>
        <v/>
      </c>
      <c r="D417" s="23" t="str">
        <f t="array" ref="D417">IF($H417="","",IFERROR(INDEX('Game Records'!$U:$U,$H417),""))</f>
        <v/>
      </c>
      <c r="E417" s="23" t="str">
        <f t="array" ref="E417">IF($H417="","",LET(r,$H417,mode,LOWER(INDEX('Game Records'!$D:$D,r)&amp;""),endDate,INDEX('Game Records'!$C:$C,r),IF(mode="estimate",IF(endDate="","Estimate — End Date missing",IF(NOT(ISNUMBER(endDate)),"Estimate — Check End Date",IF(INT(endDate)&gt;=TODAY(),"In Progress — ends "&amp;TEXT(endDate,"mmm d, yyyy"),"Ready to Finalize"))),IF($F417="","No Highlighted Fields","Highlighted Fields Present"))))</f>
        <v/>
      </c>
      <c r="F417" s="23" t="str">
        <f t="array" ref="F417">IF($H417="","",IF(OR(NOT(_xlfn.ISFORMULA(INDEX('Game Records'!$N:$N,$H417))),NOT(_xlfn.ISFORMULA(INDEX('Game Records'!$O:$O,$H417))),NOT(_xlfn.ISFORMULA(INDEX('Game Records'!$P:$P,$H417))),NOT(_xlfn.ISFORMULA(INDEX('Game Records'!$Q:$Q,$H417))),NOT(_xlfn.ISFORMULA(INDEX('Game Records'!$R:$R,$H417))),NOT(_xlfn.ISFORMULA(INDEX('Game Records'!$S:$S,$H417))),NOT(_xlfn.ISFORMULA(INDEX('Game Records'!$T:$T,$H417))),NOT(_xlfn.ISFORMULA(INDEX('Game Records'!$U:$U,$H417))),NOT(_xlfn.ISFORMULA(INDEX('Game Records'!$V:$V,$H417))),NOT(_xlfn.ISFORMULA(INDEX('Game Records'!$W:$W,$H417))),NOT(_xlfn.ISFORMULA(INDEX('Game Records'!$X:$X,$H417))),NOT(_xlfn.ISFORMULA(INDEX('Game Records'!$Y:$Y,$H417))),NOT(_xlfn.ISFORMULA(INDEX('Game Records'!$Z:$Z,$H417)))),"","")&amp;IF(INDEX('Game Records'!$B:$B,$H417)="","Start Date; ","")&amp;IF(INDEX('Game Records'!$C:$C,$H417)="","End Date; ","")&amp;IF(AND(INDEX('Game Records'!$U:$U,$H417)&lt;&gt;"Subscription",INDEX('Game Records'!$U:$U,$H417)&lt;&gt;"Free Game",INDEX('Game Records'!$U:$U,$H417)&lt;&gt;"Disqualified — Free Game",OR(INDEX('Game Records'!$D:$D,$H417)="",LOWER(INDEX('Game Records'!$D:$D,$H417)&amp;"")="n/a")),"Entry Mode; ","")&amp;IF(AND(INDEX('Game Records'!$U:$U,$H417)&lt;&gt;"Subscription",INDEX('Game Records'!$U:$U,$H417)&lt;&gt;"Free Game",INDEX('Game Records'!$U:$U,$H417)&lt;&gt;"Disqualified — Free Game",OR(INDEX('Game Records'!$E:$E,$H417)="",LOWER(INDEX('Game Records'!$E:$E,$H417)&amp;"")="n/a")),"Game Type; ","")&amp;IF(INDEX('Game Records'!$F:$F,$H417)="","Payment Type; ","")&amp;IF(AND(INDEX('Game Records'!$U:$U,$H417)&lt;&gt;"Subscription",INDEX('Game Records'!$U:$U,$H417)&lt;&gt;"Free Game",INDEX('Game Records'!$U:$U,$H417)&lt;&gt;"Disqualified — Free Game",INDEX('Game Records'!$G:$G,$H417)=""),"Gross Pot; ","")&amp;IF(AND(INDEX('Game Records'!$U:$U,$H417)&lt;&gt;"Free Game",INDEX('Game Records'!$U:$U,$H417)&lt;&gt;"Disqualified — Free Game",INDEX('Game Records'!$H:$H,$H417)=""),"Entry Fee; ","")&amp;IF(AND(INDEX('Game Records'!$U:$U,$H417)&lt;&gt;"Subscription",INDEX('Game Records'!$U:$U,$H417)&lt;&gt;"Free Game",INDEX('Game Records'!$U:$U,$H417)&lt;&gt;"Disqualified — Free Game",INDEX('Game Records'!$I:$I,$H417)=""),"Eligible Players; ","")&amp;IF(AND(INDEX('Game Records'!$U:$U,$H417)&lt;&gt;"Subscription",INDEX('Game Records'!$U:$U,$H417)&lt;&gt;"Free Game",INDEX('Game Records'!$U:$U,$H417)&lt;&gt;"Disqualified — Free Game",INDEX('Game Records'!$J:$J,$H417)=""),"Total Players; ","")&amp;IF(AND(LOWER(INDEX('Game Records'!$D:$D,$H417)&amp;"")="finalized",LOWER(INDEX('Game Records'!$L:$L,$H417)&amp;"")&lt;&gt;"yes",INDEX('Game Records'!$U:$U,$H417)&lt;&gt;"Subscription",INDEX('Game Records'!$U:$U,$H417)&lt;&gt;"Free Game",INDEX('Game Records'!$U:$U,$H417)&lt;&gt;"Disqualified — Free Game",INDEX('Game Records'!$K:$K,$H417)=""),"Final Payout; ","")&amp;IF(AND(LOWER(INDEX('Game Records'!$D:$D,$H417)&amp;"")="finalized",INDEX('Game Records'!$U:$U,$H417)&lt;&gt;"Subscription",INDEX('Game Records'!$U:$U,$H417)&lt;&gt;"Free Game",INDEX('Game Records'!$U:$U,$H417)&lt;&gt;"Disqualified — Free Game",OR(INDEX('Game Records'!$L:$L,$H417)="",LOWER(INDEX('Game Records'!$L:$L,$H417)&amp;"")="n/a")),"Disqualified Status; ",""))</f>
        <v/>
      </c>
      <c r="G417" s="23" t="str">
        <f t="array" ref="G417">IF($H417="","",IFERROR(INDEX('Game Records'!$M:$M,$H417),""))</f>
        <v/>
      </c>
      <c r="H417" s="3"/>
    </row>
    <row r="418" ht="24.0" customHeight="1">
      <c r="A418" s="18" t="str">
        <f t="shared" si="1"/>
        <v/>
      </c>
      <c r="B418" s="18" t="str">
        <f t="shared" si="2"/>
        <v/>
      </c>
      <c r="C418" s="23" t="str">
        <f t="array" ref="C418">IF($H418="","",IFERROR(INDEX('Game Records'!$A:$A,$H418),""))</f>
        <v/>
      </c>
      <c r="D418" s="23" t="str">
        <f t="array" ref="D418">IF($H418="","",IFERROR(INDEX('Game Records'!$U:$U,$H418),""))</f>
        <v/>
      </c>
      <c r="E418" s="23" t="str">
        <f t="array" ref="E418">IF($H418="","",LET(r,$H418,mode,LOWER(INDEX('Game Records'!$D:$D,r)&amp;""),endDate,INDEX('Game Records'!$C:$C,r),IF(mode="estimate",IF(endDate="","Estimate — End Date missing",IF(NOT(ISNUMBER(endDate)),"Estimate — Check End Date",IF(INT(endDate)&gt;=TODAY(),"In Progress — ends "&amp;TEXT(endDate,"mmm d, yyyy"),"Ready to Finalize"))),IF($F418="","No Highlighted Fields","Highlighted Fields Present"))))</f>
        <v/>
      </c>
      <c r="F418" s="23" t="str">
        <f t="array" ref="F418">IF($H418="","",IF(OR(NOT(_xlfn.ISFORMULA(INDEX('Game Records'!$N:$N,$H418))),NOT(_xlfn.ISFORMULA(INDEX('Game Records'!$O:$O,$H418))),NOT(_xlfn.ISFORMULA(INDEX('Game Records'!$P:$P,$H418))),NOT(_xlfn.ISFORMULA(INDEX('Game Records'!$Q:$Q,$H418))),NOT(_xlfn.ISFORMULA(INDEX('Game Records'!$R:$R,$H418))),NOT(_xlfn.ISFORMULA(INDEX('Game Records'!$S:$S,$H418))),NOT(_xlfn.ISFORMULA(INDEX('Game Records'!$T:$T,$H418))),NOT(_xlfn.ISFORMULA(INDEX('Game Records'!$U:$U,$H418))),NOT(_xlfn.ISFORMULA(INDEX('Game Records'!$V:$V,$H418))),NOT(_xlfn.ISFORMULA(INDEX('Game Records'!$W:$W,$H418))),NOT(_xlfn.ISFORMULA(INDEX('Game Records'!$X:$X,$H418))),NOT(_xlfn.ISFORMULA(INDEX('Game Records'!$Y:$Y,$H418))),NOT(_xlfn.ISFORMULA(INDEX('Game Records'!$Z:$Z,$H418)))),"","")&amp;IF(INDEX('Game Records'!$B:$B,$H418)="","Start Date; ","")&amp;IF(INDEX('Game Records'!$C:$C,$H418)="","End Date; ","")&amp;IF(AND(INDEX('Game Records'!$U:$U,$H418)&lt;&gt;"Subscription",INDEX('Game Records'!$U:$U,$H418)&lt;&gt;"Free Game",INDEX('Game Records'!$U:$U,$H418)&lt;&gt;"Disqualified — Free Game",OR(INDEX('Game Records'!$D:$D,$H418)="",LOWER(INDEX('Game Records'!$D:$D,$H418)&amp;"")="n/a")),"Entry Mode; ","")&amp;IF(AND(INDEX('Game Records'!$U:$U,$H418)&lt;&gt;"Subscription",INDEX('Game Records'!$U:$U,$H418)&lt;&gt;"Free Game",INDEX('Game Records'!$U:$U,$H418)&lt;&gt;"Disqualified — Free Game",OR(INDEX('Game Records'!$E:$E,$H418)="",LOWER(INDEX('Game Records'!$E:$E,$H418)&amp;"")="n/a")),"Game Type; ","")&amp;IF(INDEX('Game Records'!$F:$F,$H418)="","Payment Type; ","")&amp;IF(AND(INDEX('Game Records'!$U:$U,$H418)&lt;&gt;"Subscription",INDEX('Game Records'!$U:$U,$H418)&lt;&gt;"Free Game",INDEX('Game Records'!$U:$U,$H418)&lt;&gt;"Disqualified — Free Game",INDEX('Game Records'!$G:$G,$H418)=""),"Gross Pot; ","")&amp;IF(AND(INDEX('Game Records'!$U:$U,$H418)&lt;&gt;"Free Game",INDEX('Game Records'!$U:$U,$H418)&lt;&gt;"Disqualified — Free Game",INDEX('Game Records'!$H:$H,$H418)=""),"Entry Fee; ","")&amp;IF(AND(INDEX('Game Records'!$U:$U,$H418)&lt;&gt;"Subscription",INDEX('Game Records'!$U:$U,$H418)&lt;&gt;"Free Game",INDEX('Game Records'!$U:$U,$H418)&lt;&gt;"Disqualified — Free Game",INDEX('Game Records'!$I:$I,$H418)=""),"Eligible Players; ","")&amp;IF(AND(INDEX('Game Records'!$U:$U,$H418)&lt;&gt;"Subscription",INDEX('Game Records'!$U:$U,$H418)&lt;&gt;"Free Game",INDEX('Game Records'!$U:$U,$H418)&lt;&gt;"Disqualified — Free Game",INDEX('Game Records'!$J:$J,$H418)=""),"Total Players; ","")&amp;IF(AND(LOWER(INDEX('Game Records'!$D:$D,$H418)&amp;"")="finalized",LOWER(INDEX('Game Records'!$L:$L,$H418)&amp;"")&lt;&gt;"yes",INDEX('Game Records'!$U:$U,$H418)&lt;&gt;"Subscription",INDEX('Game Records'!$U:$U,$H418)&lt;&gt;"Free Game",INDEX('Game Records'!$U:$U,$H418)&lt;&gt;"Disqualified — Free Game",INDEX('Game Records'!$K:$K,$H418)=""),"Final Payout; ","")&amp;IF(AND(LOWER(INDEX('Game Records'!$D:$D,$H418)&amp;"")="finalized",INDEX('Game Records'!$U:$U,$H418)&lt;&gt;"Subscription",INDEX('Game Records'!$U:$U,$H418)&lt;&gt;"Free Game",INDEX('Game Records'!$U:$U,$H418)&lt;&gt;"Disqualified — Free Game",OR(INDEX('Game Records'!$L:$L,$H418)="",LOWER(INDEX('Game Records'!$L:$L,$H418)&amp;"")="n/a")),"Disqualified Status; ",""))</f>
        <v/>
      </c>
      <c r="G418" s="23" t="str">
        <f t="array" ref="G418">IF($H418="","",IFERROR(INDEX('Game Records'!$M:$M,$H418),""))</f>
        <v/>
      </c>
      <c r="H418" s="3"/>
    </row>
    <row r="419" ht="24.0" customHeight="1">
      <c r="A419" s="18" t="str">
        <f t="shared" si="1"/>
        <v/>
      </c>
      <c r="B419" s="18" t="str">
        <f t="shared" si="2"/>
        <v/>
      </c>
      <c r="C419" s="23" t="str">
        <f t="array" ref="C419">IF($H419="","",IFERROR(INDEX('Game Records'!$A:$A,$H419),""))</f>
        <v/>
      </c>
      <c r="D419" s="23" t="str">
        <f t="array" ref="D419">IF($H419="","",IFERROR(INDEX('Game Records'!$U:$U,$H419),""))</f>
        <v/>
      </c>
      <c r="E419" s="23" t="str">
        <f t="array" ref="E419">IF($H419="","",LET(r,$H419,mode,LOWER(INDEX('Game Records'!$D:$D,r)&amp;""),endDate,INDEX('Game Records'!$C:$C,r),IF(mode="estimate",IF(endDate="","Estimate — End Date missing",IF(NOT(ISNUMBER(endDate)),"Estimate — Check End Date",IF(INT(endDate)&gt;=TODAY(),"In Progress — ends "&amp;TEXT(endDate,"mmm d, yyyy"),"Ready to Finalize"))),IF($F419="","No Highlighted Fields","Highlighted Fields Present"))))</f>
        <v/>
      </c>
      <c r="F419" s="23" t="str">
        <f t="array" ref="F419">IF($H419="","",IF(OR(NOT(_xlfn.ISFORMULA(INDEX('Game Records'!$N:$N,$H419))),NOT(_xlfn.ISFORMULA(INDEX('Game Records'!$O:$O,$H419))),NOT(_xlfn.ISFORMULA(INDEX('Game Records'!$P:$P,$H419))),NOT(_xlfn.ISFORMULA(INDEX('Game Records'!$Q:$Q,$H419))),NOT(_xlfn.ISFORMULA(INDEX('Game Records'!$R:$R,$H419))),NOT(_xlfn.ISFORMULA(INDEX('Game Records'!$S:$S,$H419))),NOT(_xlfn.ISFORMULA(INDEX('Game Records'!$T:$T,$H419))),NOT(_xlfn.ISFORMULA(INDEX('Game Records'!$U:$U,$H419))),NOT(_xlfn.ISFORMULA(INDEX('Game Records'!$V:$V,$H419))),NOT(_xlfn.ISFORMULA(INDEX('Game Records'!$W:$W,$H419))),NOT(_xlfn.ISFORMULA(INDEX('Game Records'!$X:$X,$H419))),NOT(_xlfn.ISFORMULA(INDEX('Game Records'!$Y:$Y,$H419))),NOT(_xlfn.ISFORMULA(INDEX('Game Records'!$Z:$Z,$H419)))),"","")&amp;IF(INDEX('Game Records'!$B:$B,$H419)="","Start Date; ","")&amp;IF(INDEX('Game Records'!$C:$C,$H419)="","End Date; ","")&amp;IF(AND(INDEX('Game Records'!$U:$U,$H419)&lt;&gt;"Subscription",INDEX('Game Records'!$U:$U,$H419)&lt;&gt;"Free Game",INDEX('Game Records'!$U:$U,$H419)&lt;&gt;"Disqualified — Free Game",OR(INDEX('Game Records'!$D:$D,$H419)="",LOWER(INDEX('Game Records'!$D:$D,$H419)&amp;"")="n/a")),"Entry Mode; ","")&amp;IF(AND(INDEX('Game Records'!$U:$U,$H419)&lt;&gt;"Subscription",INDEX('Game Records'!$U:$U,$H419)&lt;&gt;"Free Game",INDEX('Game Records'!$U:$U,$H419)&lt;&gt;"Disqualified — Free Game",OR(INDEX('Game Records'!$E:$E,$H419)="",LOWER(INDEX('Game Records'!$E:$E,$H419)&amp;"")="n/a")),"Game Type; ","")&amp;IF(INDEX('Game Records'!$F:$F,$H419)="","Payment Type; ","")&amp;IF(AND(INDEX('Game Records'!$U:$U,$H419)&lt;&gt;"Subscription",INDEX('Game Records'!$U:$U,$H419)&lt;&gt;"Free Game",INDEX('Game Records'!$U:$U,$H419)&lt;&gt;"Disqualified — Free Game",INDEX('Game Records'!$G:$G,$H419)=""),"Gross Pot; ","")&amp;IF(AND(INDEX('Game Records'!$U:$U,$H419)&lt;&gt;"Free Game",INDEX('Game Records'!$U:$U,$H419)&lt;&gt;"Disqualified — Free Game",INDEX('Game Records'!$H:$H,$H419)=""),"Entry Fee; ","")&amp;IF(AND(INDEX('Game Records'!$U:$U,$H419)&lt;&gt;"Subscription",INDEX('Game Records'!$U:$U,$H419)&lt;&gt;"Free Game",INDEX('Game Records'!$U:$U,$H419)&lt;&gt;"Disqualified — Free Game",INDEX('Game Records'!$I:$I,$H419)=""),"Eligible Players; ","")&amp;IF(AND(INDEX('Game Records'!$U:$U,$H419)&lt;&gt;"Subscription",INDEX('Game Records'!$U:$U,$H419)&lt;&gt;"Free Game",INDEX('Game Records'!$U:$U,$H419)&lt;&gt;"Disqualified — Free Game",INDEX('Game Records'!$J:$J,$H419)=""),"Total Players; ","")&amp;IF(AND(LOWER(INDEX('Game Records'!$D:$D,$H419)&amp;"")="finalized",LOWER(INDEX('Game Records'!$L:$L,$H419)&amp;"")&lt;&gt;"yes",INDEX('Game Records'!$U:$U,$H419)&lt;&gt;"Subscription",INDEX('Game Records'!$U:$U,$H419)&lt;&gt;"Free Game",INDEX('Game Records'!$U:$U,$H419)&lt;&gt;"Disqualified — Free Game",INDEX('Game Records'!$K:$K,$H419)=""),"Final Payout; ","")&amp;IF(AND(LOWER(INDEX('Game Records'!$D:$D,$H419)&amp;"")="finalized",INDEX('Game Records'!$U:$U,$H419)&lt;&gt;"Subscription",INDEX('Game Records'!$U:$U,$H419)&lt;&gt;"Free Game",INDEX('Game Records'!$U:$U,$H419)&lt;&gt;"Disqualified — Free Game",OR(INDEX('Game Records'!$L:$L,$H419)="",LOWER(INDEX('Game Records'!$L:$L,$H419)&amp;"")="n/a")),"Disqualified Status; ",""))</f>
        <v/>
      </c>
      <c r="G419" s="23" t="str">
        <f t="array" ref="G419">IF($H419="","",IFERROR(INDEX('Game Records'!$M:$M,$H419),""))</f>
        <v/>
      </c>
      <c r="H419" s="3"/>
    </row>
    <row r="420" ht="24.0" customHeight="1">
      <c r="A420" s="18" t="str">
        <f t="shared" si="1"/>
        <v/>
      </c>
      <c r="B420" s="18" t="str">
        <f t="shared" si="2"/>
        <v/>
      </c>
      <c r="C420" s="23" t="str">
        <f t="array" ref="C420">IF($H420="","",IFERROR(INDEX('Game Records'!$A:$A,$H420),""))</f>
        <v/>
      </c>
      <c r="D420" s="23" t="str">
        <f t="array" ref="D420">IF($H420="","",IFERROR(INDEX('Game Records'!$U:$U,$H420),""))</f>
        <v/>
      </c>
      <c r="E420" s="23" t="str">
        <f t="array" ref="E420">IF($H420="","",LET(r,$H420,mode,LOWER(INDEX('Game Records'!$D:$D,r)&amp;""),endDate,INDEX('Game Records'!$C:$C,r),IF(mode="estimate",IF(endDate="","Estimate — End Date missing",IF(NOT(ISNUMBER(endDate)),"Estimate — Check End Date",IF(INT(endDate)&gt;=TODAY(),"In Progress — ends "&amp;TEXT(endDate,"mmm d, yyyy"),"Ready to Finalize"))),IF($F420="","No Highlighted Fields","Highlighted Fields Present"))))</f>
        <v/>
      </c>
      <c r="F420" s="23" t="str">
        <f t="array" ref="F420">IF($H420="","",IF(OR(NOT(_xlfn.ISFORMULA(INDEX('Game Records'!$N:$N,$H420))),NOT(_xlfn.ISFORMULA(INDEX('Game Records'!$O:$O,$H420))),NOT(_xlfn.ISFORMULA(INDEX('Game Records'!$P:$P,$H420))),NOT(_xlfn.ISFORMULA(INDEX('Game Records'!$Q:$Q,$H420))),NOT(_xlfn.ISFORMULA(INDEX('Game Records'!$R:$R,$H420))),NOT(_xlfn.ISFORMULA(INDEX('Game Records'!$S:$S,$H420))),NOT(_xlfn.ISFORMULA(INDEX('Game Records'!$T:$T,$H420))),NOT(_xlfn.ISFORMULA(INDEX('Game Records'!$U:$U,$H420))),NOT(_xlfn.ISFORMULA(INDEX('Game Records'!$V:$V,$H420))),NOT(_xlfn.ISFORMULA(INDEX('Game Records'!$W:$W,$H420))),NOT(_xlfn.ISFORMULA(INDEX('Game Records'!$X:$X,$H420))),NOT(_xlfn.ISFORMULA(INDEX('Game Records'!$Y:$Y,$H420))),NOT(_xlfn.ISFORMULA(INDEX('Game Records'!$Z:$Z,$H420)))),"","")&amp;IF(INDEX('Game Records'!$B:$B,$H420)="","Start Date; ","")&amp;IF(INDEX('Game Records'!$C:$C,$H420)="","End Date; ","")&amp;IF(AND(INDEX('Game Records'!$U:$U,$H420)&lt;&gt;"Subscription",INDEX('Game Records'!$U:$U,$H420)&lt;&gt;"Free Game",INDEX('Game Records'!$U:$U,$H420)&lt;&gt;"Disqualified — Free Game",OR(INDEX('Game Records'!$D:$D,$H420)="",LOWER(INDEX('Game Records'!$D:$D,$H420)&amp;"")="n/a")),"Entry Mode; ","")&amp;IF(AND(INDEX('Game Records'!$U:$U,$H420)&lt;&gt;"Subscription",INDEX('Game Records'!$U:$U,$H420)&lt;&gt;"Free Game",INDEX('Game Records'!$U:$U,$H420)&lt;&gt;"Disqualified — Free Game",OR(INDEX('Game Records'!$E:$E,$H420)="",LOWER(INDEX('Game Records'!$E:$E,$H420)&amp;"")="n/a")),"Game Type; ","")&amp;IF(INDEX('Game Records'!$F:$F,$H420)="","Payment Type; ","")&amp;IF(AND(INDEX('Game Records'!$U:$U,$H420)&lt;&gt;"Subscription",INDEX('Game Records'!$U:$U,$H420)&lt;&gt;"Free Game",INDEX('Game Records'!$U:$U,$H420)&lt;&gt;"Disqualified — Free Game",INDEX('Game Records'!$G:$G,$H420)=""),"Gross Pot; ","")&amp;IF(AND(INDEX('Game Records'!$U:$U,$H420)&lt;&gt;"Free Game",INDEX('Game Records'!$U:$U,$H420)&lt;&gt;"Disqualified — Free Game",INDEX('Game Records'!$H:$H,$H420)=""),"Entry Fee; ","")&amp;IF(AND(INDEX('Game Records'!$U:$U,$H420)&lt;&gt;"Subscription",INDEX('Game Records'!$U:$U,$H420)&lt;&gt;"Free Game",INDEX('Game Records'!$U:$U,$H420)&lt;&gt;"Disqualified — Free Game",INDEX('Game Records'!$I:$I,$H420)=""),"Eligible Players; ","")&amp;IF(AND(INDEX('Game Records'!$U:$U,$H420)&lt;&gt;"Subscription",INDEX('Game Records'!$U:$U,$H420)&lt;&gt;"Free Game",INDEX('Game Records'!$U:$U,$H420)&lt;&gt;"Disqualified — Free Game",INDEX('Game Records'!$J:$J,$H420)=""),"Total Players; ","")&amp;IF(AND(LOWER(INDEX('Game Records'!$D:$D,$H420)&amp;"")="finalized",LOWER(INDEX('Game Records'!$L:$L,$H420)&amp;"")&lt;&gt;"yes",INDEX('Game Records'!$U:$U,$H420)&lt;&gt;"Subscription",INDEX('Game Records'!$U:$U,$H420)&lt;&gt;"Free Game",INDEX('Game Records'!$U:$U,$H420)&lt;&gt;"Disqualified — Free Game",INDEX('Game Records'!$K:$K,$H420)=""),"Final Payout; ","")&amp;IF(AND(LOWER(INDEX('Game Records'!$D:$D,$H420)&amp;"")="finalized",INDEX('Game Records'!$U:$U,$H420)&lt;&gt;"Subscription",INDEX('Game Records'!$U:$U,$H420)&lt;&gt;"Free Game",INDEX('Game Records'!$U:$U,$H420)&lt;&gt;"Disqualified — Free Game",OR(INDEX('Game Records'!$L:$L,$H420)="",LOWER(INDEX('Game Records'!$L:$L,$H420)&amp;"")="n/a")),"Disqualified Status; ",""))</f>
        <v/>
      </c>
      <c r="G420" s="23" t="str">
        <f t="array" ref="G420">IF($H420="","",IFERROR(INDEX('Game Records'!$M:$M,$H420),""))</f>
        <v/>
      </c>
      <c r="H420" s="3"/>
    </row>
    <row r="421" ht="24.0" customHeight="1">
      <c r="A421" s="18" t="str">
        <f t="shared" si="1"/>
        <v/>
      </c>
      <c r="B421" s="18" t="str">
        <f t="shared" si="2"/>
        <v/>
      </c>
      <c r="C421" s="23" t="str">
        <f t="array" ref="C421">IF($H421="","",IFERROR(INDEX('Game Records'!$A:$A,$H421),""))</f>
        <v/>
      </c>
      <c r="D421" s="23" t="str">
        <f t="array" ref="D421">IF($H421="","",IFERROR(INDEX('Game Records'!$U:$U,$H421),""))</f>
        <v/>
      </c>
      <c r="E421" s="23" t="str">
        <f t="array" ref="E421">IF($H421="","",LET(r,$H421,mode,LOWER(INDEX('Game Records'!$D:$D,r)&amp;""),endDate,INDEX('Game Records'!$C:$C,r),IF(mode="estimate",IF(endDate="","Estimate — End Date missing",IF(NOT(ISNUMBER(endDate)),"Estimate — Check End Date",IF(INT(endDate)&gt;=TODAY(),"In Progress — ends "&amp;TEXT(endDate,"mmm d, yyyy"),"Ready to Finalize"))),IF($F421="","No Highlighted Fields","Highlighted Fields Present"))))</f>
        <v/>
      </c>
      <c r="F421" s="23" t="str">
        <f t="array" ref="F421">IF($H421="","",IF(OR(NOT(_xlfn.ISFORMULA(INDEX('Game Records'!$N:$N,$H421))),NOT(_xlfn.ISFORMULA(INDEX('Game Records'!$O:$O,$H421))),NOT(_xlfn.ISFORMULA(INDEX('Game Records'!$P:$P,$H421))),NOT(_xlfn.ISFORMULA(INDEX('Game Records'!$Q:$Q,$H421))),NOT(_xlfn.ISFORMULA(INDEX('Game Records'!$R:$R,$H421))),NOT(_xlfn.ISFORMULA(INDEX('Game Records'!$S:$S,$H421))),NOT(_xlfn.ISFORMULA(INDEX('Game Records'!$T:$T,$H421))),NOT(_xlfn.ISFORMULA(INDEX('Game Records'!$U:$U,$H421))),NOT(_xlfn.ISFORMULA(INDEX('Game Records'!$V:$V,$H421))),NOT(_xlfn.ISFORMULA(INDEX('Game Records'!$W:$W,$H421))),NOT(_xlfn.ISFORMULA(INDEX('Game Records'!$X:$X,$H421))),NOT(_xlfn.ISFORMULA(INDEX('Game Records'!$Y:$Y,$H421))),NOT(_xlfn.ISFORMULA(INDEX('Game Records'!$Z:$Z,$H421)))),"","")&amp;IF(INDEX('Game Records'!$B:$B,$H421)="","Start Date; ","")&amp;IF(INDEX('Game Records'!$C:$C,$H421)="","End Date; ","")&amp;IF(AND(INDEX('Game Records'!$U:$U,$H421)&lt;&gt;"Subscription",INDEX('Game Records'!$U:$U,$H421)&lt;&gt;"Free Game",INDEX('Game Records'!$U:$U,$H421)&lt;&gt;"Disqualified — Free Game",OR(INDEX('Game Records'!$D:$D,$H421)="",LOWER(INDEX('Game Records'!$D:$D,$H421)&amp;"")="n/a")),"Entry Mode; ","")&amp;IF(AND(INDEX('Game Records'!$U:$U,$H421)&lt;&gt;"Subscription",INDEX('Game Records'!$U:$U,$H421)&lt;&gt;"Free Game",INDEX('Game Records'!$U:$U,$H421)&lt;&gt;"Disqualified — Free Game",OR(INDEX('Game Records'!$E:$E,$H421)="",LOWER(INDEX('Game Records'!$E:$E,$H421)&amp;"")="n/a")),"Game Type; ","")&amp;IF(INDEX('Game Records'!$F:$F,$H421)="","Payment Type; ","")&amp;IF(AND(INDEX('Game Records'!$U:$U,$H421)&lt;&gt;"Subscription",INDEX('Game Records'!$U:$U,$H421)&lt;&gt;"Free Game",INDEX('Game Records'!$U:$U,$H421)&lt;&gt;"Disqualified — Free Game",INDEX('Game Records'!$G:$G,$H421)=""),"Gross Pot; ","")&amp;IF(AND(INDEX('Game Records'!$U:$U,$H421)&lt;&gt;"Free Game",INDEX('Game Records'!$U:$U,$H421)&lt;&gt;"Disqualified — Free Game",INDEX('Game Records'!$H:$H,$H421)=""),"Entry Fee; ","")&amp;IF(AND(INDEX('Game Records'!$U:$U,$H421)&lt;&gt;"Subscription",INDEX('Game Records'!$U:$U,$H421)&lt;&gt;"Free Game",INDEX('Game Records'!$U:$U,$H421)&lt;&gt;"Disqualified — Free Game",INDEX('Game Records'!$I:$I,$H421)=""),"Eligible Players; ","")&amp;IF(AND(INDEX('Game Records'!$U:$U,$H421)&lt;&gt;"Subscription",INDEX('Game Records'!$U:$U,$H421)&lt;&gt;"Free Game",INDEX('Game Records'!$U:$U,$H421)&lt;&gt;"Disqualified — Free Game",INDEX('Game Records'!$J:$J,$H421)=""),"Total Players; ","")&amp;IF(AND(LOWER(INDEX('Game Records'!$D:$D,$H421)&amp;"")="finalized",LOWER(INDEX('Game Records'!$L:$L,$H421)&amp;"")&lt;&gt;"yes",INDEX('Game Records'!$U:$U,$H421)&lt;&gt;"Subscription",INDEX('Game Records'!$U:$U,$H421)&lt;&gt;"Free Game",INDEX('Game Records'!$U:$U,$H421)&lt;&gt;"Disqualified — Free Game",INDEX('Game Records'!$K:$K,$H421)=""),"Final Payout; ","")&amp;IF(AND(LOWER(INDEX('Game Records'!$D:$D,$H421)&amp;"")="finalized",INDEX('Game Records'!$U:$U,$H421)&lt;&gt;"Subscription",INDEX('Game Records'!$U:$U,$H421)&lt;&gt;"Free Game",INDEX('Game Records'!$U:$U,$H421)&lt;&gt;"Disqualified — Free Game",OR(INDEX('Game Records'!$L:$L,$H421)="",LOWER(INDEX('Game Records'!$L:$L,$H421)&amp;"")="n/a")),"Disqualified Status; ",""))</f>
        <v/>
      </c>
      <c r="G421" s="23" t="str">
        <f t="array" ref="G421">IF($H421="","",IFERROR(INDEX('Game Records'!$M:$M,$H421),""))</f>
        <v/>
      </c>
      <c r="H421" s="3"/>
    </row>
    <row r="422" ht="24.0" customHeight="1">
      <c r="A422" s="18" t="str">
        <f t="shared" si="1"/>
        <v/>
      </c>
      <c r="B422" s="18" t="str">
        <f t="shared" si="2"/>
        <v/>
      </c>
      <c r="C422" s="23" t="str">
        <f t="array" ref="C422">IF($H422="","",IFERROR(INDEX('Game Records'!$A:$A,$H422),""))</f>
        <v/>
      </c>
      <c r="D422" s="23" t="str">
        <f t="array" ref="D422">IF($H422="","",IFERROR(INDEX('Game Records'!$U:$U,$H422),""))</f>
        <v/>
      </c>
      <c r="E422" s="23" t="str">
        <f t="array" ref="E422">IF($H422="","",LET(r,$H422,mode,LOWER(INDEX('Game Records'!$D:$D,r)&amp;""),endDate,INDEX('Game Records'!$C:$C,r),IF(mode="estimate",IF(endDate="","Estimate — End Date missing",IF(NOT(ISNUMBER(endDate)),"Estimate — Check End Date",IF(INT(endDate)&gt;=TODAY(),"In Progress — ends "&amp;TEXT(endDate,"mmm d, yyyy"),"Ready to Finalize"))),IF($F422="","No Highlighted Fields","Highlighted Fields Present"))))</f>
        <v/>
      </c>
      <c r="F422" s="23" t="str">
        <f t="array" ref="F422">IF($H422="","",IF(OR(NOT(_xlfn.ISFORMULA(INDEX('Game Records'!$N:$N,$H422))),NOT(_xlfn.ISFORMULA(INDEX('Game Records'!$O:$O,$H422))),NOT(_xlfn.ISFORMULA(INDEX('Game Records'!$P:$P,$H422))),NOT(_xlfn.ISFORMULA(INDEX('Game Records'!$Q:$Q,$H422))),NOT(_xlfn.ISFORMULA(INDEX('Game Records'!$R:$R,$H422))),NOT(_xlfn.ISFORMULA(INDEX('Game Records'!$S:$S,$H422))),NOT(_xlfn.ISFORMULA(INDEX('Game Records'!$T:$T,$H422))),NOT(_xlfn.ISFORMULA(INDEX('Game Records'!$U:$U,$H422))),NOT(_xlfn.ISFORMULA(INDEX('Game Records'!$V:$V,$H422))),NOT(_xlfn.ISFORMULA(INDEX('Game Records'!$W:$W,$H422))),NOT(_xlfn.ISFORMULA(INDEX('Game Records'!$X:$X,$H422))),NOT(_xlfn.ISFORMULA(INDEX('Game Records'!$Y:$Y,$H422))),NOT(_xlfn.ISFORMULA(INDEX('Game Records'!$Z:$Z,$H422)))),"","")&amp;IF(INDEX('Game Records'!$B:$B,$H422)="","Start Date; ","")&amp;IF(INDEX('Game Records'!$C:$C,$H422)="","End Date; ","")&amp;IF(AND(INDEX('Game Records'!$U:$U,$H422)&lt;&gt;"Subscription",INDEX('Game Records'!$U:$U,$H422)&lt;&gt;"Free Game",INDEX('Game Records'!$U:$U,$H422)&lt;&gt;"Disqualified — Free Game",OR(INDEX('Game Records'!$D:$D,$H422)="",LOWER(INDEX('Game Records'!$D:$D,$H422)&amp;"")="n/a")),"Entry Mode; ","")&amp;IF(AND(INDEX('Game Records'!$U:$U,$H422)&lt;&gt;"Subscription",INDEX('Game Records'!$U:$U,$H422)&lt;&gt;"Free Game",INDEX('Game Records'!$U:$U,$H422)&lt;&gt;"Disqualified — Free Game",OR(INDEX('Game Records'!$E:$E,$H422)="",LOWER(INDEX('Game Records'!$E:$E,$H422)&amp;"")="n/a")),"Game Type; ","")&amp;IF(INDEX('Game Records'!$F:$F,$H422)="","Payment Type; ","")&amp;IF(AND(INDEX('Game Records'!$U:$U,$H422)&lt;&gt;"Subscription",INDEX('Game Records'!$U:$U,$H422)&lt;&gt;"Free Game",INDEX('Game Records'!$U:$U,$H422)&lt;&gt;"Disqualified — Free Game",INDEX('Game Records'!$G:$G,$H422)=""),"Gross Pot; ","")&amp;IF(AND(INDEX('Game Records'!$U:$U,$H422)&lt;&gt;"Free Game",INDEX('Game Records'!$U:$U,$H422)&lt;&gt;"Disqualified — Free Game",INDEX('Game Records'!$H:$H,$H422)=""),"Entry Fee; ","")&amp;IF(AND(INDEX('Game Records'!$U:$U,$H422)&lt;&gt;"Subscription",INDEX('Game Records'!$U:$U,$H422)&lt;&gt;"Free Game",INDEX('Game Records'!$U:$U,$H422)&lt;&gt;"Disqualified — Free Game",INDEX('Game Records'!$I:$I,$H422)=""),"Eligible Players; ","")&amp;IF(AND(INDEX('Game Records'!$U:$U,$H422)&lt;&gt;"Subscription",INDEX('Game Records'!$U:$U,$H422)&lt;&gt;"Free Game",INDEX('Game Records'!$U:$U,$H422)&lt;&gt;"Disqualified — Free Game",INDEX('Game Records'!$J:$J,$H422)=""),"Total Players; ","")&amp;IF(AND(LOWER(INDEX('Game Records'!$D:$D,$H422)&amp;"")="finalized",LOWER(INDEX('Game Records'!$L:$L,$H422)&amp;"")&lt;&gt;"yes",INDEX('Game Records'!$U:$U,$H422)&lt;&gt;"Subscription",INDEX('Game Records'!$U:$U,$H422)&lt;&gt;"Free Game",INDEX('Game Records'!$U:$U,$H422)&lt;&gt;"Disqualified — Free Game",INDEX('Game Records'!$K:$K,$H422)=""),"Final Payout; ","")&amp;IF(AND(LOWER(INDEX('Game Records'!$D:$D,$H422)&amp;"")="finalized",INDEX('Game Records'!$U:$U,$H422)&lt;&gt;"Subscription",INDEX('Game Records'!$U:$U,$H422)&lt;&gt;"Free Game",INDEX('Game Records'!$U:$U,$H422)&lt;&gt;"Disqualified — Free Game",OR(INDEX('Game Records'!$L:$L,$H422)="",LOWER(INDEX('Game Records'!$L:$L,$H422)&amp;"")="n/a")),"Disqualified Status; ",""))</f>
        <v/>
      </c>
      <c r="G422" s="23" t="str">
        <f t="array" ref="G422">IF($H422="","",IFERROR(INDEX('Game Records'!$M:$M,$H422),""))</f>
        <v/>
      </c>
      <c r="H422" s="3"/>
    </row>
    <row r="423" ht="24.0" customHeight="1">
      <c r="A423" s="18" t="str">
        <f t="shared" si="1"/>
        <v/>
      </c>
      <c r="B423" s="18" t="str">
        <f t="shared" si="2"/>
        <v/>
      </c>
      <c r="C423" s="23" t="str">
        <f t="array" ref="C423">IF($H423="","",IFERROR(INDEX('Game Records'!$A:$A,$H423),""))</f>
        <v/>
      </c>
      <c r="D423" s="23" t="str">
        <f t="array" ref="D423">IF($H423="","",IFERROR(INDEX('Game Records'!$U:$U,$H423),""))</f>
        <v/>
      </c>
      <c r="E423" s="23" t="str">
        <f t="array" ref="E423">IF($H423="","",LET(r,$H423,mode,LOWER(INDEX('Game Records'!$D:$D,r)&amp;""),endDate,INDEX('Game Records'!$C:$C,r),IF(mode="estimate",IF(endDate="","Estimate — End Date missing",IF(NOT(ISNUMBER(endDate)),"Estimate — Check End Date",IF(INT(endDate)&gt;=TODAY(),"In Progress — ends "&amp;TEXT(endDate,"mmm d, yyyy"),"Ready to Finalize"))),IF($F423="","No Highlighted Fields","Highlighted Fields Present"))))</f>
        <v/>
      </c>
      <c r="F423" s="23" t="str">
        <f t="array" ref="F423">IF($H423="","",IF(OR(NOT(_xlfn.ISFORMULA(INDEX('Game Records'!$N:$N,$H423))),NOT(_xlfn.ISFORMULA(INDEX('Game Records'!$O:$O,$H423))),NOT(_xlfn.ISFORMULA(INDEX('Game Records'!$P:$P,$H423))),NOT(_xlfn.ISFORMULA(INDEX('Game Records'!$Q:$Q,$H423))),NOT(_xlfn.ISFORMULA(INDEX('Game Records'!$R:$R,$H423))),NOT(_xlfn.ISFORMULA(INDEX('Game Records'!$S:$S,$H423))),NOT(_xlfn.ISFORMULA(INDEX('Game Records'!$T:$T,$H423))),NOT(_xlfn.ISFORMULA(INDEX('Game Records'!$U:$U,$H423))),NOT(_xlfn.ISFORMULA(INDEX('Game Records'!$V:$V,$H423))),NOT(_xlfn.ISFORMULA(INDEX('Game Records'!$W:$W,$H423))),NOT(_xlfn.ISFORMULA(INDEX('Game Records'!$X:$X,$H423))),NOT(_xlfn.ISFORMULA(INDEX('Game Records'!$Y:$Y,$H423))),NOT(_xlfn.ISFORMULA(INDEX('Game Records'!$Z:$Z,$H423)))),"","")&amp;IF(INDEX('Game Records'!$B:$B,$H423)="","Start Date; ","")&amp;IF(INDEX('Game Records'!$C:$C,$H423)="","End Date; ","")&amp;IF(AND(INDEX('Game Records'!$U:$U,$H423)&lt;&gt;"Subscription",INDEX('Game Records'!$U:$U,$H423)&lt;&gt;"Free Game",INDEX('Game Records'!$U:$U,$H423)&lt;&gt;"Disqualified — Free Game",OR(INDEX('Game Records'!$D:$D,$H423)="",LOWER(INDEX('Game Records'!$D:$D,$H423)&amp;"")="n/a")),"Entry Mode; ","")&amp;IF(AND(INDEX('Game Records'!$U:$U,$H423)&lt;&gt;"Subscription",INDEX('Game Records'!$U:$U,$H423)&lt;&gt;"Free Game",INDEX('Game Records'!$U:$U,$H423)&lt;&gt;"Disqualified — Free Game",OR(INDEX('Game Records'!$E:$E,$H423)="",LOWER(INDEX('Game Records'!$E:$E,$H423)&amp;"")="n/a")),"Game Type; ","")&amp;IF(INDEX('Game Records'!$F:$F,$H423)="","Payment Type; ","")&amp;IF(AND(INDEX('Game Records'!$U:$U,$H423)&lt;&gt;"Subscription",INDEX('Game Records'!$U:$U,$H423)&lt;&gt;"Free Game",INDEX('Game Records'!$U:$U,$H423)&lt;&gt;"Disqualified — Free Game",INDEX('Game Records'!$G:$G,$H423)=""),"Gross Pot; ","")&amp;IF(AND(INDEX('Game Records'!$U:$U,$H423)&lt;&gt;"Free Game",INDEX('Game Records'!$U:$U,$H423)&lt;&gt;"Disqualified — Free Game",INDEX('Game Records'!$H:$H,$H423)=""),"Entry Fee; ","")&amp;IF(AND(INDEX('Game Records'!$U:$U,$H423)&lt;&gt;"Subscription",INDEX('Game Records'!$U:$U,$H423)&lt;&gt;"Free Game",INDEX('Game Records'!$U:$U,$H423)&lt;&gt;"Disqualified — Free Game",INDEX('Game Records'!$I:$I,$H423)=""),"Eligible Players; ","")&amp;IF(AND(INDEX('Game Records'!$U:$U,$H423)&lt;&gt;"Subscription",INDEX('Game Records'!$U:$U,$H423)&lt;&gt;"Free Game",INDEX('Game Records'!$U:$U,$H423)&lt;&gt;"Disqualified — Free Game",INDEX('Game Records'!$J:$J,$H423)=""),"Total Players; ","")&amp;IF(AND(LOWER(INDEX('Game Records'!$D:$D,$H423)&amp;"")="finalized",LOWER(INDEX('Game Records'!$L:$L,$H423)&amp;"")&lt;&gt;"yes",INDEX('Game Records'!$U:$U,$H423)&lt;&gt;"Subscription",INDEX('Game Records'!$U:$U,$H423)&lt;&gt;"Free Game",INDEX('Game Records'!$U:$U,$H423)&lt;&gt;"Disqualified — Free Game",INDEX('Game Records'!$K:$K,$H423)=""),"Final Payout; ","")&amp;IF(AND(LOWER(INDEX('Game Records'!$D:$D,$H423)&amp;"")="finalized",INDEX('Game Records'!$U:$U,$H423)&lt;&gt;"Subscription",INDEX('Game Records'!$U:$U,$H423)&lt;&gt;"Free Game",INDEX('Game Records'!$U:$U,$H423)&lt;&gt;"Disqualified — Free Game",OR(INDEX('Game Records'!$L:$L,$H423)="",LOWER(INDEX('Game Records'!$L:$L,$H423)&amp;"")="n/a")),"Disqualified Status; ",""))</f>
        <v/>
      </c>
      <c r="G423" s="23" t="str">
        <f t="array" ref="G423">IF($H423="","",IFERROR(INDEX('Game Records'!$M:$M,$H423),""))</f>
        <v/>
      </c>
      <c r="H423" s="3"/>
    </row>
    <row r="424" ht="24.0" customHeight="1">
      <c r="A424" s="18" t="str">
        <f t="shared" si="1"/>
        <v/>
      </c>
      <c r="B424" s="18" t="str">
        <f t="shared" si="2"/>
        <v/>
      </c>
      <c r="C424" s="23" t="str">
        <f t="array" ref="C424">IF($H424="","",IFERROR(INDEX('Game Records'!$A:$A,$H424),""))</f>
        <v/>
      </c>
      <c r="D424" s="23" t="str">
        <f t="array" ref="D424">IF($H424="","",IFERROR(INDEX('Game Records'!$U:$U,$H424),""))</f>
        <v/>
      </c>
      <c r="E424" s="23" t="str">
        <f t="array" ref="E424">IF($H424="","",LET(r,$H424,mode,LOWER(INDEX('Game Records'!$D:$D,r)&amp;""),endDate,INDEX('Game Records'!$C:$C,r),IF(mode="estimate",IF(endDate="","Estimate — End Date missing",IF(NOT(ISNUMBER(endDate)),"Estimate — Check End Date",IF(INT(endDate)&gt;=TODAY(),"In Progress — ends "&amp;TEXT(endDate,"mmm d, yyyy"),"Ready to Finalize"))),IF($F424="","No Highlighted Fields","Highlighted Fields Present"))))</f>
        <v/>
      </c>
      <c r="F424" s="23" t="str">
        <f t="array" ref="F424">IF($H424="","",IF(OR(NOT(_xlfn.ISFORMULA(INDEX('Game Records'!$N:$N,$H424))),NOT(_xlfn.ISFORMULA(INDEX('Game Records'!$O:$O,$H424))),NOT(_xlfn.ISFORMULA(INDEX('Game Records'!$P:$P,$H424))),NOT(_xlfn.ISFORMULA(INDEX('Game Records'!$Q:$Q,$H424))),NOT(_xlfn.ISFORMULA(INDEX('Game Records'!$R:$R,$H424))),NOT(_xlfn.ISFORMULA(INDEX('Game Records'!$S:$S,$H424))),NOT(_xlfn.ISFORMULA(INDEX('Game Records'!$T:$T,$H424))),NOT(_xlfn.ISFORMULA(INDEX('Game Records'!$U:$U,$H424))),NOT(_xlfn.ISFORMULA(INDEX('Game Records'!$V:$V,$H424))),NOT(_xlfn.ISFORMULA(INDEX('Game Records'!$W:$W,$H424))),NOT(_xlfn.ISFORMULA(INDEX('Game Records'!$X:$X,$H424))),NOT(_xlfn.ISFORMULA(INDEX('Game Records'!$Y:$Y,$H424))),NOT(_xlfn.ISFORMULA(INDEX('Game Records'!$Z:$Z,$H424)))),"","")&amp;IF(INDEX('Game Records'!$B:$B,$H424)="","Start Date; ","")&amp;IF(INDEX('Game Records'!$C:$C,$H424)="","End Date; ","")&amp;IF(AND(INDEX('Game Records'!$U:$U,$H424)&lt;&gt;"Subscription",INDEX('Game Records'!$U:$U,$H424)&lt;&gt;"Free Game",INDEX('Game Records'!$U:$U,$H424)&lt;&gt;"Disqualified — Free Game",OR(INDEX('Game Records'!$D:$D,$H424)="",LOWER(INDEX('Game Records'!$D:$D,$H424)&amp;"")="n/a")),"Entry Mode; ","")&amp;IF(AND(INDEX('Game Records'!$U:$U,$H424)&lt;&gt;"Subscription",INDEX('Game Records'!$U:$U,$H424)&lt;&gt;"Free Game",INDEX('Game Records'!$U:$U,$H424)&lt;&gt;"Disqualified — Free Game",OR(INDEX('Game Records'!$E:$E,$H424)="",LOWER(INDEX('Game Records'!$E:$E,$H424)&amp;"")="n/a")),"Game Type; ","")&amp;IF(INDEX('Game Records'!$F:$F,$H424)="","Payment Type; ","")&amp;IF(AND(INDEX('Game Records'!$U:$U,$H424)&lt;&gt;"Subscription",INDEX('Game Records'!$U:$U,$H424)&lt;&gt;"Free Game",INDEX('Game Records'!$U:$U,$H424)&lt;&gt;"Disqualified — Free Game",INDEX('Game Records'!$G:$G,$H424)=""),"Gross Pot; ","")&amp;IF(AND(INDEX('Game Records'!$U:$U,$H424)&lt;&gt;"Free Game",INDEX('Game Records'!$U:$U,$H424)&lt;&gt;"Disqualified — Free Game",INDEX('Game Records'!$H:$H,$H424)=""),"Entry Fee; ","")&amp;IF(AND(INDEX('Game Records'!$U:$U,$H424)&lt;&gt;"Subscription",INDEX('Game Records'!$U:$U,$H424)&lt;&gt;"Free Game",INDEX('Game Records'!$U:$U,$H424)&lt;&gt;"Disqualified — Free Game",INDEX('Game Records'!$I:$I,$H424)=""),"Eligible Players; ","")&amp;IF(AND(INDEX('Game Records'!$U:$U,$H424)&lt;&gt;"Subscription",INDEX('Game Records'!$U:$U,$H424)&lt;&gt;"Free Game",INDEX('Game Records'!$U:$U,$H424)&lt;&gt;"Disqualified — Free Game",INDEX('Game Records'!$J:$J,$H424)=""),"Total Players; ","")&amp;IF(AND(LOWER(INDEX('Game Records'!$D:$D,$H424)&amp;"")="finalized",LOWER(INDEX('Game Records'!$L:$L,$H424)&amp;"")&lt;&gt;"yes",INDEX('Game Records'!$U:$U,$H424)&lt;&gt;"Subscription",INDEX('Game Records'!$U:$U,$H424)&lt;&gt;"Free Game",INDEX('Game Records'!$U:$U,$H424)&lt;&gt;"Disqualified — Free Game",INDEX('Game Records'!$K:$K,$H424)=""),"Final Payout; ","")&amp;IF(AND(LOWER(INDEX('Game Records'!$D:$D,$H424)&amp;"")="finalized",INDEX('Game Records'!$U:$U,$H424)&lt;&gt;"Subscription",INDEX('Game Records'!$U:$U,$H424)&lt;&gt;"Free Game",INDEX('Game Records'!$U:$U,$H424)&lt;&gt;"Disqualified — Free Game",OR(INDEX('Game Records'!$L:$L,$H424)="",LOWER(INDEX('Game Records'!$L:$L,$H424)&amp;"")="n/a")),"Disqualified Status; ",""))</f>
        <v/>
      </c>
      <c r="G424" s="23" t="str">
        <f t="array" ref="G424">IF($H424="","",IFERROR(INDEX('Game Records'!$M:$M,$H424),""))</f>
        <v/>
      </c>
      <c r="H424" s="3"/>
    </row>
    <row r="425" ht="24.0" customHeight="1">
      <c r="A425" s="18" t="str">
        <f t="shared" si="1"/>
        <v/>
      </c>
      <c r="B425" s="18" t="str">
        <f t="shared" si="2"/>
        <v/>
      </c>
      <c r="C425" s="23" t="str">
        <f t="array" ref="C425">IF($H425="","",IFERROR(INDEX('Game Records'!$A:$A,$H425),""))</f>
        <v/>
      </c>
      <c r="D425" s="23" t="str">
        <f t="array" ref="D425">IF($H425="","",IFERROR(INDEX('Game Records'!$U:$U,$H425),""))</f>
        <v/>
      </c>
      <c r="E425" s="23" t="str">
        <f t="array" ref="E425">IF($H425="","",LET(r,$H425,mode,LOWER(INDEX('Game Records'!$D:$D,r)&amp;""),endDate,INDEX('Game Records'!$C:$C,r),IF(mode="estimate",IF(endDate="","Estimate — End Date missing",IF(NOT(ISNUMBER(endDate)),"Estimate — Check End Date",IF(INT(endDate)&gt;=TODAY(),"In Progress — ends "&amp;TEXT(endDate,"mmm d, yyyy"),"Ready to Finalize"))),IF($F425="","No Highlighted Fields","Highlighted Fields Present"))))</f>
        <v/>
      </c>
      <c r="F425" s="23" t="str">
        <f t="array" ref="F425">IF($H425="","",IF(OR(NOT(_xlfn.ISFORMULA(INDEX('Game Records'!$N:$N,$H425))),NOT(_xlfn.ISFORMULA(INDEX('Game Records'!$O:$O,$H425))),NOT(_xlfn.ISFORMULA(INDEX('Game Records'!$P:$P,$H425))),NOT(_xlfn.ISFORMULA(INDEX('Game Records'!$Q:$Q,$H425))),NOT(_xlfn.ISFORMULA(INDEX('Game Records'!$R:$R,$H425))),NOT(_xlfn.ISFORMULA(INDEX('Game Records'!$S:$S,$H425))),NOT(_xlfn.ISFORMULA(INDEX('Game Records'!$T:$T,$H425))),NOT(_xlfn.ISFORMULA(INDEX('Game Records'!$U:$U,$H425))),NOT(_xlfn.ISFORMULA(INDEX('Game Records'!$V:$V,$H425))),NOT(_xlfn.ISFORMULA(INDEX('Game Records'!$W:$W,$H425))),NOT(_xlfn.ISFORMULA(INDEX('Game Records'!$X:$X,$H425))),NOT(_xlfn.ISFORMULA(INDEX('Game Records'!$Y:$Y,$H425))),NOT(_xlfn.ISFORMULA(INDEX('Game Records'!$Z:$Z,$H425)))),"","")&amp;IF(INDEX('Game Records'!$B:$B,$H425)="","Start Date; ","")&amp;IF(INDEX('Game Records'!$C:$C,$H425)="","End Date; ","")&amp;IF(AND(INDEX('Game Records'!$U:$U,$H425)&lt;&gt;"Subscription",INDEX('Game Records'!$U:$U,$H425)&lt;&gt;"Free Game",INDEX('Game Records'!$U:$U,$H425)&lt;&gt;"Disqualified — Free Game",OR(INDEX('Game Records'!$D:$D,$H425)="",LOWER(INDEX('Game Records'!$D:$D,$H425)&amp;"")="n/a")),"Entry Mode; ","")&amp;IF(AND(INDEX('Game Records'!$U:$U,$H425)&lt;&gt;"Subscription",INDEX('Game Records'!$U:$U,$H425)&lt;&gt;"Free Game",INDEX('Game Records'!$U:$U,$H425)&lt;&gt;"Disqualified — Free Game",OR(INDEX('Game Records'!$E:$E,$H425)="",LOWER(INDEX('Game Records'!$E:$E,$H425)&amp;"")="n/a")),"Game Type; ","")&amp;IF(INDEX('Game Records'!$F:$F,$H425)="","Payment Type; ","")&amp;IF(AND(INDEX('Game Records'!$U:$U,$H425)&lt;&gt;"Subscription",INDEX('Game Records'!$U:$U,$H425)&lt;&gt;"Free Game",INDEX('Game Records'!$U:$U,$H425)&lt;&gt;"Disqualified — Free Game",INDEX('Game Records'!$G:$G,$H425)=""),"Gross Pot; ","")&amp;IF(AND(INDEX('Game Records'!$U:$U,$H425)&lt;&gt;"Free Game",INDEX('Game Records'!$U:$U,$H425)&lt;&gt;"Disqualified — Free Game",INDEX('Game Records'!$H:$H,$H425)=""),"Entry Fee; ","")&amp;IF(AND(INDEX('Game Records'!$U:$U,$H425)&lt;&gt;"Subscription",INDEX('Game Records'!$U:$U,$H425)&lt;&gt;"Free Game",INDEX('Game Records'!$U:$U,$H425)&lt;&gt;"Disqualified — Free Game",INDEX('Game Records'!$I:$I,$H425)=""),"Eligible Players; ","")&amp;IF(AND(INDEX('Game Records'!$U:$U,$H425)&lt;&gt;"Subscription",INDEX('Game Records'!$U:$U,$H425)&lt;&gt;"Free Game",INDEX('Game Records'!$U:$U,$H425)&lt;&gt;"Disqualified — Free Game",INDEX('Game Records'!$J:$J,$H425)=""),"Total Players; ","")&amp;IF(AND(LOWER(INDEX('Game Records'!$D:$D,$H425)&amp;"")="finalized",LOWER(INDEX('Game Records'!$L:$L,$H425)&amp;"")&lt;&gt;"yes",INDEX('Game Records'!$U:$U,$H425)&lt;&gt;"Subscription",INDEX('Game Records'!$U:$U,$H425)&lt;&gt;"Free Game",INDEX('Game Records'!$U:$U,$H425)&lt;&gt;"Disqualified — Free Game",INDEX('Game Records'!$K:$K,$H425)=""),"Final Payout; ","")&amp;IF(AND(LOWER(INDEX('Game Records'!$D:$D,$H425)&amp;"")="finalized",INDEX('Game Records'!$U:$U,$H425)&lt;&gt;"Subscription",INDEX('Game Records'!$U:$U,$H425)&lt;&gt;"Free Game",INDEX('Game Records'!$U:$U,$H425)&lt;&gt;"Disqualified — Free Game",OR(INDEX('Game Records'!$L:$L,$H425)="",LOWER(INDEX('Game Records'!$L:$L,$H425)&amp;"")="n/a")),"Disqualified Status; ",""))</f>
        <v/>
      </c>
      <c r="G425" s="23" t="str">
        <f t="array" ref="G425">IF($H425="","",IFERROR(INDEX('Game Records'!$M:$M,$H425),""))</f>
        <v/>
      </c>
      <c r="H425" s="3"/>
    </row>
    <row r="426" ht="24.0" customHeight="1">
      <c r="A426" s="18" t="str">
        <f t="shared" si="1"/>
        <v/>
      </c>
      <c r="B426" s="18" t="str">
        <f t="shared" si="2"/>
        <v/>
      </c>
      <c r="C426" s="23" t="str">
        <f t="array" ref="C426">IF($H426="","",IFERROR(INDEX('Game Records'!$A:$A,$H426),""))</f>
        <v/>
      </c>
      <c r="D426" s="23" t="str">
        <f t="array" ref="D426">IF($H426="","",IFERROR(INDEX('Game Records'!$U:$U,$H426),""))</f>
        <v/>
      </c>
      <c r="E426" s="23" t="str">
        <f t="array" ref="E426">IF($H426="","",LET(r,$H426,mode,LOWER(INDEX('Game Records'!$D:$D,r)&amp;""),endDate,INDEX('Game Records'!$C:$C,r),IF(mode="estimate",IF(endDate="","Estimate — End Date missing",IF(NOT(ISNUMBER(endDate)),"Estimate — Check End Date",IF(INT(endDate)&gt;=TODAY(),"In Progress — ends "&amp;TEXT(endDate,"mmm d, yyyy"),"Ready to Finalize"))),IF($F426="","No Highlighted Fields","Highlighted Fields Present"))))</f>
        <v/>
      </c>
      <c r="F426" s="23" t="str">
        <f t="array" ref="F426">IF($H426="","",IF(OR(NOT(_xlfn.ISFORMULA(INDEX('Game Records'!$N:$N,$H426))),NOT(_xlfn.ISFORMULA(INDEX('Game Records'!$O:$O,$H426))),NOT(_xlfn.ISFORMULA(INDEX('Game Records'!$P:$P,$H426))),NOT(_xlfn.ISFORMULA(INDEX('Game Records'!$Q:$Q,$H426))),NOT(_xlfn.ISFORMULA(INDEX('Game Records'!$R:$R,$H426))),NOT(_xlfn.ISFORMULA(INDEX('Game Records'!$S:$S,$H426))),NOT(_xlfn.ISFORMULA(INDEX('Game Records'!$T:$T,$H426))),NOT(_xlfn.ISFORMULA(INDEX('Game Records'!$U:$U,$H426))),NOT(_xlfn.ISFORMULA(INDEX('Game Records'!$V:$V,$H426))),NOT(_xlfn.ISFORMULA(INDEX('Game Records'!$W:$W,$H426))),NOT(_xlfn.ISFORMULA(INDEX('Game Records'!$X:$X,$H426))),NOT(_xlfn.ISFORMULA(INDEX('Game Records'!$Y:$Y,$H426))),NOT(_xlfn.ISFORMULA(INDEX('Game Records'!$Z:$Z,$H426)))),"","")&amp;IF(INDEX('Game Records'!$B:$B,$H426)="","Start Date; ","")&amp;IF(INDEX('Game Records'!$C:$C,$H426)="","End Date; ","")&amp;IF(AND(INDEX('Game Records'!$U:$U,$H426)&lt;&gt;"Subscription",INDEX('Game Records'!$U:$U,$H426)&lt;&gt;"Free Game",INDEX('Game Records'!$U:$U,$H426)&lt;&gt;"Disqualified — Free Game",OR(INDEX('Game Records'!$D:$D,$H426)="",LOWER(INDEX('Game Records'!$D:$D,$H426)&amp;"")="n/a")),"Entry Mode; ","")&amp;IF(AND(INDEX('Game Records'!$U:$U,$H426)&lt;&gt;"Subscription",INDEX('Game Records'!$U:$U,$H426)&lt;&gt;"Free Game",INDEX('Game Records'!$U:$U,$H426)&lt;&gt;"Disqualified — Free Game",OR(INDEX('Game Records'!$E:$E,$H426)="",LOWER(INDEX('Game Records'!$E:$E,$H426)&amp;"")="n/a")),"Game Type; ","")&amp;IF(INDEX('Game Records'!$F:$F,$H426)="","Payment Type; ","")&amp;IF(AND(INDEX('Game Records'!$U:$U,$H426)&lt;&gt;"Subscription",INDEX('Game Records'!$U:$U,$H426)&lt;&gt;"Free Game",INDEX('Game Records'!$U:$U,$H426)&lt;&gt;"Disqualified — Free Game",INDEX('Game Records'!$G:$G,$H426)=""),"Gross Pot; ","")&amp;IF(AND(INDEX('Game Records'!$U:$U,$H426)&lt;&gt;"Free Game",INDEX('Game Records'!$U:$U,$H426)&lt;&gt;"Disqualified — Free Game",INDEX('Game Records'!$H:$H,$H426)=""),"Entry Fee; ","")&amp;IF(AND(INDEX('Game Records'!$U:$U,$H426)&lt;&gt;"Subscription",INDEX('Game Records'!$U:$U,$H426)&lt;&gt;"Free Game",INDEX('Game Records'!$U:$U,$H426)&lt;&gt;"Disqualified — Free Game",INDEX('Game Records'!$I:$I,$H426)=""),"Eligible Players; ","")&amp;IF(AND(INDEX('Game Records'!$U:$U,$H426)&lt;&gt;"Subscription",INDEX('Game Records'!$U:$U,$H426)&lt;&gt;"Free Game",INDEX('Game Records'!$U:$U,$H426)&lt;&gt;"Disqualified — Free Game",INDEX('Game Records'!$J:$J,$H426)=""),"Total Players; ","")&amp;IF(AND(LOWER(INDEX('Game Records'!$D:$D,$H426)&amp;"")="finalized",LOWER(INDEX('Game Records'!$L:$L,$H426)&amp;"")&lt;&gt;"yes",INDEX('Game Records'!$U:$U,$H426)&lt;&gt;"Subscription",INDEX('Game Records'!$U:$U,$H426)&lt;&gt;"Free Game",INDEX('Game Records'!$U:$U,$H426)&lt;&gt;"Disqualified — Free Game",INDEX('Game Records'!$K:$K,$H426)=""),"Final Payout; ","")&amp;IF(AND(LOWER(INDEX('Game Records'!$D:$D,$H426)&amp;"")="finalized",INDEX('Game Records'!$U:$U,$H426)&lt;&gt;"Subscription",INDEX('Game Records'!$U:$U,$H426)&lt;&gt;"Free Game",INDEX('Game Records'!$U:$U,$H426)&lt;&gt;"Disqualified — Free Game",OR(INDEX('Game Records'!$L:$L,$H426)="",LOWER(INDEX('Game Records'!$L:$L,$H426)&amp;"")="n/a")),"Disqualified Status; ",""))</f>
        <v/>
      </c>
      <c r="G426" s="23" t="str">
        <f t="array" ref="G426">IF($H426="","",IFERROR(INDEX('Game Records'!$M:$M,$H426),""))</f>
        <v/>
      </c>
      <c r="H426" s="3"/>
    </row>
    <row r="427" ht="24.0" customHeight="1">
      <c r="A427" s="18" t="str">
        <f t="shared" si="1"/>
        <v/>
      </c>
      <c r="B427" s="18" t="str">
        <f t="shared" si="2"/>
        <v/>
      </c>
      <c r="C427" s="23" t="str">
        <f t="array" ref="C427">IF($H427="","",IFERROR(INDEX('Game Records'!$A:$A,$H427),""))</f>
        <v/>
      </c>
      <c r="D427" s="23" t="str">
        <f t="array" ref="D427">IF($H427="","",IFERROR(INDEX('Game Records'!$U:$U,$H427),""))</f>
        <v/>
      </c>
      <c r="E427" s="23" t="str">
        <f t="array" ref="E427">IF($H427="","",LET(r,$H427,mode,LOWER(INDEX('Game Records'!$D:$D,r)&amp;""),endDate,INDEX('Game Records'!$C:$C,r),IF(mode="estimate",IF(endDate="","Estimate — End Date missing",IF(NOT(ISNUMBER(endDate)),"Estimate — Check End Date",IF(INT(endDate)&gt;=TODAY(),"In Progress — ends "&amp;TEXT(endDate,"mmm d, yyyy"),"Ready to Finalize"))),IF($F427="","No Highlighted Fields","Highlighted Fields Present"))))</f>
        <v/>
      </c>
      <c r="F427" s="23" t="str">
        <f t="array" ref="F427">IF($H427="","",IF(OR(NOT(_xlfn.ISFORMULA(INDEX('Game Records'!$N:$N,$H427))),NOT(_xlfn.ISFORMULA(INDEX('Game Records'!$O:$O,$H427))),NOT(_xlfn.ISFORMULA(INDEX('Game Records'!$P:$P,$H427))),NOT(_xlfn.ISFORMULA(INDEX('Game Records'!$Q:$Q,$H427))),NOT(_xlfn.ISFORMULA(INDEX('Game Records'!$R:$R,$H427))),NOT(_xlfn.ISFORMULA(INDEX('Game Records'!$S:$S,$H427))),NOT(_xlfn.ISFORMULA(INDEX('Game Records'!$T:$T,$H427))),NOT(_xlfn.ISFORMULA(INDEX('Game Records'!$U:$U,$H427))),NOT(_xlfn.ISFORMULA(INDEX('Game Records'!$V:$V,$H427))),NOT(_xlfn.ISFORMULA(INDEX('Game Records'!$W:$W,$H427))),NOT(_xlfn.ISFORMULA(INDEX('Game Records'!$X:$X,$H427))),NOT(_xlfn.ISFORMULA(INDEX('Game Records'!$Y:$Y,$H427))),NOT(_xlfn.ISFORMULA(INDEX('Game Records'!$Z:$Z,$H427)))),"","")&amp;IF(INDEX('Game Records'!$B:$B,$H427)="","Start Date; ","")&amp;IF(INDEX('Game Records'!$C:$C,$H427)="","End Date; ","")&amp;IF(AND(INDEX('Game Records'!$U:$U,$H427)&lt;&gt;"Subscription",INDEX('Game Records'!$U:$U,$H427)&lt;&gt;"Free Game",INDEX('Game Records'!$U:$U,$H427)&lt;&gt;"Disqualified — Free Game",OR(INDEX('Game Records'!$D:$D,$H427)="",LOWER(INDEX('Game Records'!$D:$D,$H427)&amp;"")="n/a")),"Entry Mode; ","")&amp;IF(AND(INDEX('Game Records'!$U:$U,$H427)&lt;&gt;"Subscription",INDEX('Game Records'!$U:$U,$H427)&lt;&gt;"Free Game",INDEX('Game Records'!$U:$U,$H427)&lt;&gt;"Disqualified — Free Game",OR(INDEX('Game Records'!$E:$E,$H427)="",LOWER(INDEX('Game Records'!$E:$E,$H427)&amp;"")="n/a")),"Game Type; ","")&amp;IF(INDEX('Game Records'!$F:$F,$H427)="","Payment Type; ","")&amp;IF(AND(INDEX('Game Records'!$U:$U,$H427)&lt;&gt;"Subscription",INDEX('Game Records'!$U:$U,$H427)&lt;&gt;"Free Game",INDEX('Game Records'!$U:$U,$H427)&lt;&gt;"Disqualified — Free Game",INDEX('Game Records'!$G:$G,$H427)=""),"Gross Pot; ","")&amp;IF(AND(INDEX('Game Records'!$U:$U,$H427)&lt;&gt;"Free Game",INDEX('Game Records'!$U:$U,$H427)&lt;&gt;"Disqualified — Free Game",INDEX('Game Records'!$H:$H,$H427)=""),"Entry Fee; ","")&amp;IF(AND(INDEX('Game Records'!$U:$U,$H427)&lt;&gt;"Subscription",INDEX('Game Records'!$U:$U,$H427)&lt;&gt;"Free Game",INDEX('Game Records'!$U:$U,$H427)&lt;&gt;"Disqualified — Free Game",INDEX('Game Records'!$I:$I,$H427)=""),"Eligible Players; ","")&amp;IF(AND(INDEX('Game Records'!$U:$U,$H427)&lt;&gt;"Subscription",INDEX('Game Records'!$U:$U,$H427)&lt;&gt;"Free Game",INDEX('Game Records'!$U:$U,$H427)&lt;&gt;"Disqualified — Free Game",INDEX('Game Records'!$J:$J,$H427)=""),"Total Players; ","")&amp;IF(AND(LOWER(INDEX('Game Records'!$D:$D,$H427)&amp;"")="finalized",LOWER(INDEX('Game Records'!$L:$L,$H427)&amp;"")&lt;&gt;"yes",INDEX('Game Records'!$U:$U,$H427)&lt;&gt;"Subscription",INDEX('Game Records'!$U:$U,$H427)&lt;&gt;"Free Game",INDEX('Game Records'!$U:$U,$H427)&lt;&gt;"Disqualified — Free Game",INDEX('Game Records'!$K:$K,$H427)=""),"Final Payout; ","")&amp;IF(AND(LOWER(INDEX('Game Records'!$D:$D,$H427)&amp;"")="finalized",INDEX('Game Records'!$U:$U,$H427)&lt;&gt;"Subscription",INDEX('Game Records'!$U:$U,$H427)&lt;&gt;"Free Game",INDEX('Game Records'!$U:$U,$H427)&lt;&gt;"Disqualified — Free Game",OR(INDEX('Game Records'!$L:$L,$H427)="",LOWER(INDEX('Game Records'!$L:$L,$H427)&amp;"")="n/a")),"Disqualified Status; ",""))</f>
        <v/>
      </c>
      <c r="G427" s="23" t="str">
        <f t="array" ref="G427">IF($H427="","",IFERROR(INDEX('Game Records'!$M:$M,$H427),""))</f>
        <v/>
      </c>
      <c r="H427" s="3"/>
    </row>
    <row r="428" ht="24.0" customHeight="1">
      <c r="A428" s="18" t="str">
        <f t="shared" si="1"/>
        <v/>
      </c>
      <c r="B428" s="18" t="str">
        <f t="shared" si="2"/>
        <v/>
      </c>
      <c r="C428" s="23" t="str">
        <f t="array" ref="C428">IF($H428="","",IFERROR(INDEX('Game Records'!$A:$A,$H428),""))</f>
        <v/>
      </c>
      <c r="D428" s="23" t="str">
        <f t="array" ref="D428">IF($H428="","",IFERROR(INDEX('Game Records'!$U:$U,$H428),""))</f>
        <v/>
      </c>
      <c r="E428" s="23" t="str">
        <f t="array" ref="E428">IF($H428="","",LET(r,$H428,mode,LOWER(INDEX('Game Records'!$D:$D,r)&amp;""),endDate,INDEX('Game Records'!$C:$C,r),IF(mode="estimate",IF(endDate="","Estimate — End Date missing",IF(NOT(ISNUMBER(endDate)),"Estimate — Check End Date",IF(INT(endDate)&gt;=TODAY(),"In Progress — ends "&amp;TEXT(endDate,"mmm d, yyyy"),"Ready to Finalize"))),IF($F428="","No Highlighted Fields","Highlighted Fields Present"))))</f>
        <v/>
      </c>
      <c r="F428" s="23" t="str">
        <f t="array" ref="F428">IF($H428="","",IF(OR(NOT(_xlfn.ISFORMULA(INDEX('Game Records'!$N:$N,$H428))),NOT(_xlfn.ISFORMULA(INDEX('Game Records'!$O:$O,$H428))),NOT(_xlfn.ISFORMULA(INDEX('Game Records'!$P:$P,$H428))),NOT(_xlfn.ISFORMULA(INDEX('Game Records'!$Q:$Q,$H428))),NOT(_xlfn.ISFORMULA(INDEX('Game Records'!$R:$R,$H428))),NOT(_xlfn.ISFORMULA(INDEX('Game Records'!$S:$S,$H428))),NOT(_xlfn.ISFORMULA(INDEX('Game Records'!$T:$T,$H428))),NOT(_xlfn.ISFORMULA(INDEX('Game Records'!$U:$U,$H428))),NOT(_xlfn.ISFORMULA(INDEX('Game Records'!$V:$V,$H428))),NOT(_xlfn.ISFORMULA(INDEX('Game Records'!$W:$W,$H428))),NOT(_xlfn.ISFORMULA(INDEX('Game Records'!$X:$X,$H428))),NOT(_xlfn.ISFORMULA(INDEX('Game Records'!$Y:$Y,$H428))),NOT(_xlfn.ISFORMULA(INDEX('Game Records'!$Z:$Z,$H428)))),"","")&amp;IF(INDEX('Game Records'!$B:$B,$H428)="","Start Date; ","")&amp;IF(INDEX('Game Records'!$C:$C,$H428)="","End Date; ","")&amp;IF(AND(INDEX('Game Records'!$U:$U,$H428)&lt;&gt;"Subscription",INDEX('Game Records'!$U:$U,$H428)&lt;&gt;"Free Game",INDEX('Game Records'!$U:$U,$H428)&lt;&gt;"Disqualified — Free Game",OR(INDEX('Game Records'!$D:$D,$H428)="",LOWER(INDEX('Game Records'!$D:$D,$H428)&amp;"")="n/a")),"Entry Mode; ","")&amp;IF(AND(INDEX('Game Records'!$U:$U,$H428)&lt;&gt;"Subscription",INDEX('Game Records'!$U:$U,$H428)&lt;&gt;"Free Game",INDEX('Game Records'!$U:$U,$H428)&lt;&gt;"Disqualified — Free Game",OR(INDEX('Game Records'!$E:$E,$H428)="",LOWER(INDEX('Game Records'!$E:$E,$H428)&amp;"")="n/a")),"Game Type; ","")&amp;IF(INDEX('Game Records'!$F:$F,$H428)="","Payment Type; ","")&amp;IF(AND(INDEX('Game Records'!$U:$U,$H428)&lt;&gt;"Subscription",INDEX('Game Records'!$U:$U,$H428)&lt;&gt;"Free Game",INDEX('Game Records'!$U:$U,$H428)&lt;&gt;"Disqualified — Free Game",INDEX('Game Records'!$G:$G,$H428)=""),"Gross Pot; ","")&amp;IF(AND(INDEX('Game Records'!$U:$U,$H428)&lt;&gt;"Free Game",INDEX('Game Records'!$U:$U,$H428)&lt;&gt;"Disqualified — Free Game",INDEX('Game Records'!$H:$H,$H428)=""),"Entry Fee; ","")&amp;IF(AND(INDEX('Game Records'!$U:$U,$H428)&lt;&gt;"Subscription",INDEX('Game Records'!$U:$U,$H428)&lt;&gt;"Free Game",INDEX('Game Records'!$U:$U,$H428)&lt;&gt;"Disqualified — Free Game",INDEX('Game Records'!$I:$I,$H428)=""),"Eligible Players; ","")&amp;IF(AND(INDEX('Game Records'!$U:$U,$H428)&lt;&gt;"Subscription",INDEX('Game Records'!$U:$U,$H428)&lt;&gt;"Free Game",INDEX('Game Records'!$U:$U,$H428)&lt;&gt;"Disqualified — Free Game",INDEX('Game Records'!$J:$J,$H428)=""),"Total Players; ","")&amp;IF(AND(LOWER(INDEX('Game Records'!$D:$D,$H428)&amp;"")="finalized",LOWER(INDEX('Game Records'!$L:$L,$H428)&amp;"")&lt;&gt;"yes",INDEX('Game Records'!$U:$U,$H428)&lt;&gt;"Subscription",INDEX('Game Records'!$U:$U,$H428)&lt;&gt;"Free Game",INDEX('Game Records'!$U:$U,$H428)&lt;&gt;"Disqualified — Free Game",INDEX('Game Records'!$K:$K,$H428)=""),"Final Payout; ","")&amp;IF(AND(LOWER(INDEX('Game Records'!$D:$D,$H428)&amp;"")="finalized",INDEX('Game Records'!$U:$U,$H428)&lt;&gt;"Subscription",INDEX('Game Records'!$U:$U,$H428)&lt;&gt;"Free Game",INDEX('Game Records'!$U:$U,$H428)&lt;&gt;"Disqualified — Free Game",OR(INDEX('Game Records'!$L:$L,$H428)="",LOWER(INDEX('Game Records'!$L:$L,$H428)&amp;"")="n/a")),"Disqualified Status; ",""))</f>
        <v/>
      </c>
      <c r="G428" s="23" t="str">
        <f t="array" ref="G428">IF($H428="","",IFERROR(INDEX('Game Records'!$M:$M,$H428),""))</f>
        <v/>
      </c>
      <c r="H428" s="3"/>
    </row>
    <row r="429" ht="24.0" customHeight="1">
      <c r="A429" s="18" t="str">
        <f t="shared" si="1"/>
        <v/>
      </c>
      <c r="B429" s="18" t="str">
        <f t="shared" si="2"/>
        <v/>
      </c>
      <c r="C429" s="23" t="str">
        <f t="array" ref="C429">IF($H429="","",IFERROR(INDEX('Game Records'!$A:$A,$H429),""))</f>
        <v/>
      </c>
      <c r="D429" s="23" t="str">
        <f t="array" ref="D429">IF($H429="","",IFERROR(INDEX('Game Records'!$U:$U,$H429),""))</f>
        <v/>
      </c>
      <c r="E429" s="23" t="str">
        <f t="array" ref="E429">IF($H429="","",LET(r,$H429,mode,LOWER(INDEX('Game Records'!$D:$D,r)&amp;""),endDate,INDEX('Game Records'!$C:$C,r),IF(mode="estimate",IF(endDate="","Estimate — End Date missing",IF(NOT(ISNUMBER(endDate)),"Estimate — Check End Date",IF(INT(endDate)&gt;=TODAY(),"In Progress — ends "&amp;TEXT(endDate,"mmm d, yyyy"),"Ready to Finalize"))),IF($F429="","No Highlighted Fields","Highlighted Fields Present"))))</f>
        <v/>
      </c>
      <c r="F429" s="23" t="str">
        <f t="array" ref="F429">IF($H429="","",IF(OR(NOT(_xlfn.ISFORMULA(INDEX('Game Records'!$N:$N,$H429))),NOT(_xlfn.ISFORMULA(INDEX('Game Records'!$O:$O,$H429))),NOT(_xlfn.ISFORMULA(INDEX('Game Records'!$P:$P,$H429))),NOT(_xlfn.ISFORMULA(INDEX('Game Records'!$Q:$Q,$H429))),NOT(_xlfn.ISFORMULA(INDEX('Game Records'!$R:$R,$H429))),NOT(_xlfn.ISFORMULA(INDEX('Game Records'!$S:$S,$H429))),NOT(_xlfn.ISFORMULA(INDEX('Game Records'!$T:$T,$H429))),NOT(_xlfn.ISFORMULA(INDEX('Game Records'!$U:$U,$H429))),NOT(_xlfn.ISFORMULA(INDEX('Game Records'!$V:$V,$H429))),NOT(_xlfn.ISFORMULA(INDEX('Game Records'!$W:$W,$H429))),NOT(_xlfn.ISFORMULA(INDEX('Game Records'!$X:$X,$H429))),NOT(_xlfn.ISFORMULA(INDEX('Game Records'!$Y:$Y,$H429))),NOT(_xlfn.ISFORMULA(INDEX('Game Records'!$Z:$Z,$H429)))),"","")&amp;IF(INDEX('Game Records'!$B:$B,$H429)="","Start Date; ","")&amp;IF(INDEX('Game Records'!$C:$C,$H429)="","End Date; ","")&amp;IF(AND(INDEX('Game Records'!$U:$U,$H429)&lt;&gt;"Subscription",INDEX('Game Records'!$U:$U,$H429)&lt;&gt;"Free Game",INDEX('Game Records'!$U:$U,$H429)&lt;&gt;"Disqualified — Free Game",OR(INDEX('Game Records'!$D:$D,$H429)="",LOWER(INDEX('Game Records'!$D:$D,$H429)&amp;"")="n/a")),"Entry Mode; ","")&amp;IF(AND(INDEX('Game Records'!$U:$U,$H429)&lt;&gt;"Subscription",INDEX('Game Records'!$U:$U,$H429)&lt;&gt;"Free Game",INDEX('Game Records'!$U:$U,$H429)&lt;&gt;"Disqualified — Free Game",OR(INDEX('Game Records'!$E:$E,$H429)="",LOWER(INDEX('Game Records'!$E:$E,$H429)&amp;"")="n/a")),"Game Type; ","")&amp;IF(INDEX('Game Records'!$F:$F,$H429)="","Payment Type; ","")&amp;IF(AND(INDEX('Game Records'!$U:$U,$H429)&lt;&gt;"Subscription",INDEX('Game Records'!$U:$U,$H429)&lt;&gt;"Free Game",INDEX('Game Records'!$U:$U,$H429)&lt;&gt;"Disqualified — Free Game",INDEX('Game Records'!$G:$G,$H429)=""),"Gross Pot; ","")&amp;IF(AND(INDEX('Game Records'!$U:$U,$H429)&lt;&gt;"Free Game",INDEX('Game Records'!$U:$U,$H429)&lt;&gt;"Disqualified — Free Game",INDEX('Game Records'!$H:$H,$H429)=""),"Entry Fee; ","")&amp;IF(AND(INDEX('Game Records'!$U:$U,$H429)&lt;&gt;"Subscription",INDEX('Game Records'!$U:$U,$H429)&lt;&gt;"Free Game",INDEX('Game Records'!$U:$U,$H429)&lt;&gt;"Disqualified — Free Game",INDEX('Game Records'!$I:$I,$H429)=""),"Eligible Players; ","")&amp;IF(AND(INDEX('Game Records'!$U:$U,$H429)&lt;&gt;"Subscription",INDEX('Game Records'!$U:$U,$H429)&lt;&gt;"Free Game",INDEX('Game Records'!$U:$U,$H429)&lt;&gt;"Disqualified — Free Game",INDEX('Game Records'!$J:$J,$H429)=""),"Total Players; ","")&amp;IF(AND(LOWER(INDEX('Game Records'!$D:$D,$H429)&amp;"")="finalized",LOWER(INDEX('Game Records'!$L:$L,$H429)&amp;"")&lt;&gt;"yes",INDEX('Game Records'!$U:$U,$H429)&lt;&gt;"Subscription",INDEX('Game Records'!$U:$U,$H429)&lt;&gt;"Free Game",INDEX('Game Records'!$U:$U,$H429)&lt;&gt;"Disqualified — Free Game",INDEX('Game Records'!$K:$K,$H429)=""),"Final Payout; ","")&amp;IF(AND(LOWER(INDEX('Game Records'!$D:$D,$H429)&amp;"")="finalized",INDEX('Game Records'!$U:$U,$H429)&lt;&gt;"Subscription",INDEX('Game Records'!$U:$U,$H429)&lt;&gt;"Free Game",INDEX('Game Records'!$U:$U,$H429)&lt;&gt;"Disqualified — Free Game",OR(INDEX('Game Records'!$L:$L,$H429)="",LOWER(INDEX('Game Records'!$L:$L,$H429)&amp;"")="n/a")),"Disqualified Status; ",""))</f>
        <v/>
      </c>
      <c r="G429" s="23" t="str">
        <f t="array" ref="G429">IF($H429="","",IFERROR(INDEX('Game Records'!$M:$M,$H429),""))</f>
        <v/>
      </c>
      <c r="H429" s="3"/>
    </row>
    <row r="430" ht="24.0" customHeight="1">
      <c r="A430" s="18" t="str">
        <f t="shared" si="1"/>
        <v/>
      </c>
      <c r="B430" s="18" t="str">
        <f t="shared" si="2"/>
        <v/>
      </c>
      <c r="C430" s="23" t="str">
        <f t="array" ref="C430">IF($H430="","",IFERROR(INDEX('Game Records'!$A:$A,$H430),""))</f>
        <v/>
      </c>
      <c r="D430" s="23" t="str">
        <f t="array" ref="D430">IF($H430="","",IFERROR(INDEX('Game Records'!$U:$U,$H430),""))</f>
        <v/>
      </c>
      <c r="E430" s="23" t="str">
        <f t="array" ref="E430">IF($H430="","",LET(r,$H430,mode,LOWER(INDEX('Game Records'!$D:$D,r)&amp;""),endDate,INDEX('Game Records'!$C:$C,r),IF(mode="estimate",IF(endDate="","Estimate — End Date missing",IF(NOT(ISNUMBER(endDate)),"Estimate — Check End Date",IF(INT(endDate)&gt;=TODAY(),"In Progress — ends "&amp;TEXT(endDate,"mmm d, yyyy"),"Ready to Finalize"))),IF($F430="","No Highlighted Fields","Highlighted Fields Present"))))</f>
        <v/>
      </c>
      <c r="F430" s="23" t="str">
        <f t="array" ref="F430">IF($H430="","",IF(OR(NOT(_xlfn.ISFORMULA(INDEX('Game Records'!$N:$N,$H430))),NOT(_xlfn.ISFORMULA(INDEX('Game Records'!$O:$O,$H430))),NOT(_xlfn.ISFORMULA(INDEX('Game Records'!$P:$P,$H430))),NOT(_xlfn.ISFORMULA(INDEX('Game Records'!$Q:$Q,$H430))),NOT(_xlfn.ISFORMULA(INDEX('Game Records'!$R:$R,$H430))),NOT(_xlfn.ISFORMULA(INDEX('Game Records'!$S:$S,$H430))),NOT(_xlfn.ISFORMULA(INDEX('Game Records'!$T:$T,$H430))),NOT(_xlfn.ISFORMULA(INDEX('Game Records'!$U:$U,$H430))),NOT(_xlfn.ISFORMULA(INDEX('Game Records'!$V:$V,$H430))),NOT(_xlfn.ISFORMULA(INDEX('Game Records'!$W:$W,$H430))),NOT(_xlfn.ISFORMULA(INDEX('Game Records'!$X:$X,$H430))),NOT(_xlfn.ISFORMULA(INDEX('Game Records'!$Y:$Y,$H430))),NOT(_xlfn.ISFORMULA(INDEX('Game Records'!$Z:$Z,$H430)))),"","")&amp;IF(INDEX('Game Records'!$B:$B,$H430)="","Start Date; ","")&amp;IF(INDEX('Game Records'!$C:$C,$H430)="","End Date; ","")&amp;IF(AND(INDEX('Game Records'!$U:$U,$H430)&lt;&gt;"Subscription",INDEX('Game Records'!$U:$U,$H430)&lt;&gt;"Free Game",INDEX('Game Records'!$U:$U,$H430)&lt;&gt;"Disqualified — Free Game",OR(INDEX('Game Records'!$D:$D,$H430)="",LOWER(INDEX('Game Records'!$D:$D,$H430)&amp;"")="n/a")),"Entry Mode; ","")&amp;IF(AND(INDEX('Game Records'!$U:$U,$H430)&lt;&gt;"Subscription",INDEX('Game Records'!$U:$U,$H430)&lt;&gt;"Free Game",INDEX('Game Records'!$U:$U,$H430)&lt;&gt;"Disqualified — Free Game",OR(INDEX('Game Records'!$E:$E,$H430)="",LOWER(INDEX('Game Records'!$E:$E,$H430)&amp;"")="n/a")),"Game Type; ","")&amp;IF(INDEX('Game Records'!$F:$F,$H430)="","Payment Type; ","")&amp;IF(AND(INDEX('Game Records'!$U:$U,$H430)&lt;&gt;"Subscription",INDEX('Game Records'!$U:$U,$H430)&lt;&gt;"Free Game",INDEX('Game Records'!$U:$U,$H430)&lt;&gt;"Disqualified — Free Game",INDEX('Game Records'!$G:$G,$H430)=""),"Gross Pot; ","")&amp;IF(AND(INDEX('Game Records'!$U:$U,$H430)&lt;&gt;"Free Game",INDEX('Game Records'!$U:$U,$H430)&lt;&gt;"Disqualified — Free Game",INDEX('Game Records'!$H:$H,$H430)=""),"Entry Fee; ","")&amp;IF(AND(INDEX('Game Records'!$U:$U,$H430)&lt;&gt;"Subscription",INDEX('Game Records'!$U:$U,$H430)&lt;&gt;"Free Game",INDEX('Game Records'!$U:$U,$H430)&lt;&gt;"Disqualified — Free Game",INDEX('Game Records'!$I:$I,$H430)=""),"Eligible Players; ","")&amp;IF(AND(INDEX('Game Records'!$U:$U,$H430)&lt;&gt;"Subscription",INDEX('Game Records'!$U:$U,$H430)&lt;&gt;"Free Game",INDEX('Game Records'!$U:$U,$H430)&lt;&gt;"Disqualified — Free Game",INDEX('Game Records'!$J:$J,$H430)=""),"Total Players; ","")&amp;IF(AND(LOWER(INDEX('Game Records'!$D:$D,$H430)&amp;"")="finalized",LOWER(INDEX('Game Records'!$L:$L,$H430)&amp;"")&lt;&gt;"yes",INDEX('Game Records'!$U:$U,$H430)&lt;&gt;"Subscription",INDEX('Game Records'!$U:$U,$H430)&lt;&gt;"Free Game",INDEX('Game Records'!$U:$U,$H430)&lt;&gt;"Disqualified — Free Game",INDEX('Game Records'!$K:$K,$H430)=""),"Final Payout; ","")&amp;IF(AND(LOWER(INDEX('Game Records'!$D:$D,$H430)&amp;"")="finalized",INDEX('Game Records'!$U:$U,$H430)&lt;&gt;"Subscription",INDEX('Game Records'!$U:$U,$H430)&lt;&gt;"Free Game",INDEX('Game Records'!$U:$U,$H430)&lt;&gt;"Disqualified — Free Game",OR(INDEX('Game Records'!$L:$L,$H430)="",LOWER(INDEX('Game Records'!$L:$L,$H430)&amp;"")="n/a")),"Disqualified Status; ",""))</f>
        <v/>
      </c>
      <c r="G430" s="23" t="str">
        <f t="array" ref="G430">IF($H430="","",IFERROR(INDEX('Game Records'!$M:$M,$H430),""))</f>
        <v/>
      </c>
      <c r="H430" s="3"/>
    </row>
    <row r="431" ht="24.0" customHeight="1">
      <c r="A431" s="18" t="str">
        <f t="shared" si="1"/>
        <v/>
      </c>
      <c r="B431" s="18" t="str">
        <f t="shared" si="2"/>
        <v/>
      </c>
      <c r="C431" s="23" t="str">
        <f t="array" ref="C431">IF($H431="","",IFERROR(INDEX('Game Records'!$A:$A,$H431),""))</f>
        <v/>
      </c>
      <c r="D431" s="23" t="str">
        <f t="array" ref="D431">IF($H431="","",IFERROR(INDEX('Game Records'!$U:$U,$H431),""))</f>
        <v/>
      </c>
      <c r="E431" s="23" t="str">
        <f t="array" ref="E431">IF($H431="","",LET(r,$H431,mode,LOWER(INDEX('Game Records'!$D:$D,r)&amp;""),endDate,INDEX('Game Records'!$C:$C,r),IF(mode="estimate",IF(endDate="","Estimate — End Date missing",IF(NOT(ISNUMBER(endDate)),"Estimate — Check End Date",IF(INT(endDate)&gt;=TODAY(),"In Progress — ends "&amp;TEXT(endDate,"mmm d, yyyy"),"Ready to Finalize"))),IF($F431="","No Highlighted Fields","Highlighted Fields Present"))))</f>
        <v/>
      </c>
      <c r="F431" s="23" t="str">
        <f t="array" ref="F431">IF($H431="","",IF(OR(NOT(_xlfn.ISFORMULA(INDEX('Game Records'!$N:$N,$H431))),NOT(_xlfn.ISFORMULA(INDEX('Game Records'!$O:$O,$H431))),NOT(_xlfn.ISFORMULA(INDEX('Game Records'!$P:$P,$H431))),NOT(_xlfn.ISFORMULA(INDEX('Game Records'!$Q:$Q,$H431))),NOT(_xlfn.ISFORMULA(INDEX('Game Records'!$R:$R,$H431))),NOT(_xlfn.ISFORMULA(INDEX('Game Records'!$S:$S,$H431))),NOT(_xlfn.ISFORMULA(INDEX('Game Records'!$T:$T,$H431))),NOT(_xlfn.ISFORMULA(INDEX('Game Records'!$U:$U,$H431))),NOT(_xlfn.ISFORMULA(INDEX('Game Records'!$V:$V,$H431))),NOT(_xlfn.ISFORMULA(INDEX('Game Records'!$W:$W,$H431))),NOT(_xlfn.ISFORMULA(INDEX('Game Records'!$X:$X,$H431))),NOT(_xlfn.ISFORMULA(INDEX('Game Records'!$Y:$Y,$H431))),NOT(_xlfn.ISFORMULA(INDEX('Game Records'!$Z:$Z,$H431)))),"","")&amp;IF(INDEX('Game Records'!$B:$B,$H431)="","Start Date; ","")&amp;IF(INDEX('Game Records'!$C:$C,$H431)="","End Date; ","")&amp;IF(AND(INDEX('Game Records'!$U:$U,$H431)&lt;&gt;"Subscription",INDEX('Game Records'!$U:$U,$H431)&lt;&gt;"Free Game",INDEX('Game Records'!$U:$U,$H431)&lt;&gt;"Disqualified — Free Game",OR(INDEX('Game Records'!$D:$D,$H431)="",LOWER(INDEX('Game Records'!$D:$D,$H431)&amp;"")="n/a")),"Entry Mode; ","")&amp;IF(AND(INDEX('Game Records'!$U:$U,$H431)&lt;&gt;"Subscription",INDEX('Game Records'!$U:$U,$H431)&lt;&gt;"Free Game",INDEX('Game Records'!$U:$U,$H431)&lt;&gt;"Disqualified — Free Game",OR(INDEX('Game Records'!$E:$E,$H431)="",LOWER(INDEX('Game Records'!$E:$E,$H431)&amp;"")="n/a")),"Game Type; ","")&amp;IF(INDEX('Game Records'!$F:$F,$H431)="","Payment Type; ","")&amp;IF(AND(INDEX('Game Records'!$U:$U,$H431)&lt;&gt;"Subscription",INDEX('Game Records'!$U:$U,$H431)&lt;&gt;"Free Game",INDEX('Game Records'!$U:$U,$H431)&lt;&gt;"Disqualified — Free Game",INDEX('Game Records'!$G:$G,$H431)=""),"Gross Pot; ","")&amp;IF(AND(INDEX('Game Records'!$U:$U,$H431)&lt;&gt;"Free Game",INDEX('Game Records'!$U:$U,$H431)&lt;&gt;"Disqualified — Free Game",INDEX('Game Records'!$H:$H,$H431)=""),"Entry Fee; ","")&amp;IF(AND(INDEX('Game Records'!$U:$U,$H431)&lt;&gt;"Subscription",INDEX('Game Records'!$U:$U,$H431)&lt;&gt;"Free Game",INDEX('Game Records'!$U:$U,$H431)&lt;&gt;"Disqualified — Free Game",INDEX('Game Records'!$I:$I,$H431)=""),"Eligible Players; ","")&amp;IF(AND(INDEX('Game Records'!$U:$U,$H431)&lt;&gt;"Subscription",INDEX('Game Records'!$U:$U,$H431)&lt;&gt;"Free Game",INDEX('Game Records'!$U:$U,$H431)&lt;&gt;"Disqualified — Free Game",INDEX('Game Records'!$J:$J,$H431)=""),"Total Players; ","")&amp;IF(AND(LOWER(INDEX('Game Records'!$D:$D,$H431)&amp;"")="finalized",LOWER(INDEX('Game Records'!$L:$L,$H431)&amp;"")&lt;&gt;"yes",INDEX('Game Records'!$U:$U,$H431)&lt;&gt;"Subscription",INDEX('Game Records'!$U:$U,$H431)&lt;&gt;"Free Game",INDEX('Game Records'!$U:$U,$H431)&lt;&gt;"Disqualified — Free Game",INDEX('Game Records'!$K:$K,$H431)=""),"Final Payout; ","")&amp;IF(AND(LOWER(INDEX('Game Records'!$D:$D,$H431)&amp;"")="finalized",INDEX('Game Records'!$U:$U,$H431)&lt;&gt;"Subscription",INDEX('Game Records'!$U:$U,$H431)&lt;&gt;"Free Game",INDEX('Game Records'!$U:$U,$H431)&lt;&gt;"Disqualified — Free Game",OR(INDEX('Game Records'!$L:$L,$H431)="",LOWER(INDEX('Game Records'!$L:$L,$H431)&amp;"")="n/a")),"Disqualified Status; ",""))</f>
        <v/>
      </c>
      <c r="G431" s="23" t="str">
        <f t="array" ref="G431">IF($H431="","",IFERROR(INDEX('Game Records'!$M:$M,$H431),""))</f>
        <v/>
      </c>
      <c r="H431" s="3"/>
    </row>
    <row r="432" ht="24.0" customHeight="1">
      <c r="A432" s="18" t="str">
        <f t="shared" si="1"/>
        <v/>
      </c>
      <c r="B432" s="18" t="str">
        <f t="shared" si="2"/>
        <v/>
      </c>
      <c r="C432" s="23" t="str">
        <f t="array" ref="C432">IF($H432="","",IFERROR(INDEX('Game Records'!$A:$A,$H432),""))</f>
        <v/>
      </c>
      <c r="D432" s="23" t="str">
        <f t="array" ref="D432">IF($H432="","",IFERROR(INDEX('Game Records'!$U:$U,$H432),""))</f>
        <v/>
      </c>
      <c r="E432" s="23" t="str">
        <f t="array" ref="E432">IF($H432="","",LET(r,$H432,mode,LOWER(INDEX('Game Records'!$D:$D,r)&amp;""),endDate,INDEX('Game Records'!$C:$C,r),IF(mode="estimate",IF(endDate="","Estimate — End Date missing",IF(NOT(ISNUMBER(endDate)),"Estimate — Check End Date",IF(INT(endDate)&gt;=TODAY(),"In Progress — ends "&amp;TEXT(endDate,"mmm d, yyyy"),"Ready to Finalize"))),IF($F432="","No Highlighted Fields","Highlighted Fields Present"))))</f>
        <v/>
      </c>
      <c r="F432" s="23" t="str">
        <f t="array" ref="F432">IF($H432="","",IF(OR(NOT(_xlfn.ISFORMULA(INDEX('Game Records'!$N:$N,$H432))),NOT(_xlfn.ISFORMULA(INDEX('Game Records'!$O:$O,$H432))),NOT(_xlfn.ISFORMULA(INDEX('Game Records'!$P:$P,$H432))),NOT(_xlfn.ISFORMULA(INDEX('Game Records'!$Q:$Q,$H432))),NOT(_xlfn.ISFORMULA(INDEX('Game Records'!$R:$R,$H432))),NOT(_xlfn.ISFORMULA(INDEX('Game Records'!$S:$S,$H432))),NOT(_xlfn.ISFORMULA(INDEX('Game Records'!$T:$T,$H432))),NOT(_xlfn.ISFORMULA(INDEX('Game Records'!$U:$U,$H432))),NOT(_xlfn.ISFORMULA(INDEX('Game Records'!$V:$V,$H432))),NOT(_xlfn.ISFORMULA(INDEX('Game Records'!$W:$W,$H432))),NOT(_xlfn.ISFORMULA(INDEX('Game Records'!$X:$X,$H432))),NOT(_xlfn.ISFORMULA(INDEX('Game Records'!$Y:$Y,$H432))),NOT(_xlfn.ISFORMULA(INDEX('Game Records'!$Z:$Z,$H432)))),"","")&amp;IF(INDEX('Game Records'!$B:$B,$H432)="","Start Date; ","")&amp;IF(INDEX('Game Records'!$C:$C,$H432)="","End Date; ","")&amp;IF(AND(INDEX('Game Records'!$U:$U,$H432)&lt;&gt;"Subscription",INDEX('Game Records'!$U:$U,$H432)&lt;&gt;"Free Game",INDEX('Game Records'!$U:$U,$H432)&lt;&gt;"Disqualified — Free Game",OR(INDEX('Game Records'!$D:$D,$H432)="",LOWER(INDEX('Game Records'!$D:$D,$H432)&amp;"")="n/a")),"Entry Mode; ","")&amp;IF(AND(INDEX('Game Records'!$U:$U,$H432)&lt;&gt;"Subscription",INDEX('Game Records'!$U:$U,$H432)&lt;&gt;"Free Game",INDEX('Game Records'!$U:$U,$H432)&lt;&gt;"Disqualified — Free Game",OR(INDEX('Game Records'!$E:$E,$H432)="",LOWER(INDEX('Game Records'!$E:$E,$H432)&amp;"")="n/a")),"Game Type; ","")&amp;IF(INDEX('Game Records'!$F:$F,$H432)="","Payment Type; ","")&amp;IF(AND(INDEX('Game Records'!$U:$U,$H432)&lt;&gt;"Subscription",INDEX('Game Records'!$U:$U,$H432)&lt;&gt;"Free Game",INDEX('Game Records'!$U:$U,$H432)&lt;&gt;"Disqualified — Free Game",INDEX('Game Records'!$G:$G,$H432)=""),"Gross Pot; ","")&amp;IF(AND(INDEX('Game Records'!$U:$U,$H432)&lt;&gt;"Free Game",INDEX('Game Records'!$U:$U,$H432)&lt;&gt;"Disqualified — Free Game",INDEX('Game Records'!$H:$H,$H432)=""),"Entry Fee; ","")&amp;IF(AND(INDEX('Game Records'!$U:$U,$H432)&lt;&gt;"Subscription",INDEX('Game Records'!$U:$U,$H432)&lt;&gt;"Free Game",INDEX('Game Records'!$U:$U,$H432)&lt;&gt;"Disqualified — Free Game",INDEX('Game Records'!$I:$I,$H432)=""),"Eligible Players; ","")&amp;IF(AND(INDEX('Game Records'!$U:$U,$H432)&lt;&gt;"Subscription",INDEX('Game Records'!$U:$U,$H432)&lt;&gt;"Free Game",INDEX('Game Records'!$U:$U,$H432)&lt;&gt;"Disqualified — Free Game",INDEX('Game Records'!$J:$J,$H432)=""),"Total Players; ","")&amp;IF(AND(LOWER(INDEX('Game Records'!$D:$D,$H432)&amp;"")="finalized",LOWER(INDEX('Game Records'!$L:$L,$H432)&amp;"")&lt;&gt;"yes",INDEX('Game Records'!$U:$U,$H432)&lt;&gt;"Subscription",INDEX('Game Records'!$U:$U,$H432)&lt;&gt;"Free Game",INDEX('Game Records'!$U:$U,$H432)&lt;&gt;"Disqualified — Free Game",INDEX('Game Records'!$K:$K,$H432)=""),"Final Payout; ","")&amp;IF(AND(LOWER(INDEX('Game Records'!$D:$D,$H432)&amp;"")="finalized",INDEX('Game Records'!$U:$U,$H432)&lt;&gt;"Subscription",INDEX('Game Records'!$U:$U,$H432)&lt;&gt;"Free Game",INDEX('Game Records'!$U:$U,$H432)&lt;&gt;"Disqualified — Free Game",OR(INDEX('Game Records'!$L:$L,$H432)="",LOWER(INDEX('Game Records'!$L:$L,$H432)&amp;"")="n/a")),"Disqualified Status; ",""))</f>
        <v/>
      </c>
      <c r="G432" s="23" t="str">
        <f t="array" ref="G432">IF($H432="","",IFERROR(INDEX('Game Records'!$M:$M,$H432),""))</f>
        <v/>
      </c>
      <c r="H432" s="3"/>
    </row>
    <row r="433" ht="24.0" customHeight="1">
      <c r="A433" s="18" t="str">
        <f t="shared" si="1"/>
        <v/>
      </c>
      <c r="B433" s="18" t="str">
        <f t="shared" si="2"/>
        <v/>
      </c>
      <c r="C433" s="23" t="str">
        <f t="array" ref="C433">IF($H433="","",IFERROR(INDEX('Game Records'!$A:$A,$H433),""))</f>
        <v/>
      </c>
      <c r="D433" s="23" t="str">
        <f t="array" ref="D433">IF($H433="","",IFERROR(INDEX('Game Records'!$U:$U,$H433),""))</f>
        <v/>
      </c>
      <c r="E433" s="23" t="str">
        <f t="array" ref="E433">IF($H433="","",LET(r,$H433,mode,LOWER(INDEX('Game Records'!$D:$D,r)&amp;""),endDate,INDEX('Game Records'!$C:$C,r),IF(mode="estimate",IF(endDate="","Estimate — End Date missing",IF(NOT(ISNUMBER(endDate)),"Estimate — Check End Date",IF(INT(endDate)&gt;=TODAY(),"In Progress — ends "&amp;TEXT(endDate,"mmm d, yyyy"),"Ready to Finalize"))),IF($F433="","No Highlighted Fields","Highlighted Fields Present"))))</f>
        <v/>
      </c>
      <c r="F433" s="23" t="str">
        <f t="array" ref="F433">IF($H433="","",IF(OR(NOT(_xlfn.ISFORMULA(INDEX('Game Records'!$N:$N,$H433))),NOT(_xlfn.ISFORMULA(INDEX('Game Records'!$O:$O,$H433))),NOT(_xlfn.ISFORMULA(INDEX('Game Records'!$P:$P,$H433))),NOT(_xlfn.ISFORMULA(INDEX('Game Records'!$Q:$Q,$H433))),NOT(_xlfn.ISFORMULA(INDEX('Game Records'!$R:$R,$H433))),NOT(_xlfn.ISFORMULA(INDEX('Game Records'!$S:$S,$H433))),NOT(_xlfn.ISFORMULA(INDEX('Game Records'!$T:$T,$H433))),NOT(_xlfn.ISFORMULA(INDEX('Game Records'!$U:$U,$H433))),NOT(_xlfn.ISFORMULA(INDEX('Game Records'!$V:$V,$H433))),NOT(_xlfn.ISFORMULA(INDEX('Game Records'!$W:$W,$H433))),NOT(_xlfn.ISFORMULA(INDEX('Game Records'!$X:$X,$H433))),NOT(_xlfn.ISFORMULA(INDEX('Game Records'!$Y:$Y,$H433))),NOT(_xlfn.ISFORMULA(INDEX('Game Records'!$Z:$Z,$H433)))),"","")&amp;IF(INDEX('Game Records'!$B:$B,$H433)="","Start Date; ","")&amp;IF(INDEX('Game Records'!$C:$C,$H433)="","End Date; ","")&amp;IF(AND(INDEX('Game Records'!$U:$U,$H433)&lt;&gt;"Subscription",INDEX('Game Records'!$U:$U,$H433)&lt;&gt;"Free Game",INDEX('Game Records'!$U:$U,$H433)&lt;&gt;"Disqualified — Free Game",OR(INDEX('Game Records'!$D:$D,$H433)="",LOWER(INDEX('Game Records'!$D:$D,$H433)&amp;"")="n/a")),"Entry Mode; ","")&amp;IF(AND(INDEX('Game Records'!$U:$U,$H433)&lt;&gt;"Subscription",INDEX('Game Records'!$U:$U,$H433)&lt;&gt;"Free Game",INDEX('Game Records'!$U:$U,$H433)&lt;&gt;"Disqualified — Free Game",OR(INDEX('Game Records'!$E:$E,$H433)="",LOWER(INDEX('Game Records'!$E:$E,$H433)&amp;"")="n/a")),"Game Type; ","")&amp;IF(INDEX('Game Records'!$F:$F,$H433)="","Payment Type; ","")&amp;IF(AND(INDEX('Game Records'!$U:$U,$H433)&lt;&gt;"Subscription",INDEX('Game Records'!$U:$U,$H433)&lt;&gt;"Free Game",INDEX('Game Records'!$U:$U,$H433)&lt;&gt;"Disqualified — Free Game",INDEX('Game Records'!$G:$G,$H433)=""),"Gross Pot; ","")&amp;IF(AND(INDEX('Game Records'!$U:$U,$H433)&lt;&gt;"Free Game",INDEX('Game Records'!$U:$U,$H433)&lt;&gt;"Disqualified — Free Game",INDEX('Game Records'!$H:$H,$H433)=""),"Entry Fee; ","")&amp;IF(AND(INDEX('Game Records'!$U:$U,$H433)&lt;&gt;"Subscription",INDEX('Game Records'!$U:$U,$H433)&lt;&gt;"Free Game",INDEX('Game Records'!$U:$U,$H433)&lt;&gt;"Disqualified — Free Game",INDEX('Game Records'!$I:$I,$H433)=""),"Eligible Players; ","")&amp;IF(AND(INDEX('Game Records'!$U:$U,$H433)&lt;&gt;"Subscription",INDEX('Game Records'!$U:$U,$H433)&lt;&gt;"Free Game",INDEX('Game Records'!$U:$U,$H433)&lt;&gt;"Disqualified — Free Game",INDEX('Game Records'!$J:$J,$H433)=""),"Total Players; ","")&amp;IF(AND(LOWER(INDEX('Game Records'!$D:$D,$H433)&amp;"")="finalized",LOWER(INDEX('Game Records'!$L:$L,$H433)&amp;"")&lt;&gt;"yes",INDEX('Game Records'!$U:$U,$H433)&lt;&gt;"Subscription",INDEX('Game Records'!$U:$U,$H433)&lt;&gt;"Free Game",INDEX('Game Records'!$U:$U,$H433)&lt;&gt;"Disqualified — Free Game",INDEX('Game Records'!$K:$K,$H433)=""),"Final Payout; ","")&amp;IF(AND(LOWER(INDEX('Game Records'!$D:$D,$H433)&amp;"")="finalized",INDEX('Game Records'!$U:$U,$H433)&lt;&gt;"Subscription",INDEX('Game Records'!$U:$U,$H433)&lt;&gt;"Free Game",INDEX('Game Records'!$U:$U,$H433)&lt;&gt;"Disqualified — Free Game",OR(INDEX('Game Records'!$L:$L,$H433)="",LOWER(INDEX('Game Records'!$L:$L,$H433)&amp;"")="n/a")),"Disqualified Status; ",""))</f>
        <v/>
      </c>
      <c r="G433" s="23" t="str">
        <f t="array" ref="G433">IF($H433="","",IFERROR(INDEX('Game Records'!$M:$M,$H433),""))</f>
        <v/>
      </c>
      <c r="H433" s="3"/>
    </row>
    <row r="434" ht="24.0" customHeight="1">
      <c r="A434" s="18" t="str">
        <f t="shared" si="1"/>
        <v/>
      </c>
      <c r="B434" s="18" t="str">
        <f t="shared" si="2"/>
        <v/>
      </c>
      <c r="C434" s="23" t="str">
        <f t="array" ref="C434">IF($H434="","",IFERROR(INDEX('Game Records'!$A:$A,$H434),""))</f>
        <v/>
      </c>
      <c r="D434" s="23" t="str">
        <f t="array" ref="D434">IF($H434="","",IFERROR(INDEX('Game Records'!$U:$U,$H434),""))</f>
        <v/>
      </c>
      <c r="E434" s="23" t="str">
        <f t="array" ref="E434">IF($H434="","",LET(r,$H434,mode,LOWER(INDEX('Game Records'!$D:$D,r)&amp;""),endDate,INDEX('Game Records'!$C:$C,r),IF(mode="estimate",IF(endDate="","Estimate — End Date missing",IF(NOT(ISNUMBER(endDate)),"Estimate — Check End Date",IF(INT(endDate)&gt;=TODAY(),"In Progress — ends "&amp;TEXT(endDate,"mmm d, yyyy"),"Ready to Finalize"))),IF($F434="","No Highlighted Fields","Highlighted Fields Present"))))</f>
        <v/>
      </c>
      <c r="F434" s="23" t="str">
        <f t="array" ref="F434">IF($H434="","",IF(OR(NOT(_xlfn.ISFORMULA(INDEX('Game Records'!$N:$N,$H434))),NOT(_xlfn.ISFORMULA(INDEX('Game Records'!$O:$O,$H434))),NOT(_xlfn.ISFORMULA(INDEX('Game Records'!$P:$P,$H434))),NOT(_xlfn.ISFORMULA(INDEX('Game Records'!$Q:$Q,$H434))),NOT(_xlfn.ISFORMULA(INDEX('Game Records'!$R:$R,$H434))),NOT(_xlfn.ISFORMULA(INDEX('Game Records'!$S:$S,$H434))),NOT(_xlfn.ISFORMULA(INDEX('Game Records'!$T:$T,$H434))),NOT(_xlfn.ISFORMULA(INDEX('Game Records'!$U:$U,$H434))),NOT(_xlfn.ISFORMULA(INDEX('Game Records'!$V:$V,$H434))),NOT(_xlfn.ISFORMULA(INDEX('Game Records'!$W:$W,$H434))),NOT(_xlfn.ISFORMULA(INDEX('Game Records'!$X:$X,$H434))),NOT(_xlfn.ISFORMULA(INDEX('Game Records'!$Y:$Y,$H434))),NOT(_xlfn.ISFORMULA(INDEX('Game Records'!$Z:$Z,$H434)))),"","")&amp;IF(INDEX('Game Records'!$B:$B,$H434)="","Start Date; ","")&amp;IF(INDEX('Game Records'!$C:$C,$H434)="","End Date; ","")&amp;IF(AND(INDEX('Game Records'!$U:$U,$H434)&lt;&gt;"Subscription",INDEX('Game Records'!$U:$U,$H434)&lt;&gt;"Free Game",INDEX('Game Records'!$U:$U,$H434)&lt;&gt;"Disqualified — Free Game",OR(INDEX('Game Records'!$D:$D,$H434)="",LOWER(INDEX('Game Records'!$D:$D,$H434)&amp;"")="n/a")),"Entry Mode; ","")&amp;IF(AND(INDEX('Game Records'!$U:$U,$H434)&lt;&gt;"Subscription",INDEX('Game Records'!$U:$U,$H434)&lt;&gt;"Free Game",INDEX('Game Records'!$U:$U,$H434)&lt;&gt;"Disqualified — Free Game",OR(INDEX('Game Records'!$E:$E,$H434)="",LOWER(INDEX('Game Records'!$E:$E,$H434)&amp;"")="n/a")),"Game Type; ","")&amp;IF(INDEX('Game Records'!$F:$F,$H434)="","Payment Type; ","")&amp;IF(AND(INDEX('Game Records'!$U:$U,$H434)&lt;&gt;"Subscription",INDEX('Game Records'!$U:$U,$H434)&lt;&gt;"Free Game",INDEX('Game Records'!$U:$U,$H434)&lt;&gt;"Disqualified — Free Game",INDEX('Game Records'!$G:$G,$H434)=""),"Gross Pot; ","")&amp;IF(AND(INDEX('Game Records'!$U:$U,$H434)&lt;&gt;"Free Game",INDEX('Game Records'!$U:$U,$H434)&lt;&gt;"Disqualified — Free Game",INDEX('Game Records'!$H:$H,$H434)=""),"Entry Fee; ","")&amp;IF(AND(INDEX('Game Records'!$U:$U,$H434)&lt;&gt;"Subscription",INDEX('Game Records'!$U:$U,$H434)&lt;&gt;"Free Game",INDEX('Game Records'!$U:$U,$H434)&lt;&gt;"Disqualified — Free Game",INDEX('Game Records'!$I:$I,$H434)=""),"Eligible Players; ","")&amp;IF(AND(INDEX('Game Records'!$U:$U,$H434)&lt;&gt;"Subscription",INDEX('Game Records'!$U:$U,$H434)&lt;&gt;"Free Game",INDEX('Game Records'!$U:$U,$H434)&lt;&gt;"Disqualified — Free Game",INDEX('Game Records'!$J:$J,$H434)=""),"Total Players; ","")&amp;IF(AND(LOWER(INDEX('Game Records'!$D:$D,$H434)&amp;"")="finalized",LOWER(INDEX('Game Records'!$L:$L,$H434)&amp;"")&lt;&gt;"yes",INDEX('Game Records'!$U:$U,$H434)&lt;&gt;"Subscription",INDEX('Game Records'!$U:$U,$H434)&lt;&gt;"Free Game",INDEX('Game Records'!$U:$U,$H434)&lt;&gt;"Disqualified — Free Game",INDEX('Game Records'!$K:$K,$H434)=""),"Final Payout; ","")&amp;IF(AND(LOWER(INDEX('Game Records'!$D:$D,$H434)&amp;"")="finalized",INDEX('Game Records'!$U:$U,$H434)&lt;&gt;"Subscription",INDEX('Game Records'!$U:$U,$H434)&lt;&gt;"Free Game",INDEX('Game Records'!$U:$U,$H434)&lt;&gt;"Disqualified — Free Game",OR(INDEX('Game Records'!$L:$L,$H434)="",LOWER(INDEX('Game Records'!$L:$L,$H434)&amp;"")="n/a")),"Disqualified Status; ",""))</f>
        <v/>
      </c>
      <c r="G434" s="23" t="str">
        <f t="array" ref="G434">IF($H434="","",IFERROR(INDEX('Game Records'!$M:$M,$H434),""))</f>
        <v/>
      </c>
      <c r="H434" s="3"/>
    </row>
    <row r="435" ht="24.0" customHeight="1">
      <c r="A435" s="18" t="str">
        <f t="shared" si="1"/>
        <v/>
      </c>
      <c r="B435" s="18" t="str">
        <f t="shared" si="2"/>
        <v/>
      </c>
      <c r="C435" s="23" t="str">
        <f t="array" ref="C435">IF($H435="","",IFERROR(INDEX('Game Records'!$A:$A,$H435),""))</f>
        <v/>
      </c>
      <c r="D435" s="23" t="str">
        <f t="array" ref="D435">IF($H435="","",IFERROR(INDEX('Game Records'!$U:$U,$H435),""))</f>
        <v/>
      </c>
      <c r="E435" s="23" t="str">
        <f t="array" ref="E435">IF($H435="","",LET(r,$H435,mode,LOWER(INDEX('Game Records'!$D:$D,r)&amp;""),endDate,INDEX('Game Records'!$C:$C,r),IF(mode="estimate",IF(endDate="","Estimate — End Date missing",IF(NOT(ISNUMBER(endDate)),"Estimate — Check End Date",IF(INT(endDate)&gt;=TODAY(),"In Progress — ends "&amp;TEXT(endDate,"mmm d, yyyy"),"Ready to Finalize"))),IF($F435="","No Highlighted Fields","Highlighted Fields Present"))))</f>
        <v/>
      </c>
      <c r="F435" s="23" t="str">
        <f t="array" ref="F435">IF($H435="","",IF(OR(NOT(_xlfn.ISFORMULA(INDEX('Game Records'!$N:$N,$H435))),NOT(_xlfn.ISFORMULA(INDEX('Game Records'!$O:$O,$H435))),NOT(_xlfn.ISFORMULA(INDEX('Game Records'!$P:$P,$H435))),NOT(_xlfn.ISFORMULA(INDEX('Game Records'!$Q:$Q,$H435))),NOT(_xlfn.ISFORMULA(INDEX('Game Records'!$R:$R,$H435))),NOT(_xlfn.ISFORMULA(INDEX('Game Records'!$S:$S,$H435))),NOT(_xlfn.ISFORMULA(INDEX('Game Records'!$T:$T,$H435))),NOT(_xlfn.ISFORMULA(INDEX('Game Records'!$U:$U,$H435))),NOT(_xlfn.ISFORMULA(INDEX('Game Records'!$V:$V,$H435))),NOT(_xlfn.ISFORMULA(INDEX('Game Records'!$W:$W,$H435))),NOT(_xlfn.ISFORMULA(INDEX('Game Records'!$X:$X,$H435))),NOT(_xlfn.ISFORMULA(INDEX('Game Records'!$Y:$Y,$H435))),NOT(_xlfn.ISFORMULA(INDEX('Game Records'!$Z:$Z,$H435)))),"","")&amp;IF(INDEX('Game Records'!$B:$B,$H435)="","Start Date; ","")&amp;IF(INDEX('Game Records'!$C:$C,$H435)="","End Date; ","")&amp;IF(AND(INDEX('Game Records'!$U:$U,$H435)&lt;&gt;"Subscription",INDEX('Game Records'!$U:$U,$H435)&lt;&gt;"Free Game",INDEX('Game Records'!$U:$U,$H435)&lt;&gt;"Disqualified — Free Game",OR(INDEX('Game Records'!$D:$D,$H435)="",LOWER(INDEX('Game Records'!$D:$D,$H435)&amp;"")="n/a")),"Entry Mode; ","")&amp;IF(AND(INDEX('Game Records'!$U:$U,$H435)&lt;&gt;"Subscription",INDEX('Game Records'!$U:$U,$H435)&lt;&gt;"Free Game",INDEX('Game Records'!$U:$U,$H435)&lt;&gt;"Disqualified — Free Game",OR(INDEX('Game Records'!$E:$E,$H435)="",LOWER(INDEX('Game Records'!$E:$E,$H435)&amp;"")="n/a")),"Game Type; ","")&amp;IF(INDEX('Game Records'!$F:$F,$H435)="","Payment Type; ","")&amp;IF(AND(INDEX('Game Records'!$U:$U,$H435)&lt;&gt;"Subscription",INDEX('Game Records'!$U:$U,$H435)&lt;&gt;"Free Game",INDEX('Game Records'!$U:$U,$H435)&lt;&gt;"Disqualified — Free Game",INDEX('Game Records'!$G:$G,$H435)=""),"Gross Pot; ","")&amp;IF(AND(INDEX('Game Records'!$U:$U,$H435)&lt;&gt;"Free Game",INDEX('Game Records'!$U:$U,$H435)&lt;&gt;"Disqualified — Free Game",INDEX('Game Records'!$H:$H,$H435)=""),"Entry Fee; ","")&amp;IF(AND(INDEX('Game Records'!$U:$U,$H435)&lt;&gt;"Subscription",INDEX('Game Records'!$U:$U,$H435)&lt;&gt;"Free Game",INDEX('Game Records'!$U:$U,$H435)&lt;&gt;"Disqualified — Free Game",INDEX('Game Records'!$I:$I,$H435)=""),"Eligible Players; ","")&amp;IF(AND(INDEX('Game Records'!$U:$U,$H435)&lt;&gt;"Subscription",INDEX('Game Records'!$U:$U,$H435)&lt;&gt;"Free Game",INDEX('Game Records'!$U:$U,$H435)&lt;&gt;"Disqualified — Free Game",INDEX('Game Records'!$J:$J,$H435)=""),"Total Players; ","")&amp;IF(AND(LOWER(INDEX('Game Records'!$D:$D,$H435)&amp;"")="finalized",LOWER(INDEX('Game Records'!$L:$L,$H435)&amp;"")&lt;&gt;"yes",INDEX('Game Records'!$U:$U,$H435)&lt;&gt;"Subscription",INDEX('Game Records'!$U:$U,$H435)&lt;&gt;"Free Game",INDEX('Game Records'!$U:$U,$H435)&lt;&gt;"Disqualified — Free Game",INDEX('Game Records'!$K:$K,$H435)=""),"Final Payout; ","")&amp;IF(AND(LOWER(INDEX('Game Records'!$D:$D,$H435)&amp;"")="finalized",INDEX('Game Records'!$U:$U,$H435)&lt;&gt;"Subscription",INDEX('Game Records'!$U:$U,$H435)&lt;&gt;"Free Game",INDEX('Game Records'!$U:$U,$H435)&lt;&gt;"Disqualified — Free Game",OR(INDEX('Game Records'!$L:$L,$H435)="",LOWER(INDEX('Game Records'!$L:$L,$H435)&amp;"")="n/a")),"Disqualified Status; ",""))</f>
        <v/>
      </c>
      <c r="G435" s="23" t="str">
        <f t="array" ref="G435">IF($H435="","",IFERROR(INDEX('Game Records'!$M:$M,$H435),""))</f>
        <v/>
      </c>
      <c r="H435" s="3"/>
    </row>
    <row r="436" ht="24.0" customHeight="1">
      <c r="A436" s="18" t="str">
        <f t="shared" si="1"/>
        <v/>
      </c>
      <c r="B436" s="18" t="str">
        <f t="shared" si="2"/>
        <v/>
      </c>
      <c r="C436" s="23" t="str">
        <f t="array" ref="C436">IF($H436="","",IFERROR(INDEX('Game Records'!$A:$A,$H436),""))</f>
        <v/>
      </c>
      <c r="D436" s="23" t="str">
        <f t="array" ref="D436">IF($H436="","",IFERROR(INDEX('Game Records'!$U:$U,$H436),""))</f>
        <v/>
      </c>
      <c r="E436" s="23" t="str">
        <f t="array" ref="E436">IF($H436="","",LET(r,$H436,mode,LOWER(INDEX('Game Records'!$D:$D,r)&amp;""),endDate,INDEX('Game Records'!$C:$C,r),IF(mode="estimate",IF(endDate="","Estimate — End Date missing",IF(NOT(ISNUMBER(endDate)),"Estimate — Check End Date",IF(INT(endDate)&gt;=TODAY(),"In Progress — ends "&amp;TEXT(endDate,"mmm d, yyyy"),"Ready to Finalize"))),IF($F436="","No Highlighted Fields","Highlighted Fields Present"))))</f>
        <v/>
      </c>
      <c r="F436" s="23" t="str">
        <f t="array" ref="F436">IF($H436="","",IF(OR(NOT(_xlfn.ISFORMULA(INDEX('Game Records'!$N:$N,$H436))),NOT(_xlfn.ISFORMULA(INDEX('Game Records'!$O:$O,$H436))),NOT(_xlfn.ISFORMULA(INDEX('Game Records'!$P:$P,$H436))),NOT(_xlfn.ISFORMULA(INDEX('Game Records'!$Q:$Q,$H436))),NOT(_xlfn.ISFORMULA(INDEX('Game Records'!$R:$R,$H436))),NOT(_xlfn.ISFORMULA(INDEX('Game Records'!$S:$S,$H436))),NOT(_xlfn.ISFORMULA(INDEX('Game Records'!$T:$T,$H436))),NOT(_xlfn.ISFORMULA(INDEX('Game Records'!$U:$U,$H436))),NOT(_xlfn.ISFORMULA(INDEX('Game Records'!$V:$V,$H436))),NOT(_xlfn.ISFORMULA(INDEX('Game Records'!$W:$W,$H436))),NOT(_xlfn.ISFORMULA(INDEX('Game Records'!$X:$X,$H436))),NOT(_xlfn.ISFORMULA(INDEX('Game Records'!$Y:$Y,$H436))),NOT(_xlfn.ISFORMULA(INDEX('Game Records'!$Z:$Z,$H436)))),"","")&amp;IF(INDEX('Game Records'!$B:$B,$H436)="","Start Date; ","")&amp;IF(INDEX('Game Records'!$C:$C,$H436)="","End Date; ","")&amp;IF(AND(INDEX('Game Records'!$U:$U,$H436)&lt;&gt;"Subscription",INDEX('Game Records'!$U:$U,$H436)&lt;&gt;"Free Game",INDEX('Game Records'!$U:$U,$H436)&lt;&gt;"Disqualified — Free Game",OR(INDEX('Game Records'!$D:$D,$H436)="",LOWER(INDEX('Game Records'!$D:$D,$H436)&amp;"")="n/a")),"Entry Mode; ","")&amp;IF(AND(INDEX('Game Records'!$U:$U,$H436)&lt;&gt;"Subscription",INDEX('Game Records'!$U:$U,$H436)&lt;&gt;"Free Game",INDEX('Game Records'!$U:$U,$H436)&lt;&gt;"Disqualified — Free Game",OR(INDEX('Game Records'!$E:$E,$H436)="",LOWER(INDEX('Game Records'!$E:$E,$H436)&amp;"")="n/a")),"Game Type; ","")&amp;IF(INDEX('Game Records'!$F:$F,$H436)="","Payment Type; ","")&amp;IF(AND(INDEX('Game Records'!$U:$U,$H436)&lt;&gt;"Subscription",INDEX('Game Records'!$U:$U,$H436)&lt;&gt;"Free Game",INDEX('Game Records'!$U:$U,$H436)&lt;&gt;"Disqualified — Free Game",INDEX('Game Records'!$G:$G,$H436)=""),"Gross Pot; ","")&amp;IF(AND(INDEX('Game Records'!$U:$U,$H436)&lt;&gt;"Free Game",INDEX('Game Records'!$U:$U,$H436)&lt;&gt;"Disqualified — Free Game",INDEX('Game Records'!$H:$H,$H436)=""),"Entry Fee; ","")&amp;IF(AND(INDEX('Game Records'!$U:$U,$H436)&lt;&gt;"Subscription",INDEX('Game Records'!$U:$U,$H436)&lt;&gt;"Free Game",INDEX('Game Records'!$U:$U,$H436)&lt;&gt;"Disqualified — Free Game",INDEX('Game Records'!$I:$I,$H436)=""),"Eligible Players; ","")&amp;IF(AND(INDEX('Game Records'!$U:$U,$H436)&lt;&gt;"Subscription",INDEX('Game Records'!$U:$U,$H436)&lt;&gt;"Free Game",INDEX('Game Records'!$U:$U,$H436)&lt;&gt;"Disqualified — Free Game",INDEX('Game Records'!$J:$J,$H436)=""),"Total Players; ","")&amp;IF(AND(LOWER(INDEX('Game Records'!$D:$D,$H436)&amp;"")="finalized",LOWER(INDEX('Game Records'!$L:$L,$H436)&amp;"")&lt;&gt;"yes",INDEX('Game Records'!$U:$U,$H436)&lt;&gt;"Subscription",INDEX('Game Records'!$U:$U,$H436)&lt;&gt;"Free Game",INDEX('Game Records'!$U:$U,$H436)&lt;&gt;"Disqualified — Free Game",INDEX('Game Records'!$K:$K,$H436)=""),"Final Payout; ","")&amp;IF(AND(LOWER(INDEX('Game Records'!$D:$D,$H436)&amp;"")="finalized",INDEX('Game Records'!$U:$U,$H436)&lt;&gt;"Subscription",INDEX('Game Records'!$U:$U,$H436)&lt;&gt;"Free Game",INDEX('Game Records'!$U:$U,$H436)&lt;&gt;"Disqualified — Free Game",OR(INDEX('Game Records'!$L:$L,$H436)="",LOWER(INDEX('Game Records'!$L:$L,$H436)&amp;"")="n/a")),"Disqualified Status; ",""))</f>
        <v/>
      </c>
      <c r="G436" s="23" t="str">
        <f t="array" ref="G436">IF($H436="","",IFERROR(INDEX('Game Records'!$M:$M,$H436),""))</f>
        <v/>
      </c>
      <c r="H436" s="3"/>
    </row>
    <row r="437" ht="24.0" customHeight="1">
      <c r="A437" s="18" t="str">
        <f t="shared" si="1"/>
        <v/>
      </c>
      <c r="B437" s="18" t="str">
        <f t="shared" si="2"/>
        <v/>
      </c>
      <c r="C437" s="23" t="str">
        <f t="array" ref="C437">IF($H437="","",IFERROR(INDEX('Game Records'!$A:$A,$H437),""))</f>
        <v/>
      </c>
      <c r="D437" s="23" t="str">
        <f t="array" ref="D437">IF($H437="","",IFERROR(INDEX('Game Records'!$U:$U,$H437),""))</f>
        <v/>
      </c>
      <c r="E437" s="23" t="str">
        <f t="array" ref="E437">IF($H437="","",LET(r,$H437,mode,LOWER(INDEX('Game Records'!$D:$D,r)&amp;""),endDate,INDEX('Game Records'!$C:$C,r),IF(mode="estimate",IF(endDate="","Estimate — End Date missing",IF(NOT(ISNUMBER(endDate)),"Estimate — Check End Date",IF(INT(endDate)&gt;=TODAY(),"In Progress — ends "&amp;TEXT(endDate,"mmm d, yyyy"),"Ready to Finalize"))),IF($F437="","No Highlighted Fields","Highlighted Fields Present"))))</f>
        <v/>
      </c>
      <c r="F437" s="23" t="str">
        <f t="array" ref="F437">IF($H437="","",IF(OR(NOT(_xlfn.ISFORMULA(INDEX('Game Records'!$N:$N,$H437))),NOT(_xlfn.ISFORMULA(INDEX('Game Records'!$O:$O,$H437))),NOT(_xlfn.ISFORMULA(INDEX('Game Records'!$P:$P,$H437))),NOT(_xlfn.ISFORMULA(INDEX('Game Records'!$Q:$Q,$H437))),NOT(_xlfn.ISFORMULA(INDEX('Game Records'!$R:$R,$H437))),NOT(_xlfn.ISFORMULA(INDEX('Game Records'!$S:$S,$H437))),NOT(_xlfn.ISFORMULA(INDEX('Game Records'!$T:$T,$H437))),NOT(_xlfn.ISFORMULA(INDEX('Game Records'!$U:$U,$H437))),NOT(_xlfn.ISFORMULA(INDEX('Game Records'!$V:$V,$H437))),NOT(_xlfn.ISFORMULA(INDEX('Game Records'!$W:$W,$H437))),NOT(_xlfn.ISFORMULA(INDEX('Game Records'!$X:$X,$H437))),NOT(_xlfn.ISFORMULA(INDEX('Game Records'!$Y:$Y,$H437))),NOT(_xlfn.ISFORMULA(INDEX('Game Records'!$Z:$Z,$H437)))),"","")&amp;IF(INDEX('Game Records'!$B:$B,$H437)="","Start Date; ","")&amp;IF(INDEX('Game Records'!$C:$C,$H437)="","End Date; ","")&amp;IF(AND(INDEX('Game Records'!$U:$U,$H437)&lt;&gt;"Subscription",INDEX('Game Records'!$U:$U,$H437)&lt;&gt;"Free Game",INDEX('Game Records'!$U:$U,$H437)&lt;&gt;"Disqualified — Free Game",OR(INDEX('Game Records'!$D:$D,$H437)="",LOWER(INDEX('Game Records'!$D:$D,$H437)&amp;"")="n/a")),"Entry Mode; ","")&amp;IF(AND(INDEX('Game Records'!$U:$U,$H437)&lt;&gt;"Subscription",INDEX('Game Records'!$U:$U,$H437)&lt;&gt;"Free Game",INDEX('Game Records'!$U:$U,$H437)&lt;&gt;"Disqualified — Free Game",OR(INDEX('Game Records'!$E:$E,$H437)="",LOWER(INDEX('Game Records'!$E:$E,$H437)&amp;"")="n/a")),"Game Type; ","")&amp;IF(INDEX('Game Records'!$F:$F,$H437)="","Payment Type; ","")&amp;IF(AND(INDEX('Game Records'!$U:$U,$H437)&lt;&gt;"Subscription",INDEX('Game Records'!$U:$U,$H437)&lt;&gt;"Free Game",INDEX('Game Records'!$U:$U,$H437)&lt;&gt;"Disqualified — Free Game",INDEX('Game Records'!$G:$G,$H437)=""),"Gross Pot; ","")&amp;IF(AND(INDEX('Game Records'!$U:$U,$H437)&lt;&gt;"Free Game",INDEX('Game Records'!$U:$U,$H437)&lt;&gt;"Disqualified — Free Game",INDEX('Game Records'!$H:$H,$H437)=""),"Entry Fee; ","")&amp;IF(AND(INDEX('Game Records'!$U:$U,$H437)&lt;&gt;"Subscription",INDEX('Game Records'!$U:$U,$H437)&lt;&gt;"Free Game",INDEX('Game Records'!$U:$U,$H437)&lt;&gt;"Disqualified — Free Game",INDEX('Game Records'!$I:$I,$H437)=""),"Eligible Players; ","")&amp;IF(AND(INDEX('Game Records'!$U:$U,$H437)&lt;&gt;"Subscription",INDEX('Game Records'!$U:$U,$H437)&lt;&gt;"Free Game",INDEX('Game Records'!$U:$U,$H437)&lt;&gt;"Disqualified — Free Game",INDEX('Game Records'!$J:$J,$H437)=""),"Total Players; ","")&amp;IF(AND(LOWER(INDEX('Game Records'!$D:$D,$H437)&amp;"")="finalized",LOWER(INDEX('Game Records'!$L:$L,$H437)&amp;"")&lt;&gt;"yes",INDEX('Game Records'!$U:$U,$H437)&lt;&gt;"Subscription",INDEX('Game Records'!$U:$U,$H437)&lt;&gt;"Free Game",INDEX('Game Records'!$U:$U,$H437)&lt;&gt;"Disqualified — Free Game",INDEX('Game Records'!$K:$K,$H437)=""),"Final Payout; ","")&amp;IF(AND(LOWER(INDEX('Game Records'!$D:$D,$H437)&amp;"")="finalized",INDEX('Game Records'!$U:$U,$H437)&lt;&gt;"Subscription",INDEX('Game Records'!$U:$U,$H437)&lt;&gt;"Free Game",INDEX('Game Records'!$U:$U,$H437)&lt;&gt;"Disqualified — Free Game",OR(INDEX('Game Records'!$L:$L,$H437)="",LOWER(INDEX('Game Records'!$L:$L,$H437)&amp;"")="n/a")),"Disqualified Status; ",""))</f>
        <v/>
      </c>
      <c r="G437" s="23" t="str">
        <f t="array" ref="G437">IF($H437="","",IFERROR(INDEX('Game Records'!$M:$M,$H437),""))</f>
        <v/>
      </c>
      <c r="H437" s="3"/>
    </row>
    <row r="438" ht="24.0" customHeight="1">
      <c r="A438" s="18" t="str">
        <f t="shared" si="1"/>
        <v/>
      </c>
      <c r="B438" s="18" t="str">
        <f t="shared" si="2"/>
        <v/>
      </c>
      <c r="C438" s="23" t="str">
        <f t="array" ref="C438">IF($H438="","",IFERROR(INDEX('Game Records'!$A:$A,$H438),""))</f>
        <v/>
      </c>
      <c r="D438" s="23" t="str">
        <f t="array" ref="D438">IF($H438="","",IFERROR(INDEX('Game Records'!$U:$U,$H438),""))</f>
        <v/>
      </c>
      <c r="E438" s="23" t="str">
        <f t="array" ref="E438">IF($H438="","",LET(r,$H438,mode,LOWER(INDEX('Game Records'!$D:$D,r)&amp;""),endDate,INDEX('Game Records'!$C:$C,r),IF(mode="estimate",IF(endDate="","Estimate — End Date missing",IF(NOT(ISNUMBER(endDate)),"Estimate — Check End Date",IF(INT(endDate)&gt;=TODAY(),"In Progress — ends "&amp;TEXT(endDate,"mmm d, yyyy"),"Ready to Finalize"))),IF($F438="","No Highlighted Fields","Highlighted Fields Present"))))</f>
        <v/>
      </c>
      <c r="F438" s="23" t="str">
        <f t="array" ref="F438">IF($H438="","",IF(OR(NOT(_xlfn.ISFORMULA(INDEX('Game Records'!$N:$N,$H438))),NOT(_xlfn.ISFORMULA(INDEX('Game Records'!$O:$O,$H438))),NOT(_xlfn.ISFORMULA(INDEX('Game Records'!$P:$P,$H438))),NOT(_xlfn.ISFORMULA(INDEX('Game Records'!$Q:$Q,$H438))),NOT(_xlfn.ISFORMULA(INDEX('Game Records'!$R:$R,$H438))),NOT(_xlfn.ISFORMULA(INDEX('Game Records'!$S:$S,$H438))),NOT(_xlfn.ISFORMULA(INDEX('Game Records'!$T:$T,$H438))),NOT(_xlfn.ISFORMULA(INDEX('Game Records'!$U:$U,$H438))),NOT(_xlfn.ISFORMULA(INDEX('Game Records'!$V:$V,$H438))),NOT(_xlfn.ISFORMULA(INDEX('Game Records'!$W:$W,$H438))),NOT(_xlfn.ISFORMULA(INDEX('Game Records'!$X:$X,$H438))),NOT(_xlfn.ISFORMULA(INDEX('Game Records'!$Y:$Y,$H438))),NOT(_xlfn.ISFORMULA(INDEX('Game Records'!$Z:$Z,$H438)))),"","")&amp;IF(INDEX('Game Records'!$B:$B,$H438)="","Start Date; ","")&amp;IF(INDEX('Game Records'!$C:$C,$H438)="","End Date; ","")&amp;IF(AND(INDEX('Game Records'!$U:$U,$H438)&lt;&gt;"Subscription",INDEX('Game Records'!$U:$U,$H438)&lt;&gt;"Free Game",INDEX('Game Records'!$U:$U,$H438)&lt;&gt;"Disqualified — Free Game",OR(INDEX('Game Records'!$D:$D,$H438)="",LOWER(INDEX('Game Records'!$D:$D,$H438)&amp;"")="n/a")),"Entry Mode; ","")&amp;IF(AND(INDEX('Game Records'!$U:$U,$H438)&lt;&gt;"Subscription",INDEX('Game Records'!$U:$U,$H438)&lt;&gt;"Free Game",INDEX('Game Records'!$U:$U,$H438)&lt;&gt;"Disqualified — Free Game",OR(INDEX('Game Records'!$E:$E,$H438)="",LOWER(INDEX('Game Records'!$E:$E,$H438)&amp;"")="n/a")),"Game Type; ","")&amp;IF(INDEX('Game Records'!$F:$F,$H438)="","Payment Type; ","")&amp;IF(AND(INDEX('Game Records'!$U:$U,$H438)&lt;&gt;"Subscription",INDEX('Game Records'!$U:$U,$H438)&lt;&gt;"Free Game",INDEX('Game Records'!$U:$U,$H438)&lt;&gt;"Disqualified — Free Game",INDEX('Game Records'!$G:$G,$H438)=""),"Gross Pot; ","")&amp;IF(AND(INDEX('Game Records'!$U:$U,$H438)&lt;&gt;"Free Game",INDEX('Game Records'!$U:$U,$H438)&lt;&gt;"Disqualified — Free Game",INDEX('Game Records'!$H:$H,$H438)=""),"Entry Fee; ","")&amp;IF(AND(INDEX('Game Records'!$U:$U,$H438)&lt;&gt;"Subscription",INDEX('Game Records'!$U:$U,$H438)&lt;&gt;"Free Game",INDEX('Game Records'!$U:$U,$H438)&lt;&gt;"Disqualified — Free Game",INDEX('Game Records'!$I:$I,$H438)=""),"Eligible Players; ","")&amp;IF(AND(INDEX('Game Records'!$U:$U,$H438)&lt;&gt;"Subscription",INDEX('Game Records'!$U:$U,$H438)&lt;&gt;"Free Game",INDEX('Game Records'!$U:$U,$H438)&lt;&gt;"Disqualified — Free Game",INDEX('Game Records'!$J:$J,$H438)=""),"Total Players; ","")&amp;IF(AND(LOWER(INDEX('Game Records'!$D:$D,$H438)&amp;"")="finalized",LOWER(INDEX('Game Records'!$L:$L,$H438)&amp;"")&lt;&gt;"yes",INDEX('Game Records'!$U:$U,$H438)&lt;&gt;"Subscription",INDEX('Game Records'!$U:$U,$H438)&lt;&gt;"Free Game",INDEX('Game Records'!$U:$U,$H438)&lt;&gt;"Disqualified — Free Game",INDEX('Game Records'!$K:$K,$H438)=""),"Final Payout; ","")&amp;IF(AND(LOWER(INDEX('Game Records'!$D:$D,$H438)&amp;"")="finalized",INDEX('Game Records'!$U:$U,$H438)&lt;&gt;"Subscription",INDEX('Game Records'!$U:$U,$H438)&lt;&gt;"Free Game",INDEX('Game Records'!$U:$U,$H438)&lt;&gt;"Disqualified — Free Game",OR(INDEX('Game Records'!$L:$L,$H438)="",LOWER(INDEX('Game Records'!$L:$L,$H438)&amp;"")="n/a")),"Disqualified Status; ",""))</f>
        <v/>
      </c>
      <c r="G438" s="23" t="str">
        <f t="array" ref="G438">IF($H438="","",IFERROR(INDEX('Game Records'!$M:$M,$H438),""))</f>
        <v/>
      </c>
      <c r="H438" s="3"/>
    </row>
    <row r="439" ht="24.0" customHeight="1">
      <c r="A439" s="18" t="str">
        <f t="shared" si="1"/>
        <v/>
      </c>
      <c r="B439" s="18" t="str">
        <f t="shared" si="2"/>
        <v/>
      </c>
      <c r="C439" s="23" t="str">
        <f t="array" ref="C439">IF($H439="","",IFERROR(INDEX('Game Records'!$A:$A,$H439),""))</f>
        <v/>
      </c>
      <c r="D439" s="23" t="str">
        <f t="array" ref="D439">IF($H439="","",IFERROR(INDEX('Game Records'!$U:$U,$H439),""))</f>
        <v/>
      </c>
      <c r="E439" s="23" t="str">
        <f t="array" ref="E439">IF($H439="","",LET(r,$H439,mode,LOWER(INDEX('Game Records'!$D:$D,r)&amp;""),endDate,INDEX('Game Records'!$C:$C,r),IF(mode="estimate",IF(endDate="","Estimate — End Date missing",IF(NOT(ISNUMBER(endDate)),"Estimate — Check End Date",IF(INT(endDate)&gt;=TODAY(),"In Progress — ends "&amp;TEXT(endDate,"mmm d, yyyy"),"Ready to Finalize"))),IF($F439="","No Highlighted Fields","Highlighted Fields Present"))))</f>
        <v/>
      </c>
      <c r="F439" s="23" t="str">
        <f t="array" ref="F439">IF($H439="","",IF(OR(NOT(_xlfn.ISFORMULA(INDEX('Game Records'!$N:$N,$H439))),NOT(_xlfn.ISFORMULA(INDEX('Game Records'!$O:$O,$H439))),NOT(_xlfn.ISFORMULA(INDEX('Game Records'!$P:$P,$H439))),NOT(_xlfn.ISFORMULA(INDEX('Game Records'!$Q:$Q,$H439))),NOT(_xlfn.ISFORMULA(INDEX('Game Records'!$R:$R,$H439))),NOT(_xlfn.ISFORMULA(INDEX('Game Records'!$S:$S,$H439))),NOT(_xlfn.ISFORMULA(INDEX('Game Records'!$T:$T,$H439))),NOT(_xlfn.ISFORMULA(INDEX('Game Records'!$U:$U,$H439))),NOT(_xlfn.ISFORMULA(INDEX('Game Records'!$V:$V,$H439))),NOT(_xlfn.ISFORMULA(INDEX('Game Records'!$W:$W,$H439))),NOT(_xlfn.ISFORMULA(INDEX('Game Records'!$X:$X,$H439))),NOT(_xlfn.ISFORMULA(INDEX('Game Records'!$Y:$Y,$H439))),NOT(_xlfn.ISFORMULA(INDEX('Game Records'!$Z:$Z,$H439)))),"","")&amp;IF(INDEX('Game Records'!$B:$B,$H439)="","Start Date; ","")&amp;IF(INDEX('Game Records'!$C:$C,$H439)="","End Date; ","")&amp;IF(AND(INDEX('Game Records'!$U:$U,$H439)&lt;&gt;"Subscription",INDEX('Game Records'!$U:$U,$H439)&lt;&gt;"Free Game",INDEX('Game Records'!$U:$U,$H439)&lt;&gt;"Disqualified — Free Game",OR(INDEX('Game Records'!$D:$D,$H439)="",LOWER(INDEX('Game Records'!$D:$D,$H439)&amp;"")="n/a")),"Entry Mode; ","")&amp;IF(AND(INDEX('Game Records'!$U:$U,$H439)&lt;&gt;"Subscription",INDEX('Game Records'!$U:$U,$H439)&lt;&gt;"Free Game",INDEX('Game Records'!$U:$U,$H439)&lt;&gt;"Disqualified — Free Game",OR(INDEX('Game Records'!$E:$E,$H439)="",LOWER(INDEX('Game Records'!$E:$E,$H439)&amp;"")="n/a")),"Game Type; ","")&amp;IF(INDEX('Game Records'!$F:$F,$H439)="","Payment Type; ","")&amp;IF(AND(INDEX('Game Records'!$U:$U,$H439)&lt;&gt;"Subscription",INDEX('Game Records'!$U:$U,$H439)&lt;&gt;"Free Game",INDEX('Game Records'!$U:$U,$H439)&lt;&gt;"Disqualified — Free Game",INDEX('Game Records'!$G:$G,$H439)=""),"Gross Pot; ","")&amp;IF(AND(INDEX('Game Records'!$U:$U,$H439)&lt;&gt;"Free Game",INDEX('Game Records'!$U:$U,$H439)&lt;&gt;"Disqualified — Free Game",INDEX('Game Records'!$H:$H,$H439)=""),"Entry Fee; ","")&amp;IF(AND(INDEX('Game Records'!$U:$U,$H439)&lt;&gt;"Subscription",INDEX('Game Records'!$U:$U,$H439)&lt;&gt;"Free Game",INDEX('Game Records'!$U:$U,$H439)&lt;&gt;"Disqualified — Free Game",INDEX('Game Records'!$I:$I,$H439)=""),"Eligible Players; ","")&amp;IF(AND(INDEX('Game Records'!$U:$U,$H439)&lt;&gt;"Subscription",INDEX('Game Records'!$U:$U,$H439)&lt;&gt;"Free Game",INDEX('Game Records'!$U:$U,$H439)&lt;&gt;"Disqualified — Free Game",INDEX('Game Records'!$J:$J,$H439)=""),"Total Players; ","")&amp;IF(AND(LOWER(INDEX('Game Records'!$D:$D,$H439)&amp;"")="finalized",LOWER(INDEX('Game Records'!$L:$L,$H439)&amp;"")&lt;&gt;"yes",INDEX('Game Records'!$U:$U,$H439)&lt;&gt;"Subscription",INDEX('Game Records'!$U:$U,$H439)&lt;&gt;"Free Game",INDEX('Game Records'!$U:$U,$H439)&lt;&gt;"Disqualified — Free Game",INDEX('Game Records'!$K:$K,$H439)=""),"Final Payout; ","")&amp;IF(AND(LOWER(INDEX('Game Records'!$D:$D,$H439)&amp;"")="finalized",INDEX('Game Records'!$U:$U,$H439)&lt;&gt;"Subscription",INDEX('Game Records'!$U:$U,$H439)&lt;&gt;"Free Game",INDEX('Game Records'!$U:$U,$H439)&lt;&gt;"Disqualified — Free Game",OR(INDEX('Game Records'!$L:$L,$H439)="",LOWER(INDEX('Game Records'!$L:$L,$H439)&amp;"")="n/a")),"Disqualified Status; ",""))</f>
        <v/>
      </c>
      <c r="G439" s="23" t="str">
        <f t="array" ref="G439">IF($H439="","",IFERROR(INDEX('Game Records'!$M:$M,$H439),""))</f>
        <v/>
      </c>
      <c r="H439" s="3"/>
    </row>
    <row r="440" ht="24.0" customHeight="1">
      <c r="A440" s="18" t="str">
        <f t="shared" si="1"/>
        <v/>
      </c>
      <c r="B440" s="18" t="str">
        <f t="shared" si="2"/>
        <v/>
      </c>
      <c r="C440" s="23" t="str">
        <f t="array" ref="C440">IF($H440="","",IFERROR(INDEX('Game Records'!$A:$A,$H440),""))</f>
        <v/>
      </c>
      <c r="D440" s="23" t="str">
        <f t="array" ref="D440">IF($H440="","",IFERROR(INDEX('Game Records'!$U:$U,$H440),""))</f>
        <v/>
      </c>
      <c r="E440" s="23" t="str">
        <f t="array" ref="E440">IF($H440="","",LET(r,$H440,mode,LOWER(INDEX('Game Records'!$D:$D,r)&amp;""),endDate,INDEX('Game Records'!$C:$C,r),IF(mode="estimate",IF(endDate="","Estimate — End Date missing",IF(NOT(ISNUMBER(endDate)),"Estimate — Check End Date",IF(INT(endDate)&gt;=TODAY(),"In Progress — ends "&amp;TEXT(endDate,"mmm d, yyyy"),"Ready to Finalize"))),IF($F440="","No Highlighted Fields","Highlighted Fields Present"))))</f>
        <v/>
      </c>
      <c r="F440" s="23" t="str">
        <f t="array" ref="F440">IF($H440="","",IF(OR(NOT(_xlfn.ISFORMULA(INDEX('Game Records'!$N:$N,$H440))),NOT(_xlfn.ISFORMULA(INDEX('Game Records'!$O:$O,$H440))),NOT(_xlfn.ISFORMULA(INDEX('Game Records'!$P:$P,$H440))),NOT(_xlfn.ISFORMULA(INDEX('Game Records'!$Q:$Q,$H440))),NOT(_xlfn.ISFORMULA(INDEX('Game Records'!$R:$R,$H440))),NOT(_xlfn.ISFORMULA(INDEX('Game Records'!$S:$S,$H440))),NOT(_xlfn.ISFORMULA(INDEX('Game Records'!$T:$T,$H440))),NOT(_xlfn.ISFORMULA(INDEX('Game Records'!$U:$U,$H440))),NOT(_xlfn.ISFORMULA(INDEX('Game Records'!$V:$V,$H440))),NOT(_xlfn.ISFORMULA(INDEX('Game Records'!$W:$W,$H440))),NOT(_xlfn.ISFORMULA(INDEX('Game Records'!$X:$X,$H440))),NOT(_xlfn.ISFORMULA(INDEX('Game Records'!$Y:$Y,$H440))),NOT(_xlfn.ISFORMULA(INDEX('Game Records'!$Z:$Z,$H440)))),"","")&amp;IF(INDEX('Game Records'!$B:$B,$H440)="","Start Date; ","")&amp;IF(INDEX('Game Records'!$C:$C,$H440)="","End Date; ","")&amp;IF(AND(INDEX('Game Records'!$U:$U,$H440)&lt;&gt;"Subscription",INDEX('Game Records'!$U:$U,$H440)&lt;&gt;"Free Game",INDEX('Game Records'!$U:$U,$H440)&lt;&gt;"Disqualified — Free Game",OR(INDEX('Game Records'!$D:$D,$H440)="",LOWER(INDEX('Game Records'!$D:$D,$H440)&amp;"")="n/a")),"Entry Mode; ","")&amp;IF(AND(INDEX('Game Records'!$U:$U,$H440)&lt;&gt;"Subscription",INDEX('Game Records'!$U:$U,$H440)&lt;&gt;"Free Game",INDEX('Game Records'!$U:$U,$H440)&lt;&gt;"Disqualified — Free Game",OR(INDEX('Game Records'!$E:$E,$H440)="",LOWER(INDEX('Game Records'!$E:$E,$H440)&amp;"")="n/a")),"Game Type; ","")&amp;IF(INDEX('Game Records'!$F:$F,$H440)="","Payment Type; ","")&amp;IF(AND(INDEX('Game Records'!$U:$U,$H440)&lt;&gt;"Subscription",INDEX('Game Records'!$U:$U,$H440)&lt;&gt;"Free Game",INDEX('Game Records'!$U:$U,$H440)&lt;&gt;"Disqualified — Free Game",INDEX('Game Records'!$G:$G,$H440)=""),"Gross Pot; ","")&amp;IF(AND(INDEX('Game Records'!$U:$U,$H440)&lt;&gt;"Free Game",INDEX('Game Records'!$U:$U,$H440)&lt;&gt;"Disqualified — Free Game",INDEX('Game Records'!$H:$H,$H440)=""),"Entry Fee; ","")&amp;IF(AND(INDEX('Game Records'!$U:$U,$H440)&lt;&gt;"Subscription",INDEX('Game Records'!$U:$U,$H440)&lt;&gt;"Free Game",INDEX('Game Records'!$U:$U,$H440)&lt;&gt;"Disqualified — Free Game",INDEX('Game Records'!$I:$I,$H440)=""),"Eligible Players; ","")&amp;IF(AND(INDEX('Game Records'!$U:$U,$H440)&lt;&gt;"Subscription",INDEX('Game Records'!$U:$U,$H440)&lt;&gt;"Free Game",INDEX('Game Records'!$U:$U,$H440)&lt;&gt;"Disqualified — Free Game",INDEX('Game Records'!$J:$J,$H440)=""),"Total Players; ","")&amp;IF(AND(LOWER(INDEX('Game Records'!$D:$D,$H440)&amp;"")="finalized",LOWER(INDEX('Game Records'!$L:$L,$H440)&amp;"")&lt;&gt;"yes",INDEX('Game Records'!$U:$U,$H440)&lt;&gt;"Subscription",INDEX('Game Records'!$U:$U,$H440)&lt;&gt;"Free Game",INDEX('Game Records'!$U:$U,$H440)&lt;&gt;"Disqualified — Free Game",INDEX('Game Records'!$K:$K,$H440)=""),"Final Payout; ","")&amp;IF(AND(LOWER(INDEX('Game Records'!$D:$D,$H440)&amp;"")="finalized",INDEX('Game Records'!$U:$U,$H440)&lt;&gt;"Subscription",INDEX('Game Records'!$U:$U,$H440)&lt;&gt;"Free Game",INDEX('Game Records'!$U:$U,$H440)&lt;&gt;"Disqualified — Free Game",OR(INDEX('Game Records'!$L:$L,$H440)="",LOWER(INDEX('Game Records'!$L:$L,$H440)&amp;"")="n/a")),"Disqualified Status; ",""))</f>
        <v/>
      </c>
      <c r="G440" s="23" t="str">
        <f t="array" ref="G440">IF($H440="","",IFERROR(INDEX('Game Records'!$M:$M,$H440),""))</f>
        <v/>
      </c>
      <c r="H440" s="3"/>
    </row>
    <row r="441" ht="24.0" customHeight="1">
      <c r="A441" s="18" t="str">
        <f t="shared" si="1"/>
        <v/>
      </c>
      <c r="B441" s="18" t="str">
        <f t="shared" si="2"/>
        <v/>
      </c>
      <c r="C441" s="23" t="str">
        <f t="array" ref="C441">IF($H441="","",IFERROR(INDEX('Game Records'!$A:$A,$H441),""))</f>
        <v/>
      </c>
      <c r="D441" s="23" t="str">
        <f t="array" ref="D441">IF($H441="","",IFERROR(INDEX('Game Records'!$U:$U,$H441),""))</f>
        <v/>
      </c>
      <c r="E441" s="23" t="str">
        <f t="array" ref="E441">IF($H441="","",LET(r,$H441,mode,LOWER(INDEX('Game Records'!$D:$D,r)&amp;""),endDate,INDEX('Game Records'!$C:$C,r),IF(mode="estimate",IF(endDate="","Estimate — End Date missing",IF(NOT(ISNUMBER(endDate)),"Estimate — Check End Date",IF(INT(endDate)&gt;=TODAY(),"In Progress — ends "&amp;TEXT(endDate,"mmm d, yyyy"),"Ready to Finalize"))),IF($F441="","No Highlighted Fields","Highlighted Fields Present"))))</f>
        <v/>
      </c>
      <c r="F441" s="23" t="str">
        <f t="array" ref="F441">IF($H441="","",IF(OR(NOT(_xlfn.ISFORMULA(INDEX('Game Records'!$N:$N,$H441))),NOT(_xlfn.ISFORMULA(INDEX('Game Records'!$O:$O,$H441))),NOT(_xlfn.ISFORMULA(INDEX('Game Records'!$P:$P,$H441))),NOT(_xlfn.ISFORMULA(INDEX('Game Records'!$Q:$Q,$H441))),NOT(_xlfn.ISFORMULA(INDEX('Game Records'!$R:$R,$H441))),NOT(_xlfn.ISFORMULA(INDEX('Game Records'!$S:$S,$H441))),NOT(_xlfn.ISFORMULA(INDEX('Game Records'!$T:$T,$H441))),NOT(_xlfn.ISFORMULA(INDEX('Game Records'!$U:$U,$H441))),NOT(_xlfn.ISFORMULA(INDEX('Game Records'!$V:$V,$H441))),NOT(_xlfn.ISFORMULA(INDEX('Game Records'!$W:$W,$H441))),NOT(_xlfn.ISFORMULA(INDEX('Game Records'!$X:$X,$H441))),NOT(_xlfn.ISFORMULA(INDEX('Game Records'!$Y:$Y,$H441))),NOT(_xlfn.ISFORMULA(INDEX('Game Records'!$Z:$Z,$H441)))),"","")&amp;IF(INDEX('Game Records'!$B:$B,$H441)="","Start Date; ","")&amp;IF(INDEX('Game Records'!$C:$C,$H441)="","End Date; ","")&amp;IF(AND(INDEX('Game Records'!$U:$U,$H441)&lt;&gt;"Subscription",INDEX('Game Records'!$U:$U,$H441)&lt;&gt;"Free Game",INDEX('Game Records'!$U:$U,$H441)&lt;&gt;"Disqualified — Free Game",OR(INDEX('Game Records'!$D:$D,$H441)="",LOWER(INDEX('Game Records'!$D:$D,$H441)&amp;"")="n/a")),"Entry Mode; ","")&amp;IF(AND(INDEX('Game Records'!$U:$U,$H441)&lt;&gt;"Subscription",INDEX('Game Records'!$U:$U,$H441)&lt;&gt;"Free Game",INDEX('Game Records'!$U:$U,$H441)&lt;&gt;"Disqualified — Free Game",OR(INDEX('Game Records'!$E:$E,$H441)="",LOWER(INDEX('Game Records'!$E:$E,$H441)&amp;"")="n/a")),"Game Type; ","")&amp;IF(INDEX('Game Records'!$F:$F,$H441)="","Payment Type; ","")&amp;IF(AND(INDEX('Game Records'!$U:$U,$H441)&lt;&gt;"Subscription",INDEX('Game Records'!$U:$U,$H441)&lt;&gt;"Free Game",INDEX('Game Records'!$U:$U,$H441)&lt;&gt;"Disqualified — Free Game",INDEX('Game Records'!$G:$G,$H441)=""),"Gross Pot; ","")&amp;IF(AND(INDEX('Game Records'!$U:$U,$H441)&lt;&gt;"Free Game",INDEX('Game Records'!$U:$U,$H441)&lt;&gt;"Disqualified — Free Game",INDEX('Game Records'!$H:$H,$H441)=""),"Entry Fee; ","")&amp;IF(AND(INDEX('Game Records'!$U:$U,$H441)&lt;&gt;"Subscription",INDEX('Game Records'!$U:$U,$H441)&lt;&gt;"Free Game",INDEX('Game Records'!$U:$U,$H441)&lt;&gt;"Disqualified — Free Game",INDEX('Game Records'!$I:$I,$H441)=""),"Eligible Players; ","")&amp;IF(AND(INDEX('Game Records'!$U:$U,$H441)&lt;&gt;"Subscription",INDEX('Game Records'!$U:$U,$H441)&lt;&gt;"Free Game",INDEX('Game Records'!$U:$U,$H441)&lt;&gt;"Disqualified — Free Game",INDEX('Game Records'!$J:$J,$H441)=""),"Total Players; ","")&amp;IF(AND(LOWER(INDEX('Game Records'!$D:$D,$H441)&amp;"")="finalized",LOWER(INDEX('Game Records'!$L:$L,$H441)&amp;"")&lt;&gt;"yes",INDEX('Game Records'!$U:$U,$H441)&lt;&gt;"Subscription",INDEX('Game Records'!$U:$U,$H441)&lt;&gt;"Free Game",INDEX('Game Records'!$U:$U,$H441)&lt;&gt;"Disqualified — Free Game",INDEX('Game Records'!$K:$K,$H441)=""),"Final Payout; ","")&amp;IF(AND(LOWER(INDEX('Game Records'!$D:$D,$H441)&amp;"")="finalized",INDEX('Game Records'!$U:$U,$H441)&lt;&gt;"Subscription",INDEX('Game Records'!$U:$U,$H441)&lt;&gt;"Free Game",INDEX('Game Records'!$U:$U,$H441)&lt;&gt;"Disqualified — Free Game",OR(INDEX('Game Records'!$L:$L,$H441)="",LOWER(INDEX('Game Records'!$L:$L,$H441)&amp;"")="n/a")),"Disqualified Status; ",""))</f>
        <v/>
      </c>
      <c r="G441" s="23" t="str">
        <f t="array" ref="G441">IF($H441="","",IFERROR(INDEX('Game Records'!$M:$M,$H441),""))</f>
        <v/>
      </c>
      <c r="H441" s="3"/>
    </row>
    <row r="442" ht="24.0" customHeight="1">
      <c r="A442" s="18" t="str">
        <f t="shared" si="1"/>
        <v/>
      </c>
      <c r="B442" s="18" t="str">
        <f t="shared" si="2"/>
        <v/>
      </c>
      <c r="C442" s="23" t="str">
        <f t="array" ref="C442">IF($H442="","",IFERROR(INDEX('Game Records'!$A:$A,$H442),""))</f>
        <v/>
      </c>
      <c r="D442" s="23" t="str">
        <f t="array" ref="D442">IF($H442="","",IFERROR(INDEX('Game Records'!$U:$U,$H442),""))</f>
        <v/>
      </c>
      <c r="E442" s="23" t="str">
        <f t="array" ref="E442">IF($H442="","",LET(r,$H442,mode,LOWER(INDEX('Game Records'!$D:$D,r)&amp;""),endDate,INDEX('Game Records'!$C:$C,r),IF(mode="estimate",IF(endDate="","Estimate — End Date missing",IF(NOT(ISNUMBER(endDate)),"Estimate — Check End Date",IF(INT(endDate)&gt;=TODAY(),"In Progress — ends "&amp;TEXT(endDate,"mmm d, yyyy"),"Ready to Finalize"))),IF($F442="","No Highlighted Fields","Highlighted Fields Present"))))</f>
        <v/>
      </c>
      <c r="F442" s="23" t="str">
        <f t="array" ref="F442">IF($H442="","",IF(OR(NOT(_xlfn.ISFORMULA(INDEX('Game Records'!$N:$N,$H442))),NOT(_xlfn.ISFORMULA(INDEX('Game Records'!$O:$O,$H442))),NOT(_xlfn.ISFORMULA(INDEX('Game Records'!$P:$P,$H442))),NOT(_xlfn.ISFORMULA(INDEX('Game Records'!$Q:$Q,$H442))),NOT(_xlfn.ISFORMULA(INDEX('Game Records'!$R:$R,$H442))),NOT(_xlfn.ISFORMULA(INDEX('Game Records'!$S:$S,$H442))),NOT(_xlfn.ISFORMULA(INDEX('Game Records'!$T:$T,$H442))),NOT(_xlfn.ISFORMULA(INDEX('Game Records'!$U:$U,$H442))),NOT(_xlfn.ISFORMULA(INDEX('Game Records'!$V:$V,$H442))),NOT(_xlfn.ISFORMULA(INDEX('Game Records'!$W:$W,$H442))),NOT(_xlfn.ISFORMULA(INDEX('Game Records'!$X:$X,$H442))),NOT(_xlfn.ISFORMULA(INDEX('Game Records'!$Y:$Y,$H442))),NOT(_xlfn.ISFORMULA(INDEX('Game Records'!$Z:$Z,$H442)))),"","")&amp;IF(INDEX('Game Records'!$B:$B,$H442)="","Start Date; ","")&amp;IF(INDEX('Game Records'!$C:$C,$H442)="","End Date; ","")&amp;IF(AND(INDEX('Game Records'!$U:$U,$H442)&lt;&gt;"Subscription",INDEX('Game Records'!$U:$U,$H442)&lt;&gt;"Free Game",INDEX('Game Records'!$U:$U,$H442)&lt;&gt;"Disqualified — Free Game",OR(INDEX('Game Records'!$D:$D,$H442)="",LOWER(INDEX('Game Records'!$D:$D,$H442)&amp;"")="n/a")),"Entry Mode; ","")&amp;IF(AND(INDEX('Game Records'!$U:$U,$H442)&lt;&gt;"Subscription",INDEX('Game Records'!$U:$U,$H442)&lt;&gt;"Free Game",INDEX('Game Records'!$U:$U,$H442)&lt;&gt;"Disqualified — Free Game",OR(INDEX('Game Records'!$E:$E,$H442)="",LOWER(INDEX('Game Records'!$E:$E,$H442)&amp;"")="n/a")),"Game Type; ","")&amp;IF(INDEX('Game Records'!$F:$F,$H442)="","Payment Type; ","")&amp;IF(AND(INDEX('Game Records'!$U:$U,$H442)&lt;&gt;"Subscription",INDEX('Game Records'!$U:$U,$H442)&lt;&gt;"Free Game",INDEX('Game Records'!$U:$U,$H442)&lt;&gt;"Disqualified — Free Game",INDEX('Game Records'!$G:$G,$H442)=""),"Gross Pot; ","")&amp;IF(AND(INDEX('Game Records'!$U:$U,$H442)&lt;&gt;"Free Game",INDEX('Game Records'!$U:$U,$H442)&lt;&gt;"Disqualified — Free Game",INDEX('Game Records'!$H:$H,$H442)=""),"Entry Fee; ","")&amp;IF(AND(INDEX('Game Records'!$U:$U,$H442)&lt;&gt;"Subscription",INDEX('Game Records'!$U:$U,$H442)&lt;&gt;"Free Game",INDEX('Game Records'!$U:$U,$H442)&lt;&gt;"Disqualified — Free Game",INDEX('Game Records'!$I:$I,$H442)=""),"Eligible Players; ","")&amp;IF(AND(INDEX('Game Records'!$U:$U,$H442)&lt;&gt;"Subscription",INDEX('Game Records'!$U:$U,$H442)&lt;&gt;"Free Game",INDEX('Game Records'!$U:$U,$H442)&lt;&gt;"Disqualified — Free Game",INDEX('Game Records'!$J:$J,$H442)=""),"Total Players; ","")&amp;IF(AND(LOWER(INDEX('Game Records'!$D:$D,$H442)&amp;"")="finalized",LOWER(INDEX('Game Records'!$L:$L,$H442)&amp;"")&lt;&gt;"yes",INDEX('Game Records'!$U:$U,$H442)&lt;&gt;"Subscription",INDEX('Game Records'!$U:$U,$H442)&lt;&gt;"Free Game",INDEX('Game Records'!$U:$U,$H442)&lt;&gt;"Disqualified — Free Game",INDEX('Game Records'!$K:$K,$H442)=""),"Final Payout; ","")&amp;IF(AND(LOWER(INDEX('Game Records'!$D:$D,$H442)&amp;"")="finalized",INDEX('Game Records'!$U:$U,$H442)&lt;&gt;"Subscription",INDEX('Game Records'!$U:$U,$H442)&lt;&gt;"Free Game",INDEX('Game Records'!$U:$U,$H442)&lt;&gt;"Disqualified — Free Game",OR(INDEX('Game Records'!$L:$L,$H442)="",LOWER(INDEX('Game Records'!$L:$L,$H442)&amp;"")="n/a")),"Disqualified Status; ",""))</f>
        <v/>
      </c>
      <c r="G442" s="23" t="str">
        <f t="array" ref="G442">IF($H442="","",IFERROR(INDEX('Game Records'!$M:$M,$H442),""))</f>
        <v/>
      </c>
      <c r="H442" s="3"/>
    </row>
    <row r="443" ht="24.0" customHeight="1">
      <c r="A443" s="18" t="str">
        <f t="shared" si="1"/>
        <v/>
      </c>
      <c r="B443" s="18" t="str">
        <f t="shared" si="2"/>
        <v/>
      </c>
      <c r="C443" s="23" t="str">
        <f t="array" ref="C443">IF($H443="","",IFERROR(INDEX('Game Records'!$A:$A,$H443),""))</f>
        <v/>
      </c>
      <c r="D443" s="23" t="str">
        <f t="array" ref="D443">IF($H443="","",IFERROR(INDEX('Game Records'!$U:$U,$H443),""))</f>
        <v/>
      </c>
      <c r="E443" s="23" t="str">
        <f t="array" ref="E443">IF($H443="","",LET(r,$H443,mode,LOWER(INDEX('Game Records'!$D:$D,r)&amp;""),endDate,INDEX('Game Records'!$C:$C,r),IF(mode="estimate",IF(endDate="","Estimate — End Date missing",IF(NOT(ISNUMBER(endDate)),"Estimate — Check End Date",IF(INT(endDate)&gt;=TODAY(),"In Progress — ends "&amp;TEXT(endDate,"mmm d, yyyy"),"Ready to Finalize"))),IF($F443="","No Highlighted Fields","Highlighted Fields Present"))))</f>
        <v/>
      </c>
      <c r="F443" s="23" t="str">
        <f t="array" ref="F443">IF($H443="","",IF(OR(NOT(_xlfn.ISFORMULA(INDEX('Game Records'!$N:$N,$H443))),NOT(_xlfn.ISFORMULA(INDEX('Game Records'!$O:$O,$H443))),NOT(_xlfn.ISFORMULA(INDEX('Game Records'!$P:$P,$H443))),NOT(_xlfn.ISFORMULA(INDEX('Game Records'!$Q:$Q,$H443))),NOT(_xlfn.ISFORMULA(INDEX('Game Records'!$R:$R,$H443))),NOT(_xlfn.ISFORMULA(INDEX('Game Records'!$S:$S,$H443))),NOT(_xlfn.ISFORMULA(INDEX('Game Records'!$T:$T,$H443))),NOT(_xlfn.ISFORMULA(INDEX('Game Records'!$U:$U,$H443))),NOT(_xlfn.ISFORMULA(INDEX('Game Records'!$V:$V,$H443))),NOT(_xlfn.ISFORMULA(INDEX('Game Records'!$W:$W,$H443))),NOT(_xlfn.ISFORMULA(INDEX('Game Records'!$X:$X,$H443))),NOT(_xlfn.ISFORMULA(INDEX('Game Records'!$Y:$Y,$H443))),NOT(_xlfn.ISFORMULA(INDEX('Game Records'!$Z:$Z,$H443)))),"","")&amp;IF(INDEX('Game Records'!$B:$B,$H443)="","Start Date; ","")&amp;IF(INDEX('Game Records'!$C:$C,$H443)="","End Date; ","")&amp;IF(AND(INDEX('Game Records'!$U:$U,$H443)&lt;&gt;"Subscription",INDEX('Game Records'!$U:$U,$H443)&lt;&gt;"Free Game",INDEX('Game Records'!$U:$U,$H443)&lt;&gt;"Disqualified — Free Game",OR(INDEX('Game Records'!$D:$D,$H443)="",LOWER(INDEX('Game Records'!$D:$D,$H443)&amp;"")="n/a")),"Entry Mode; ","")&amp;IF(AND(INDEX('Game Records'!$U:$U,$H443)&lt;&gt;"Subscription",INDEX('Game Records'!$U:$U,$H443)&lt;&gt;"Free Game",INDEX('Game Records'!$U:$U,$H443)&lt;&gt;"Disqualified — Free Game",OR(INDEX('Game Records'!$E:$E,$H443)="",LOWER(INDEX('Game Records'!$E:$E,$H443)&amp;"")="n/a")),"Game Type; ","")&amp;IF(INDEX('Game Records'!$F:$F,$H443)="","Payment Type; ","")&amp;IF(AND(INDEX('Game Records'!$U:$U,$H443)&lt;&gt;"Subscription",INDEX('Game Records'!$U:$U,$H443)&lt;&gt;"Free Game",INDEX('Game Records'!$U:$U,$H443)&lt;&gt;"Disqualified — Free Game",INDEX('Game Records'!$G:$G,$H443)=""),"Gross Pot; ","")&amp;IF(AND(INDEX('Game Records'!$U:$U,$H443)&lt;&gt;"Free Game",INDEX('Game Records'!$U:$U,$H443)&lt;&gt;"Disqualified — Free Game",INDEX('Game Records'!$H:$H,$H443)=""),"Entry Fee; ","")&amp;IF(AND(INDEX('Game Records'!$U:$U,$H443)&lt;&gt;"Subscription",INDEX('Game Records'!$U:$U,$H443)&lt;&gt;"Free Game",INDEX('Game Records'!$U:$U,$H443)&lt;&gt;"Disqualified — Free Game",INDEX('Game Records'!$I:$I,$H443)=""),"Eligible Players; ","")&amp;IF(AND(INDEX('Game Records'!$U:$U,$H443)&lt;&gt;"Subscription",INDEX('Game Records'!$U:$U,$H443)&lt;&gt;"Free Game",INDEX('Game Records'!$U:$U,$H443)&lt;&gt;"Disqualified — Free Game",INDEX('Game Records'!$J:$J,$H443)=""),"Total Players; ","")&amp;IF(AND(LOWER(INDEX('Game Records'!$D:$D,$H443)&amp;"")="finalized",LOWER(INDEX('Game Records'!$L:$L,$H443)&amp;"")&lt;&gt;"yes",INDEX('Game Records'!$U:$U,$H443)&lt;&gt;"Subscription",INDEX('Game Records'!$U:$U,$H443)&lt;&gt;"Free Game",INDEX('Game Records'!$U:$U,$H443)&lt;&gt;"Disqualified — Free Game",INDEX('Game Records'!$K:$K,$H443)=""),"Final Payout; ","")&amp;IF(AND(LOWER(INDEX('Game Records'!$D:$D,$H443)&amp;"")="finalized",INDEX('Game Records'!$U:$U,$H443)&lt;&gt;"Subscription",INDEX('Game Records'!$U:$U,$H443)&lt;&gt;"Free Game",INDEX('Game Records'!$U:$U,$H443)&lt;&gt;"Disqualified — Free Game",OR(INDEX('Game Records'!$L:$L,$H443)="",LOWER(INDEX('Game Records'!$L:$L,$H443)&amp;"")="n/a")),"Disqualified Status; ",""))</f>
        <v/>
      </c>
      <c r="G443" s="23" t="str">
        <f t="array" ref="G443">IF($H443="","",IFERROR(INDEX('Game Records'!$M:$M,$H443),""))</f>
        <v/>
      </c>
      <c r="H443" s="3"/>
    </row>
    <row r="444" ht="24.0" customHeight="1">
      <c r="A444" s="18" t="str">
        <f t="shared" si="1"/>
        <v/>
      </c>
      <c r="B444" s="18" t="str">
        <f t="shared" si="2"/>
        <v/>
      </c>
      <c r="C444" s="23" t="str">
        <f t="array" ref="C444">IF($H444="","",IFERROR(INDEX('Game Records'!$A:$A,$H444),""))</f>
        <v/>
      </c>
      <c r="D444" s="23" t="str">
        <f t="array" ref="D444">IF($H444="","",IFERROR(INDEX('Game Records'!$U:$U,$H444),""))</f>
        <v/>
      </c>
      <c r="E444" s="23" t="str">
        <f t="array" ref="E444">IF($H444="","",LET(r,$H444,mode,LOWER(INDEX('Game Records'!$D:$D,r)&amp;""),endDate,INDEX('Game Records'!$C:$C,r),IF(mode="estimate",IF(endDate="","Estimate — End Date missing",IF(NOT(ISNUMBER(endDate)),"Estimate — Check End Date",IF(INT(endDate)&gt;=TODAY(),"In Progress — ends "&amp;TEXT(endDate,"mmm d, yyyy"),"Ready to Finalize"))),IF($F444="","No Highlighted Fields","Highlighted Fields Present"))))</f>
        <v/>
      </c>
      <c r="F444" s="23" t="str">
        <f t="array" ref="F444">IF($H444="","",IF(OR(NOT(_xlfn.ISFORMULA(INDEX('Game Records'!$N:$N,$H444))),NOT(_xlfn.ISFORMULA(INDEX('Game Records'!$O:$O,$H444))),NOT(_xlfn.ISFORMULA(INDEX('Game Records'!$P:$P,$H444))),NOT(_xlfn.ISFORMULA(INDEX('Game Records'!$Q:$Q,$H444))),NOT(_xlfn.ISFORMULA(INDEX('Game Records'!$R:$R,$H444))),NOT(_xlfn.ISFORMULA(INDEX('Game Records'!$S:$S,$H444))),NOT(_xlfn.ISFORMULA(INDEX('Game Records'!$T:$T,$H444))),NOT(_xlfn.ISFORMULA(INDEX('Game Records'!$U:$U,$H444))),NOT(_xlfn.ISFORMULA(INDEX('Game Records'!$V:$V,$H444))),NOT(_xlfn.ISFORMULA(INDEX('Game Records'!$W:$W,$H444))),NOT(_xlfn.ISFORMULA(INDEX('Game Records'!$X:$X,$H444))),NOT(_xlfn.ISFORMULA(INDEX('Game Records'!$Y:$Y,$H444))),NOT(_xlfn.ISFORMULA(INDEX('Game Records'!$Z:$Z,$H444)))),"","")&amp;IF(INDEX('Game Records'!$B:$B,$H444)="","Start Date; ","")&amp;IF(INDEX('Game Records'!$C:$C,$H444)="","End Date; ","")&amp;IF(AND(INDEX('Game Records'!$U:$U,$H444)&lt;&gt;"Subscription",INDEX('Game Records'!$U:$U,$H444)&lt;&gt;"Free Game",INDEX('Game Records'!$U:$U,$H444)&lt;&gt;"Disqualified — Free Game",OR(INDEX('Game Records'!$D:$D,$H444)="",LOWER(INDEX('Game Records'!$D:$D,$H444)&amp;"")="n/a")),"Entry Mode; ","")&amp;IF(AND(INDEX('Game Records'!$U:$U,$H444)&lt;&gt;"Subscription",INDEX('Game Records'!$U:$U,$H444)&lt;&gt;"Free Game",INDEX('Game Records'!$U:$U,$H444)&lt;&gt;"Disqualified — Free Game",OR(INDEX('Game Records'!$E:$E,$H444)="",LOWER(INDEX('Game Records'!$E:$E,$H444)&amp;"")="n/a")),"Game Type; ","")&amp;IF(INDEX('Game Records'!$F:$F,$H444)="","Payment Type; ","")&amp;IF(AND(INDEX('Game Records'!$U:$U,$H444)&lt;&gt;"Subscription",INDEX('Game Records'!$U:$U,$H444)&lt;&gt;"Free Game",INDEX('Game Records'!$U:$U,$H444)&lt;&gt;"Disqualified — Free Game",INDEX('Game Records'!$G:$G,$H444)=""),"Gross Pot; ","")&amp;IF(AND(INDEX('Game Records'!$U:$U,$H444)&lt;&gt;"Free Game",INDEX('Game Records'!$U:$U,$H444)&lt;&gt;"Disqualified — Free Game",INDEX('Game Records'!$H:$H,$H444)=""),"Entry Fee; ","")&amp;IF(AND(INDEX('Game Records'!$U:$U,$H444)&lt;&gt;"Subscription",INDEX('Game Records'!$U:$U,$H444)&lt;&gt;"Free Game",INDEX('Game Records'!$U:$U,$H444)&lt;&gt;"Disqualified — Free Game",INDEX('Game Records'!$I:$I,$H444)=""),"Eligible Players; ","")&amp;IF(AND(INDEX('Game Records'!$U:$U,$H444)&lt;&gt;"Subscription",INDEX('Game Records'!$U:$U,$H444)&lt;&gt;"Free Game",INDEX('Game Records'!$U:$U,$H444)&lt;&gt;"Disqualified — Free Game",INDEX('Game Records'!$J:$J,$H444)=""),"Total Players; ","")&amp;IF(AND(LOWER(INDEX('Game Records'!$D:$D,$H444)&amp;"")="finalized",LOWER(INDEX('Game Records'!$L:$L,$H444)&amp;"")&lt;&gt;"yes",INDEX('Game Records'!$U:$U,$H444)&lt;&gt;"Subscription",INDEX('Game Records'!$U:$U,$H444)&lt;&gt;"Free Game",INDEX('Game Records'!$U:$U,$H444)&lt;&gt;"Disqualified — Free Game",INDEX('Game Records'!$K:$K,$H444)=""),"Final Payout; ","")&amp;IF(AND(LOWER(INDEX('Game Records'!$D:$D,$H444)&amp;"")="finalized",INDEX('Game Records'!$U:$U,$H444)&lt;&gt;"Subscription",INDEX('Game Records'!$U:$U,$H444)&lt;&gt;"Free Game",INDEX('Game Records'!$U:$U,$H444)&lt;&gt;"Disqualified — Free Game",OR(INDEX('Game Records'!$L:$L,$H444)="",LOWER(INDEX('Game Records'!$L:$L,$H444)&amp;"")="n/a")),"Disqualified Status; ",""))</f>
        <v/>
      </c>
      <c r="G444" s="23" t="str">
        <f t="array" ref="G444">IF($H444="","",IFERROR(INDEX('Game Records'!$M:$M,$H444),""))</f>
        <v/>
      </c>
      <c r="H444" s="3"/>
    </row>
    <row r="445" ht="24.0" customHeight="1">
      <c r="A445" s="18" t="str">
        <f t="shared" si="1"/>
        <v/>
      </c>
      <c r="B445" s="18" t="str">
        <f t="shared" si="2"/>
        <v/>
      </c>
      <c r="C445" s="23" t="str">
        <f t="array" ref="C445">IF($H445="","",IFERROR(INDEX('Game Records'!$A:$A,$H445),""))</f>
        <v/>
      </c>
      <c r="D445" s="23" t="str">
        <f t="array" ref="D445">IF($H445="","",IFERROR(INDEX('Game Records'!$U:$U,$H445),""))</f>
        <v/>
      </c>
      <c r="E445" s="23" t="str">
        <f t="array" ref="E445">IF($H445="","",LET(r,$H445,mode,LOWER(INDEX('Game Records'!$D:$D,r)&amp;""),endDate,INDEX('Game Records'!$C:$C,r),IF(mode="estimate",IF(endDate="","Estimate — End Date missing",IF(NOT(ISNUMBER(endDate)),"Estimate — Check End Date",IF(INT(endDate)&gt;=TODAY(),"In Progress — ends "&amp;TEXT(endDate,"mmm d, yyyy"),"Ready to Finalize"))),IF($F445="","No Highlighted Fields","Highlighted Fields Present"))))</f>
        <v/>
      </c>
      <c r="F445" s="23" t="str">
        <f t="array" ref="F445">IF($H445="","",IF(OR(NOT(_xlfn.ISFORMULA(INDEX('Game Records'!$N:$N,$H445))),NOT(_xlfn.ISFORMULA(INDEX('Game Records'!$O:$O,$H445))),NOT(_xlfn.ISFORMULA(INDEX('Game Records'!$P:$P,$H445))),NOT(_xlfn.ISFORMULA(INDEX('Game Records'!$Q:$Q,$H445))),NOT(_xlfn.ISFORMULA(INDEX('Game Records'!$R:$R,$H445))),NOT(_xlfn.ISFORMULA(INDEX('Game Records'!$S:$S,$H445))),NOT(_xlfn.ISFORMULA(INDEX('Game Records'!$T:$T,$H445))),NOT(_xlfn.ISFORMULA(INDEX('Game Records'!$U:$U,$H445))),NOT(_xlfn.ISFORMULA(INDEX('Game Records'!$V:$V,$H445))),NOT(_xlfn.ISFORMULA(INDEX('Game Records'!$W:$W,$H445))),NOT(_xlfn.ISFORMULA(INDEX('Game Records'!$X:$X,$H445))),NOT(_xlfn.ISFORMULA(INDEX('Game Records'!$Y:$Y,$H445))),NOT(_xlfn.ISFORMULA(INDEX('Game Records'!$Z:$Z,$H445)))),"","")&amp;IF(INDEX('Game Records'!$B:$B,$H445)="","Start Date; ","")&amp;IF(INDEX('Game Records'!$C:$C,$H445)="","End Date; ","")&amp;IF(AND(INDEX('Game Records'!$U:$U,$H445)&lt;&gt;"Subscription",INDEX('Game Records'!$U:$U,$H445)&lt;&gt;"Free Game",INDEX('Game Records'!$U:$U,$H445)&lt;&gt;"Disqualified — Free Game",OR(INDEX('Game Records'!$D:$D,$H445)="",LOWER(INDEX('Game Records'!$D:$D,$H445)&amp;"")="n/a")),"Entry Mode; ","")&amp;IF(AND(INDEX('Game Records'!$U:$U,$H445)&lt;&gt;"Subscription",INDEX('Game Records'!$U:$U,$H445)&lt;&gt;"Free Game",INDEX('Game Records'!$U:$U,$H445)&lt;&gt;"Disqualified — Free Game",OR(INDEX('Game Records'!$E:$E,$H445)="",LOWER(INDEX('Game Records'!$E:$E,$H445)&amp;"")="n/a")),"Game Type; ","")&amp;IF(INDEX('Game Records'!$F:$F,$H445)="","Payment Type; ","")&amp;IF(AND(INDEX('Game Records'!$U:$U,$H445)&lt;&gt;"Subscription",INDEX('Game Records'!$U:$U,$H445)&lt;&gt;"Free Game",INDEX('Game Records'!$U:$U,$H445)&lt;&gt;"Disqualified — Free Game",INDEX('Game Records'!$G:$G,$H445)=""),"Gross Pot; ","")&amp;IF(AND(INDEX('Game Records'!$U:$U,$H445)&lt;&gt;"Free Game",INDEX('Game Records'!$U:$U,$H445)&lt;&gt;"Disqualified — Free Game",INDEX('Game Records'!$H:$H,$H445)=""),"Entry Fee; ","")&amp;IF(AND(INDEX('Game Records'!$U:$U,$H445)&lt;&gt;"Subscription",INDEX('Game Records'!$U:$U,$H445)&lt;&gt;"Free Game",INDEX('Game Records'!$U:$U,$H445)&lt;&gt;"Disqualified — Free Game",INDEX('Game Records'!$I:$I,$H445)=""),"Eligible Players; ","")&amp;IF(AND(INDEX('Game Records'!$U:$U,$H445)&lt;&gt;"Subscription",INDEX('Game Records'!$U:$U,$H445)&lt;&gt;"Free Game",INDEX('Game Records'!$U:$U,$H445)&lt;&gt;"Disqualified — Free Game",INDEX('Game Records'!$J:$J,$H445)=""),"Total Players; ","")&amp;IF(AND(LOWER(INDEX('Game Records'!$D:$D,$H445)&amp;"")="finalized",LOWER(INDEX('Game Records'!$L:$L,$H445)&amp;"")&lt;&gt;"yes",INDEX('Game Records'!$U:$U,$H445)&lt;&gt;"Subscription",INDEX('Game Records'!$U:$U,$H445)&lt;&gt;"Free Game",INDEX('Game Records'!$U:$U,$H445)&lt;&gt;"Disqualified — Free Game",INDEX('Game Records'!$K:$K,$H445)=""),"Final Payout; ","")&amp;IF(AND(LOWER(INDEX('Game Records'!$D:$D,$H445)&amp;"")="finalized",INDEX('Game Records'!$U:$U,$H445)&lt;&gt;"Subscription",INDEX('Game Records'!$U:$U,$H445)&lt;&gt;"Free Game",INDEX('Game Records'!$U:$U,$H445)&lt;&gt;"Disqualified — Free Game",OR(INDEX('Game Records'!$L:$L,$H445)="",LOWER(INDEX('Game Records'!$L:$L,$H445)&amp;"")="n/a")),"Disqualified Status; ",""))</f>
        <v/>
      </c>
      <c r="G445" s="23" t="str">
        <f t="array" ref="G445">IF($H445="","",IFERROR(INDEX('Game Records'!$M:$M,$H445),""))</f>
        <v/>
      </c>
      <c r="H445" s="3"/>
    </row>
    <row r="446" ht="24.0" customHeight="1">
      <c r="A446" s="18" t="str">
        <f t="shared" si="1"/>
        <v/>
      </c>
      <c r="B446" s="18" t="str">
        <f t="shared" si="2"/>
        <v/>
      </c>
      <c r="C446" s="23" t="str">
        <f t="array" ref="C446">IF($H446="","",IFERROR(INDEX('Game Records'!$A:$A,$H446),""))</f>
        <v/>
      </c>
      <c r="D446" s="23" t="str">
        <f t="array" ref="D446">IF($H446="","",IFERROR(INDEX('Game Records'!$U:$U,$H446),""))</f>
        <v/>
      </c>
      <c r="E446" s="23" t="str">
        <f t="array" ref="E446">IF($H446="","",LET(r,$H446,mode,LOWER(INDEX('Game Records'!$D:$D,r)&amp;""),endDate,INDEX('Game Records'!$C:$C,r),IF(mode="estimate",IF(endDate="","Estimate — End Date missing",IF(NOT(ISNUMBER(endDate)),"Estimate — Check End Date",IF(INT(endDate)&gt;=TODAY(),"In Progress — ends "&amp;TEXT(endDate,"mmm d, yyyy"),"Ready to Finalize"))),IF($F446="","No Highlighted Fields","Highlighted Fields Present"))))</f>
        <v/>
      </c>
      <c r="F446" s="23" t="str">
        <f t="array" ref="F446">IF($H446="","",IF(OR(NOT(_xlfn.ISFORMULA(INDEX('Game Records'!$N:$N,$H446))),NOT(_xlfn.ISFORMULA(INDEX('Game Records'!$O:$O,$H446))),NOT(_xlfn.ISFORMULA(INDEX('Game Records'!$P:$P,$H446))),NOT(_xlfn.ISFORMULA(INDEX('Game Records'!$Q:$Q,$H446))),NOT(_xlfn.ISFORMULA(INDEX('Game Records'!$R:$R,$H446))),NOT(_xlfn.ISFORMULA(INDEX('Game Records'!$S:$S,$H446))),NOT(_xlfn.ISFORMULA(INDEX('Game Records'!$T:$T,$H446))),NOT(_xlfn.ISFORMULA(INDEX('Game Records'!$U:$U,$H446))),NOT(_xlfn.ISFORMULA(INDEX('Game Records'!$V:$V,$H446))),NOT(_xlfn.ISFORMULA(INDEX('Game Records'!$W:$W,$H446))),NOT(_xlfn.ISFORMULA(INDEX('Game Records'!$X:$X,$H446))),NOT(_xlfn.ISFORMULA(INDEX('Game Records'!$Y:$Y,$H446))),NOT(_xlfn.ISFORMULA(INDEX('Game Records'!$Z:$Z,$H446)))),"","")&amp;IF(INDEX('Game Records'!$B:$B,$H446)="","Start Date; ","")&amp;IF(INDEX('Game Records'!$C:$C,$H446)="","End Date; ","")&amp;IF(AND(INDEX('Game Records'!$U:$U,$H446)&lt;&gt;"Subscription",INDEX('Game Records'!$U:$U,$H446)&lt;&gt;"Free Game",INDEX('Game Records'!$U:$U,$H446)&lt;&gt;"Disqualified — Free Game",OR(INDEX('Game Records'!$D:$D,$H446)="",LOWER(INDEX('Game Records'!$D:$D,$H446)&amp;"")="n/a")),"Entry Mode; ","")&amp;IF(AND(INDEX('Game Records'!$U:$U,$H446)&lt;&gt;"Subscription",INDEX('Game Records'!$U:$U,$H446)&lt;&gt;"Free Game",INDEX('Game Records'!$U:$U,$H446)&lt;&gt;"Disqualified — Free Game",OR(INDEX('Game Records'!$E:$E,$H446)="",LOWER(INDEX('Game Records'!$E:$E,$H446)&amp;"")="n/a")),"Game Type; ","")&amp;IF(INDEX('Game Records'!$F:$F,$H446)="","Payment Type; ","")&amp;IF(AND(INDEX('Game Records'!$U:$U,$H446)&lt;&gt;"Subscription",INDEX('Game Records'!$U:$U,$H446)&lt;&gt;"Free Game",INDEX('Game Records'!$U:$U,$H446)&lt;&gt;"Disqualified — Free Game",INDEX('Game Records'!$G:$G,$H446)=""),"Gross Pot; ","")&amp;IF(AND(INDEX('Game Records'!$U:$U,$H446)&lt;&gt;"Free Game",INDEX('Game Records'!$U:$U,$H446)&lt;&gt;"Disqualified — Free Game",INDEX('Game Records'!$H:$H,$H446)=""),"Entry Fee; ","")&amp;IF(AND(INDEX('Game Records'!$U:$U,$H446)&lt;&gt;"Subscription",INDEX('Game Records'!$U:$U,$H446)&lt;&gt;"Free Game",INDEX('Game Records'!$U:$U,$H446)&lt;&gt;"Disqualified — Free Game",INDEX('Game Records'!$I:$I,$H446)=""),"Eligible Players; ","")&amp;IF(AND(INDEX('Game Records'!$U:$U,$H446)&lt;&gt;"Subscription",INDEX('Game Records'!$U:$U,$H446)&lt;&gt;"Free Game",INDEX('Game Records'!$U:$U,$H446)&lt;&gt;"Disqualified — Free Game",INDEX('Game Records'!$J:$J,$H446)=""),"Total Players; ","")&amp;IF(AND(LOWER(INDEX('Game Records'!$D:$D,$H446)&amp;"")="finalized",LOWER(INDEX('Game Records'!$L:$L,$H446)&amp;"")&lt;&gt;"yes",INDEX('Game Records'!$U:$U,$H446)&lt;&gt;"Subscription",INDEX('Game Records'!$U:$U,$H446)&lt;&gt;"Free Game",INDEX('Game Records'!$U:$U,$H446)&lt;&gt;"Disqualified — Free Game",INDEX('Game Records'!$K:$K,$H446)=""),"Final Payout; ","")&amp;IF(AND(LOWER(INDEX('Game Records'!$D:$D,$H446)&amp;"")="finalized",INDEX('Game Records'!$U:$U,$H446)&lt;&gt;"Subscription",INDEX('Game Records'!$U:$U,$H446)&lt;&gt;"Free Game",INDEX('Game Records'!$U:$U,$H446)&lt;&gt;"Disqualified — Free Game",OR(INDEX('Game Records'!$L:$L,$H446)="",LOWER(INDEX('Game Records'!$L:$L,$H446)&amp;"")="n/a")),"Disqualified Status; ",""))</f>
        <v/>
      </c>
      <c r="G446" s="23" t="str">
        <f t="array" ref="G446">IF($H446="","",IFERROR(INDEX('Game Records'!$M:$M,$H446),""))</f>
        <v/>
      </c>
      <c r="H446" s="3"/>
    </row>
    <row r="447" ht="24.0" customHeight="1">
      <c r="A447" s="18" t="str">
        <f t="shared" si="1"/>
        <v/>
      </c>
      <c r="B447" s="18" t="str">
        <f t="shared" si="2"/>
        <v/>
      </c>
      <c r="C447" s="23" t="str">
        <f t="array" ref="C447">IF($H447="","",IFERROR(INDEX('Game Records'!$A:$A,$H447),""))</f>
        <v/>
      </c>
      <c r="D447" s="23" t="str">
        <f t="array" ref="D447">IF($H447="","",IFERROR(INDEX('Game Records'!$U:$U,$H447),""))</f>
        <v/>
      </c>
      <c r="E447" s="23" t="str">
        <f t="array" ref="E447">IF($H447="","",LET(r,$H447,mode,LOWER(INDEX('Game Records'!$D:$D,r)&amp;""),endDate,INDEX('Game Records'!$C:$C,r),IF(mode="estimate",IF(endDate="","Estimate — End Date missing",IF(NOT(ISNUMBER(endDate)),"Estimate — Check End Date",IF(INT(endDate)&gt;=TODAY(),"In Progress — ends "&amp;TEXT(endDate,"mmm d, yyyy"),"Ready to Finalize"))),IF($F447="","No Highlighted Fields","Highlighted Fields Present"))))</f>
        <v/>
      </c>
      <c r="F447" s="23" t="str">
        <f t="array" ref="F447">IF($H447="","",IF(OR(NOT(_xlfn.ISFORMULA(INDEX('Game Records'!$N:$N,$H447))),NOT(_xlfn.ISFORMULA(INDEX('Game Records'!$O:$O,$H447))),NOT(_xlfn.ISFORMULA(INDEX('Game Records'!$P:$P,$H447))),NOT(_xlfn.ISFORMULA(INDEX('Game Records'!$Q:$Q,$H447))),NOT(_xlfn.ISFORMULA(INDEX('Game Records'!$R:$R,$H447))),NOT(_xlfn.ISFORMULA(INDEX('Game Records'!$S:$S,$H447))),NOT(_xlfn.ISFORMULA(INDEX('Game Records'!$T:$T,$H447))),NOT(_xlfn.ISFORMULA(INDEX('Game Records'!$U:$U,$H447))),NOT(_xlfn.ISFORMULA(INDEX('Game Records'!$V:$V,$H447))),NOT(_xlfn.ISFORMULA(INDEX('Game Records'!$W:$W,$H447))),NOT(_xlfn.ISFORMULA(INDEX('Game Records'!$X:$X,$H447))),NOT(_xlfn.ISFORMULA(INDEX('Game Records'!$Y:$Y,$H447))),NOT(_xlfn.ISFORMULA(INDEX('Game Records'!$Z:$Z,$H447)))),"","")&amp;IF(INDEX('Game Records'!$B:$B,$H447)="","Start Date; ","")&amp;IF(INDEX('Game Records'!$C:$C,$H447)="","End Date; ","")&amp;IF(AND(INDEX('Game Records'!$U:$U,$H447)&lt;&gt;"Subscription",INDEX('Game Records'!$U:$U,$H447)&lt;&gt;"Free Game",INDEX('Game Records'!$U:$U,$H447)&lt;&gt;"Disqualified — Free Game",OR(INDEX('Game Records'!$D:$D,$H447)="",LOWER(INDEX('Game Records'!$D:$D,$H447)&amp;"")="n/a")),"Entry Mode; ","")&amp;IF(AND(INDEX('Game Records'!$U:$U,$H447)&lt;&gt;"Subscription",INDEX('Game Records'!$U:$U,$H447)&lt;&gt;"Free Game",INDEX('Game Records'!$U:$U,$H447)&lt;&gt;"Disqualified — Free Game",OR(INDEX('Game Records'!$E:$E,$H447)="",LOWER(INDEX('Game Records'!$E:$E,$H447)&amp;"")="n/a")),"Game Type; ","")&amp;IF(INDEX('Game Records'!$F:$F,$H447)="","Payment Type; ","")&amp;IF(AND(INDEX('Game Records'!$U:$U,$H447)&lt;&gt;"Subscription",INDEX('Game Records'!$U:$U,$H447)&lt;&gt;"Free Game",INDEX('Game Records'!$U:$U,$H447)&lt;&gt;"Disqualified — Free Game",INDEX('Game Records'!$G:$G,$H447)=""),"Gross Pot; ","")&amp;IF(AND(INDEX('Game Records'!$U:$U,$H447)&lt;&gt;"Free Game",INDEX('Game Records'!$U:$U,$H447)&lt;&gt;"Disqualified — Free Game",INDEX('Game Records'!$H:$H,$H447)=""),"Entry Fee; ","")&amp;IF(AND(INDEX('Game Records'!$U:$U,$H447)&lt;&gt;"Subscription",INDEX('Game Records'!$U:$U,$H447)&lt;&gt;"Free Game",INDEX('Game Records'!$U:$U,$H447)&lt;&gt;"Disqualified — Free Game",INDEX('Game Records'!$I:$I,$H447)=""),"Eligible Players; ","")&amp;IF(AND(INDEX('Game Records'!$U:$U,$H447)&lt;&gt;"Subscription",INDEX('Game Records'!$U:$U,$H447)&lt;&gt;"Free Game",INDEX('Game Records'!$U:$U,$H447)&lt;&gt;"Disqualified — Free Game",INDEX('Game Records'!$J:$J,$H447)=""),"Total Players; ","")&amp;IF(AND(LOWER(INDEX('Game Records'!$D:$D,$H447)&amp;"")="finalized",LOWER(INDEX('Game Records'!$L:$L,$H447)&amp;"")&lt;&gt;"yes",INDEX('Game Records'!$U:$U,$H447)&lt;&gt;"Subscription",INDEX('Game Records'!$U:$U,$H447)&lt;&gt;"Free Game",INDEX('Game Records'!$U:$U,$H447)&lt;&gt;"Disqualified — Free Game",INDEX('Game Records'!$K:$K,$H447)=""),"Final Payout; ","")&amp;IF(AND(LOWER(INDEX('Game Records'!$D:$D,$H447)&amp;"")="finalized",INDEX('Game Records'!$U:$U,$H447)&lt;&gt;"Subscription",INDEX('Game Records'!$U:$U,$H447)&lt;&gt;"Free Game",INDEX('Game Records'!$U:$U,$H447)&lt;&gt;"Disqualified — Free Game",OR(INDEX('Game Records'!$L:$L,$H447)="",LOWER(INDEX('Game Records'!$L:$L,$H447)&amp;"")="n/a")),"Disqualified Status; ",""))</f>
        <v/>
      </c>
      <c r="G447" s="23" t="str">
        <f t="array" ref="G447">IF($H447="","",IFERROR(INDEX('Game Records'!$M:$M,$H447),""))</f>
        <v/>
      </c>
      <c r="H447" s="3"/>
    </row>
    <row r="448" ht="24.0" customHeight="1">
      <c r="A448" s="18" t="str">
        <f t="shared" si="1"/>
        <v/>
      </c>
      <c r="B448" s="18" t="str">
        <f t="shared" si="2"/>
        <v/>
      </c>
      <c r="C448" s="23" t="str">
        <f t="array" ref="C448">IF($H448="","",IFERROR(INDEX('Game Records'!$A:$A,$H448),""))</f>
        <v/>
      </c>
      <c r="D448" s="23" t="str">
        <f t="array" ref="D448">IF($H448="","",IFERROR(INDEX('Game Records'!$U:$U,$H448),""))</f>
        <v/>
      </c>
      <c r="E448" s="23" t="str">
        <f t="array" ref="E448">IF($H448="","",LET(r,$H448,mode,LOWER(INDEX('Game Records'!$D:$D,r)&amp;""),endDate,INDEX('Game Records'!$C:$C,r),IF(mode="estimate",IF(endDate="","Estimate — End Date missing",IF(NOT(ISNUMBER(endDate)),"Estimate — Check End Date",IF(INT(endDate)&gt;=TODAY(),"In Progress — ends "&amp;TEXT(endDate,"mmm d, yyyy"),"Ready to Finalize"))),IF($F448="","No Highlighted Fields","Highlighted Fields Present"))))</f>
        <v/>
      </c>
      <c r="F448" s="23" t="str">
        <f t="array" ref="F448">IF($H448="","",IF(OR(NOT(_xlfn.ISFORMULA(INDEX('Game Records'!$N:$N,$H448))),NOT(_xlfn.ISFORMULA(INDEX('Game Records'!$O:$O,$H448))),NOT(_xlfn.ISFORMULA(INDEX('Game Records'!$P:$P,$H448))),NOT(_xlfn.ISFORMULA(INDEX('Game Records'!$Q:$Q,$H448))),NOT(_xlfn.ISFORMULA(INDEX('Game Records'!$R:$R,$H448))),NOT(_xlfn.ISFORMULA(INDEX('Game Records'!$S:$S,$H448))),NOT(_xlfn.ISFORMULA(INDEX('Game Records'!$T:$T,$H448))),NOT(_xlfn.ISFORMULA(INDEX('Game Records'!$U:$U,$H448))),NOT(_xlfn.ISFORMULA(INDEX('Game Records'!$V:$V,$H448))),NOT(_xlfn.ISFORMULA(INDEX('Game Records'!$W:$W,$H448))),NOT(_xlfn.ISFORMULA(INDEX('Game Records'!$X:$X,$H448))),NOT(_xlfn.ISFORMULA(INDEX('Game Records'!$Y:$Y,$H448))),NOT(_xlfn.ISFORMULA(INDEX('Game Records'!$Z:$Z,$H448)))),"","")&amp;IF(INDEX('Game Records'!$B:$B,$H448)="","Start Date; ","")&amp;IF(INDEX('Game Records'!$C:$C,$H448)="","End Date; ","")&amp;IF(AND(INDEX('Game Records'!$U:$U,$H448)&lt;&gt;"Subscription",INDEX('Game Records'!$U:$U,$H448)&lt;&gt;"Free Game",INDEX('Game Records'!$U:$U,$H448)&lt;&gt;"Disqualified — Free Game",OR(INDEX('Game Records'!$D:$D,$H448)="",LOWER(INDEX('Game Records'!$D:$D,$H448)&amp;"")="n/a")),"Entry Mode; ","")&amp;IF(AND(INDEX('Game Records'!$U:$U,$H448)&lt;&gt;"Subscription",INDEX('Game Records'!$U:$U,$H448)&lt;&gt;"Free Game",INDEX('Game Records'!$U:$U,$H448)&lt;&gt;"Disqualified — Free Game",OR(INDEX('Game Records'!$E:$E,$H448)="",LOWER(INDEX('Game Records'!$E:$E,$H448)&amp;"")="n/a")),"Game Type; ","")&amp;IF(INDEX('Game Records'!$F:$F,$H448)="","Payment Type; ","")&amp;IF(AND(INDEX('Game Records'!$U:$U,$H448)&lt;&gt;"Subscription",INDEX('Game Records'!$U:$U,$H448)&lt;&gt;"Free Game",INDEX('Game Records'!$U:$U,$H448)&lt;&gt;"Disqualified — Free Game",INDEX('Game Records'!$G:$G,$H448)=""),"Gross Pot; ","")&amp;IF(AND(INDEX('Game Records'!$U:$U,$H448)&lt;&gt;"Free Game",INDEX('Game Records'!$U:$U,$H448)&lt;&gt;"Disqualified — Free Game",INDEX('Game Records'!$H:$H,$H448)=""),"Entry Fee; ","")&amp;IF(AND(INDEX('Game Records'!$U:$U,$H448)&lt;&gt;"Subscription",INDEX('Game Records'!$U:$U,$H448)&lt;&gt;"Free Game",INDEX('Game Records'!$U:$U,$H448)&lt;&gt;"Disqualified — Free Game",INDEX('Game Records'!$I:$I,$H448)=""),"Eligible Players; ","")&amp;IF(AND(INDEX('Game Records'!$U:$U,$H448)&lt;&gt;"Subscription",INDEX('Game Records'!$U:$U,$H448)&lt;&gt;"Free Game",INDEX('Game Records'!$U:$U,$H448)&lt;&gt;"Disqualified — Free Game",INDEX('Game Records'!$J:$J,$H448)=""),"Total Players; ","")&amp;IF(AND(LOWER(INDEX('Game Records'!$D:$D,$H448)&amp;"")="finalized",LOWER(INDEX('Game Records'!$L:$L,$H448)&amp;"")&lt;&gt;"yes",INDEX('Game Records'!$U:$U,$H448)&lt;&gt;"Subscription",INDEX('Game Records'!$U:$U,$H448)&lt;&gt;"Free Game",INDEX('Game Records'!$U:$U,$H448)&lt;&gt;"Disqualified — Free Game",INDEX('Game Records'!$K:$K,$H448)=""),"Final Payout; ","")&amp;IF(AND(LOWER(INDEX('Game Records'!$D:$D,$H448)&amp;"")="finalized",INDEX('Game Records'!$U:$U,$H448)&lt;&gt;"Subscription",INDEX('Game Records'!$U:$U,$H448)&lt;&gt;"Free Game",INDEX('Game Records'!$U:$U,$H448)&lt;&gt;"Disqualified — Free Game",OR(INDEX('Game Records'!$L:$L,$H448)="",LOWER(INDEX('Game Records'!$L:$L,$H448)&amp;"")="n/a")),"Disqualified Status; ",""))</f>
        <v/>
      </c>
      <c r="G448" s="23" t="str">
        <f t="array" ref="G448">IF($H448="","",IFERROR(INDEX('Game Records'!$M:$M,$H448),""))</f>
        <v/>
      </c>
      <c r="H448" s="3"/>
    </row>
    <row r="449" ht="24.0" customHeight="1">
      <c r="A449" s="18" t="str">
        <f t="shared" si="1"/>
        <v/>
      </c>
      <c r="B449" s="18" t="str">
        <f t="shared" si="2"/>
        <v/>
      </c>
      <c r="C449" s="23" t="str">
        <f t="array" ref="C449">IF($H449="","",IFERROR(INDEX('Game Records'!$A:$A,$H449),""))</f>
        <v/>
      </c>
      <c r="D449" s="23" t="str">
        <f t="array" ref="D449">IF($H449="","",IFERROR(INDEX('Game Records'!$U:$U,$H449),""))</f>
        <v/>
      </c>
      <c r="E449" s="23" t="str">
        <f t="array" ref="E449">IF($H449="","",LET(r,$H449,mode,LOWER(INDEX('Game Records'!$D:$D,r)&amp;""),endDate,INDEX('Game Records'!$C:$C,r),IF(mode="estimate",IF(endDate="","Estimate — End Date missing",IF(NOT(ISNUMBER(endDate)),"Estimate — Check End Date",IF(INT(endDate)&gt;=TODAY(),"In Progress — ends "&amp;TEXT(endDate,"mmm d, yyyy"),"Ready to Finalize"))),IF($F449="","No Highlighted Fields","Highlighted Fields Present"))))</f>
        <v/>
      </c>
      <c r="F449" s="23" t="str">
        <f t="array" ref="F449">IF($H449="","",IF(OR(NOT(_xlfn.ISFORMULA(INDEX('Game Records'!$N:$N,$H449))),NOT(_xlfn.ISFORMULA(INDEX('Game Records'!$O:$O,$H449))),NOT(_xlfn.ISFORMULA(INDEX('Game Records'!$P:$P,$H449))),NOT(_xlfn.ISFORMULA(INDEX('Game Records'!$Q:$Q,$H449))),NOT(_xlfn.ISFORMULA(INDEX('Game Records'!$R:$R,$H449))),NOT(_xlfn.ISFORMULA(INDEX('Game Records'!$S:$S,$H449))),NOT(_xlfn.ISFORMULA(INDEX('Game Records'!$T:$T,$H449))),NOT(_xlfn.ISFORMULA(INDEX('Game Records'!$U:$U,$H449))),NOT(_xlfn.ISFORMULA(INDEX('Game Records'!$V:$V,$H449))),NOT(_xlfn.ISFORMULA(INDEX('Game Records'!$W:$W,$H449))),NOT(_xlfn.ISFORMULA(INDEX('Game Records'!$X:$X,$H449))),NOT(_xlfn.ISFORMULA(INDEX('Game Records'!$Y:$Y,$H449))),NOT(_xlfn.ISFORMULA(INDEX('Game Records'!$Z:$Z,$H449)))),"","")&amp;IF(INDEX('Game Records'!$B:$B,$H449)="","Start Date; ","")&amp;IF(INDEX('Game Records'!$C:$C,$H449)="","End Date; ","")&amp;IF(AND(INDEX('Game Records'!$U:$U,$H449)&lt;&gt;"Subscription",INDEX('Game Records'!$U:$U,$H449)&lt;&gt;"Free Game",INDEX('Game Records'!$U:$U,$H449)&lt;&gt;"Disqualified — Free Game",OR(INDEX('Game Records'!$D:$D,$H449)="",LOWER(INDEX('Game Records'!$D:$D,$H449)&amp;"")="n/a")),"Entry Mode; ","")&amp;IF(AND(INDEX('Game Records'!$U:$U,$H449)&lt;&gt;"Subscription",INDEX('Game Records'!$U:$U,$H449)&lt;&gt;"Free Game",INDEX('Game Records'!$U:$U,$H449)&lt;&gt;"Disqualified — Free Game",OR(INDEX('Game Records'!$E:$E,$H449)="",LOWER(INDEX('Game Records'!$E:$E,$H449)&amp;"")="n/a")),"Game Type; ","")&amp;IF(INDEX('Game Records'!$F:$F,$H449)="","Payment Type; ","")&amp;IF(AND(INDEX('Game Records'!$U:$U,$H449)&lt;&gt;"Subscription",INDEX('Game Records'!$U:$U,$H449)&lt;&gt;"Free Game",INDEX('Game Records'!$U:$U,$H449)&lt;&gt;"Disqualified — Free Game",INDEX('Game Records'!$G:$G,$H449)=""),"Gross Pot; ","")&amp;IF(AND(INDEX('Game Records'!$U:$U,$H449)&lt;&gt;"Free Game",INDEX('Game Records'!$U:$U,$H449)&lt;&gt;"Disqualified — Free Game",INDEX('Game Records'!$H:$H,$H449)=""),"Entry Fee; ","")&amp;IF(AND(INDEX('Game Records'!$U:$U,$H449)&lt;&gt;"Subscription",INDEX('Game Records'!$U:$U,$H449)&lt;&gt;"Free Game",INDEX('Game Records'!$U:$U,$H449)&lt;&gt;"Disqualified — Free Game",INDEX('Game Records'!$I:$I,$H449)=""),"Eligible Players; ","")&amp;IF(AND(INDEX('Game Records'!$U:$U,$H449)&lt;&gt;"Subscription",INDEX('Game Records'!$U:$U,$H449)&lt;&gt;"Free Game",INDEX('Game Records'!$U:$U,$H449)&lt;&gt;"Disqualified — Free Game",INDEX('Game Records'!$J:$J,$H449)=""),"Total Players; ","")&amp;IF(AND(LOWER(INDEX('Game Records'!$D:$D,$H449)&amp;"")="finalized",LOWER(INDEX('Game Records'!$L:$L,$H449)&amp;"")&lt;&gt;"yes",INDEX('Game Records'!$U:$U,$H449)&lt;&gt;"Subscription",INDEX('Game Records'!$U:$U,$H449)&lt;&gt;"Free Game",INDEX('Game Records'!$U:$U,$H449)&lt;&gt;"Disqualified — Free Game",INDEX('Game Records'!$K:$K,$H449)=""),"Final Payout; ","")&amp;IF(AND(LOWER(INDEX('Game Records'!$D:$D,$H449)&amp;"")="finalized",INDEX('Game Records'!$U:$U,$H449)&lt;&gt;"Subscription",INDEX('Game Records'!$U:$U,$H449)&lt;&gt;"Free Game",INDEX('Game Records'!$U:$U,$H449)&lt;&gt;"Disqualified — Free Game",OR(INDEX('Game Records'!$L:$L,$H449)="",LOWER(INDEX('Game Records'!$L:$L,$H449)&amp;"")="n/a")),"Disqualified Status; ",""))</f>
        <v/>
      </c>
      <c r="G449" s="23" t="str">
        <f t="array" ref="G449">IF($H449="","",IFERROR(INDEX('Game Records'!$M:$M,$H449),""))</f>
        <v/>
      </c>
      <c r="H449" s="3"/>
    </row>
    <row r="450" ht="24.0" customHeight="1">
      <c r="A450" s="18" t="str">
        <f t="shared" si="1"/>
        <v/>
      </c>
      <c r="B450" s="18" t="str">
        <f t="shared" si="2"/>
        <v/>
      </c>
      <c r="C450" s="23" t="str">
        <f t="array" ref="C450">IF($H450="","",IFERROR(INDEX('Game Records'!$A:$A,$H450),""))</f>
        <v/>
      </c>
      <c r="D450" s="23" t="str">
        <f t="array" ref="D450">IF($H450="","",IFERROR(INDEX('Game Records'!$U:$U,$H450),""))</f>
        <v/>
      </c>
      <c r="E450" s="23" t="str">
        <f t="array" ref="E450">IF($H450="","",LET(r,$H450,mode,LOWER(INDEX('Game Records'!$D:$D,r)&amp;""),endDate,INDEX('Game Records'!$C:$C,r),IF(mode="estimate",IF(endDate="","Estimate — End Date missing",IF(NOT(ISNUMBER(endDate)),"Estimate — Check End Date",IF(INT(endDate)&gt;=TODAY(),"In Progress — ends "&amp;TEXT(endDate,"mmm d, yyyy"),"Ready to Finalize"))),IF($F450="","No Highlighted Fields","Highlighted Fields Present"))))</f>
        <v/>
      </c>
      <c r="F450" s="23" t="str">
        <f t="array" ref="F450">IF($H450="","",IF(OR(NOT(_xlfn.ISFORMULA(INDEX('Game Records'!$N:$N,$H450))),NOT(_xlfn.ISFORMULA(INDEX('Game Records'!$O:$O,$H450))),NOT(_xlfn.ISFORMULA(INDEX('Game Records'!$P:$P,$H450))),NOT(_xlfn.ISFORMULA(INDEX('Game Records'!$Q:$Q,$H450))),NOT(_xlfn.ISFORMULA(INDEX('Game Records'!$R:$R,$H450))),NOT(_xlfn.ISFORMULA(INDEX('Game Records'!$S:$S,$H450))),NOT(_xlfn.ISFORMULA(INDEX('Game Records'!$T:$T,$H450))),NOT(_xlfn.ISFORMULA(INDEX('Game Records'!$U:$U,$H450))),NOT(_xlfn.ISFORMULA(INDEX('Game Records'!$V:$V,$H450))),NOT(_xlfn.ISFORMULA(INDEX('Game Records'!$W:$W,$H450))),NOT(_xlfn.ISFORMULA(INDEX('Game Records'!$X:$X,$H450))),NOT(_xlfn.ISFORMULA(INDEX('Game Records'!$Y:$Y,$H450))),NOT(_xlfn.ISFORMULA(INDEX('Game Records'!$Z:$Z,$H450)))),"","")&amp;IF(INDEX('Game Records'!$B:$B,$H450)="","Start Date; ","")&amp;IF(INDEX('Game Records'!$C:$C,$H450)="","End Date; ","")&amp;IF(AND(INDEX('Game Records'!$U:$U,$H450)&lt;&gt;"Subscription",INDEX('Game Records'!$U:$U,$H450)&lt;&gt;"Free Game",INDEX('Game Records'!$U:$U,$H450)&lt;&gt;"Disqualified — Free Game",OR(INDEX('Game Records'!$D:$D,$H450)="",LOWER(INDEX('Game Records'!$D:$D,$H450)&amp;"")="n/a")),"Entry Mode; ","")&amp;IF(AND(INDEX('Game Records'!$U:$U,$H450)&lt;&gt;"Subscription",INDEX('Game Records'!$U:$U,$H450)&lt;&gt;"Free Game",INDEX('Game Records'!$U:$U,$H450)&lt;&gt;"Disqualified — Free Game",OR(INDEX('Game Records'!$E:$E,$H450)="",LOWER(INDEX('Game Records'!$E:$E,$H450)&amp;"")="n/a")),"Game Type; ","")&amp;IF(INDEX('Game Records'!$F:$F,$H450)="","Payment Type; ","")&amp;IF(AND(INDEX('Game Records'!$U:$U,$H450)&lt;&gt;"Subscription",INDEX('Game Records'!$U:$U,$H450)&lt;&gt;"Free Game",INDEX('Game Records'!$U:$U,$H450)&lt;&gt;"Disqualified — Free Game",INDEX('Game Records'!$G:$G,$H450)=""),"Gross Pot; ","")&amp;IF(AND(INDEX('Game Records'!$U:$U,$H450)&lt;&gt;"Free Game",INDEX('Game Records'!$U:$U,$H450)&lt;&gt;"Disqualified — Free Game",INDEX('Game Records'!$H:$H,$H450)=""),"Entry Fee; ","")&amp;IF(AND(INDEX('Game Records'!$U:$U,$H450)&lt;&gt;"Subscription",INDEX('Game Records'!$U:$U,$H450)&lt;&gt;"Free Game",INDEX('Game Records'!$U:$U,$H450)&lt;&gt;"Disqualified — Free Game",INDEX('Game Records'!$I:$I,$H450)=""),"Eligible Players; ","")&amp;IF(AND(INDEX('Game Records'!$U:$U,$H450)&lt;&gt;"Subscription",INDEX('Game Records'!$U:$U,$H450)&lt;&gt;"Free Game",INDEX('Game Records'!$U:$U,$H450)&lt;&gt;"Disqualified — Free Game",INDEX('Game Records'!$J:$J,$H450)=""),"Total Players; ","")&amp;IF(AND(LOWER(INDEX('Game Records'!$D:$D,$H450)&amp;"")="finalized",LOWER(INDEX('Game Records'!$L:$L,$H450)&amp;"")&lt;&gt;"yes",INDEX('Game Records'!$U:$U,$H450)&lt;&gt;"Subscription",INDEX('Game Records'!$U:$U,$H450)&lt;&gt;"Free Game",INDEX('Game Records'!$U:$U,$H450)&lt;&gt;"Disqualified — Free Game",INDEX('Game Records'!$K:$K,$H450)=""),"Final Payout; ","")&amp;IF(AND(LOWER(INDEX('Game Records'!$D:$D,$H450)&amp;"")="finalized",INDEX('Game Records'!$U:$U,$H450)&lt;&gt;"Subscription",INDEX('Game Records'!$U:$U,$H450)&lt;&gt;"Free Game",INDEX('Game Records'!$U:$U,$H450)&lt;&gt;"Disqualified — Free Game",OR(INDEX('Game Records'!$L:$L,$H450)="",LOWER(INDEX('Game Records'!$L:$L,$H450)&amp;"")="n/a")),"Disqualified Status; ",""))</f>
        <v/>
      </c>
      <c r="G450" s="23" t="str">
        <f t="array" ref="G450">IF($H450="","",IFERROR(INDEX('Game Records'!$M:$M,$H450),""))</f>
        <v/>
      </c>
      <c r="H450" s="3"/>
    </row>
    <row r="451" ht="24.0" customHeight="1">
      <c r="A451" s="18" t="str">
        <f t="shared" si="1"/>
        <v/>
      </c>
      <c r="B451" s="18" t="str">
        <f t="shared" si="2"/>
        <v/>
      </c>
      <c r="C451" s="23" t="str">
        <f t="array" ref="C451">IF($H451="","",IFERROR(INDEX('Game Records'!$A:$A,$H451),""))</f>
        <v/>
      </c>
      <c r="D451" s="23" t="str">
        <f t="array" ref="D451">IF($H451="","",IFERROR(INDEX('Game Records'!$U:$U,$H451),""))</f>
        <v/>
      </c>
      <c r="E451" s="23" t="str">
        <f t="array" ref="E451">IF($H451="","",LET(r,$H451,mode,LOWER(INDEX('Game Records'!$D:$D,r)&amp;""),endDate,INDEX('Game Records'!$C:$C,r),IF(mode="estimate",IF(endDate="","Estimate — End Date missing",IF(NOT(ISNUMBER(endDate)),"Estimate — Check End Date",IF(INT(endDate)&gt;=TODAY(),"In Progress — ends "&amp;TEXT(endDate,"mmm d, yyyy"),"Ready to Finalize"))),IF($F451="","No Highlighted Fields","Highlighted Fields Present"))))</f>
        <v/>
      </c>
      <c r="F451" s="23" t="str">
        <f t="array" ref="F451">IF($H451="","",IF(OR(NOT(_xlfn.ISFORMULA(INDEX('Game Records'!$N:$N,$H451))),NOT(_xlfn.ISFORMULA(INDEX('Game Records'!$O:$O,$H451))),NOT(_xlfn.ISFORMULA(INDEX('Game Records'!$P:$P,$H451))),NOT(_xlfn.ISFORMULA(INDEX('Game Records'!$Q:$Q,$H451))),NOT(_xlfn.ISFORMULA(INDEX('Game Records'!$R:$R,$H451))),NOT(_xlfn.ISFORMULA(INDEX('Game Records'!$S:$S,$H451))),NOT(_xlfn.ISFORMULA(INDEX('Game Records'!$T:$T,$H451))),NOT(_xlfn.ISFORMULA(INDEX('Game Records'!$U:$U,$H451))),NOT(_xlfn.ISFORMULA(INDEX('Game Records'!$V:$V,$H451))),NOT(_xlfn.ISFORMULA(INDEX('Game Records'!$W:$W,$H451))),NOT(_xlfn.ISFORMULA(INDEX('Game Records'!$X:$X,$H451))),NOT(_xlfn.ISFORMULA(INDEX('Game Records'!$Y:$Y,$H451))),NOT(_xlfn.ISFORMULA(INDEX('Game Records'!$Z:$Z,$H451)))),"","")&amp;IF(INDEX('Game Records'!$B:$B,$H451)="","Start Date; ","")&amp;IF(INDEX('Game Records'!$C:$C,$H451)="","End Date; ","")&amp;IF(AND(INDEX('Game Records'!$U:$U,$H451)&lt;&gt;"Subscription",INDEX('Game Records'!$U:$U,$H451)&lt;&gt;"Free Game",INDEX('Game Records'!$U:$U,$H451)&lt;&gt;"Disqualified — Free Game",OR(INDEX('Game Records'!$D:$D,$H451)="",LOWER(INDEX('Game Records'!$D:$D,$H451)&amp;"")="n/a")),"Entry Mode; ","")&amp;IF(AND(INDEX('Game Records'!$U:$U,$H451)&lt;&gt;"Subscription",INDEX('Game Records'!$U:$U,$H451)&lt;&gt;"Free Game",INDEX('Game Records'!$U:$U,$H451)&lt;&gt;"Disqualified — Free Game",OR(INDEX('Game Records'!$E:$E,$H451)="",LOWER(INDEX('Game Records'!$E:$E,$H451)&amp;"")="n/a")),"Game Type; ","")&amp;IF(INDEX('Game Records'!$F:$F,$H451)="","Payment Type; ","")&amp;IF(AND(INDEX('Game Records'!$U:$U,$H451)&lt;&gt;"Subscription",INDEX('Game Records'!$U:$U,$H451)&lt;&gt;"Free Game",INDEX('Game Records'!$U:$U,$H451)&lt;&gt;"Disqualified — Free Game",INDEX('Game Records'!$G:$G,$H451)=""),"Gross Pot; ","")&amp;IF(AND(INDEX('Game Records'!$U:$U,$H451)&lt;&gt;"Free Game",INDEX('Game Records'!$U:$U,$H451)&lt;&gt;"Disqualified — Free Game",INDEX('Game Records'!$H:$H,$H451)=""),"Entry Fee; ","")&amp;IF(AND(INDEX('Game Records'!$U:$U,$H451)&lt;&gt;"Subscription",INDEX('Game Records'!$U:$U,$H451)&lt;&gt;"Free Game",INDEX('Game Records'!$U:$U,$H451)&lt;&gt;"Disqualified — Free Game",INDEX('Game Records'!$I:$I,$H451)=""),"Eligible Players; ","")&amp;IF(AND(INDEX('Game Records'!$U:$U,$H451)&lt;&gt;"Subscription",INDEX('Game Records'!$U:$U,$H451)&lt;&gt;"Free Game",INDEX('Game Records'!$U:$U,$H451)&lt;&gt;"Disqualified — Free Game",INDEX('Game Records'!$J:$J,$H451)=""),"Total Players; ","")&amp;IF(AND(LOWER(INDEX('Game Records'!$D:$D,$H451)&amp;"")="finalized",LOWER(INDEX('Game Records'!$L:$L,$H451)&amp;"")&lt;&gt;"yes",INDEX('Game Records'!$U:$U,$H451)&lt;&gt;"Subscription",INDEX('Game Records'!$U:$U,$H451)&lt;&gt;"Free Game",INDEX('Game Records'!$U:$U,$H451)&lt;&gt;"Disqualified — Free Game",INDEX('Game Records'!$K:$K,$H451)=""),"Final Payout; ","")&amp;IF(AND(LOWER(INDEX('Game Records'!$D:$D,$H451)&amp;"")="finalized",INDEX('Game Records'!$U:$U,$H451)&lt;&gt;"Subscription",INDEX('Game Records'!$U:$U,$H451)&lt;&gt;"Free Game",INDEX('Game Records'!$U:$U,$H451)&lt;&gt;"Disqualified — Free Game",OR(INDEX('Game Records'!$L:$L,$H451)="",LOWER(INDEX('Game Records'!$L:$L,$H451)&amp;"")="n/a")),"Disqualified Status; ",""))</f>
        <v/>
      </c>
      <c r="G451" s="23" t="str">
        <f t="array" ref="G451">IF($H451="","",IFERROR(INDEX('Game Records'!$M:$M,$H451),""))</f>
        <v/>
      </c>
      <c r="H451" s="3"/>
    </row>
    <row r="452" ht="24.0" customHeight="1">
      <c r="A452" s="18" t="str">
        <f t="shared" si="1"/>
        <v/>
      </c>
      <c r="B452" s="18" t="str">
        <f t="shared" si="2"/>
        <v/>
      </c>
      <c r="C452" s="23" t="str">
        <f t="array" ref="C452">IF($H452="","",IFERROR(INDEX('Game Records'!$A:$A,$H452),""))</f>
        <v/>
      </c>
      <c r="D452" s="23" t="str">
        <f t="array" ref="D452">IF($H452="","",IFERROR(INDEX('Game Records'!$U:$U,$H452),""))</f>
        <v/>
      </c>
      <c r="E452" s="23" t="str">
        <f t="array" ref="E452">IF($H452="","",LET(r,$H452,mode,LOWER(INDEX('Game Records'!$D:$D,r)&amp;""),endDate,INDEX('Game Records'!$C:$C,r),IF(mode="estimate",IF(endDate="","Estimate — End Date missing",IF(NOT(ISNUMBER(endDate)),"Estimate — Check End Date",IF(INT(endDate)&gt;=TODAY(),"In Progress — ends "&amp;TEXT(endDate,"mmm d, yyyy"),"Ready to Finalize"))),IF($F452="","No Highlighted Fields","Highlighted Fields Present"))))</f>
        <v/>
      </c>
      <c r="F452" s="23" t="str">
        <f t="array" ref="F452">IF($H452="","",IF(OR(NOT(_xlfn.ISFORMULA(INDEX('Game Records'!$N:$N,$H452))),NOT(_xlfn.ISFORMULA(INDEX('Game Records'!$O:$O,$H452))),NOT(_xlfn.ISFORMULA(INDEX('Game Records'!$P:$P,$H452))),NOT(_xlfn.ISFORMULA(INDEX('Game Records'!$Q:$Q,$H452))),NOT(_xlfn.ISFORMULA(INDEX('Game Records'!$R:$R,$H452))),NOT(_xlfn.ISFORMULA(INDEX('Game Records'!$S:$S,$H452))),NOT(_xlfn.ISFORMULA(INDEX('Game Records'!$T:$T,$H452))),NOT(_xlfn.ISFORMULA(INDEX('Game Records'!$U:$U,$H452))),NOT(_xlfn.ISFORMULA(INDEX('Game Records'!$V:$V,$H452))),NOT(_xlfn.ISFORMULA(INDEX('Game Records'!$W:$W,$H452))),NOT(_xlfn.ISFORMULA(INDEX('Game Records'!$X:$X,$H452))),NOT(_xlfn.ISFORMULA(INDEX('Game Records'!$Y:$Y,$H452))),NOT(_xlfn.ISFORMULA(INDEX('Game Records'!$Z:$Z,$H452)))),"","")&amp;IF(INDEX('Game Records'!$B:$B,$H452)="","Start Date; ","")&amp;IF(INDEX('Game Records'!$C:$C,$H452)="","End Date; ","")&amp;IF(AND(INDEX('Game Records'!$U:$U,$H452)&lt;&gt;"Subscription",INDEX('Game Records'!$U:$U,$H452)&lt;&gt;"Free Game",INDEX('Game Records'!$U:$U,$H452)&lt;&gt;"Disqualified — Free Game",OR(INDEX('Game Records'!$D:$D,$H452)="",LOWER(INDEX('Game Records'!$D:$D,$H452)&amp;"")="n/a")),"Entry Mode; ","")&amp;IF(AND(INDEX('Game Records'!$U:$U,$H452)&lt;&gt;"Subscription",INDEX('Game Records'!$U:$U,$H452)&lt;&gt;"Free Game",INDEX('Game Records'!$U:$U,$H452)&lt;&gt;"Disqualified — Free Game",OR(INDEX('Game Records'!$E:$E,$H452)="",LOWER(INDEX('Game Records'!$E:$E,$H452)&amp;"")="n/a")),"Game Type; ","")&amp;IF(INDEX('Game Records'!$F:$F,$H452)="","Payment Type; ","")&amp;IF(AND(INDEX('Game Records'!$U:$U,$H452)&lt;&gt;"Subscription",INDEX('Game Records'!$U:$U,$H452)&lt;&gt;"Free Game",INDEX('Game Records'!$U:$U,$H452)&lt;&gt;"Disqualified — Free Game",INDEX('Game Records'!$G:$G,$H452)=""),"Gross Pot; ","")&amp;IF(AND(INDEX('Game Records'!$U:$U,$H452)&lt;&gt;"Free Game",INDEX('Game Records'!$U:$U,$H452)&lt;&gt;"Disqualified — Free Game",INDEX('Game Records'!$H:$H,$H452)=""),"Entry Fee; ","")&amp;IF(AND(INDEX('Game Records'!$U:$U,$H452)&lt;&gt;"Subscription",INDEX('Game Records'!$U:$U,$H452)&lt;&gt;"Free Game",INDEX('Game Records'!$U:$U,$H452)&lt;&gt;"Disqualified — Free Game",INDEX('Game Records'!$I:$I,$H452)=""),"Eligible Players; ","")&amp;IF(AND(INDEX('Game Records'!$U:$U,$H452)&lt;&gt;"Subscription",INDEX('Game Records'!$U:$U,$H452)&lt;&gt;"Free Game",INDEX('Game Records'!$U:$U,$H452)&lt;&gt;"Disqualified — Free Game",INDEX('Game Records'!$J:$J,$H452)=""),"Total Players; ","")&amp;IF(AND(LOWER(INDEX('Game Records'!$D:$D,$H452)&amp;"")="finalized",LOWER(INDEX('Game Records'!$L:$L,$H452)&amp;"")&lt;&gt;"yes",INDEX('Game Records'!$U:$U,$H452)&lt;&gt;"Subscription",INDEX('Game Records'!$U:$U,$H452)&lt;&gt;"Free Game",INDEX('Game Records'!$U:$U,$H452)&lt;&gt;"Disqualified — Free Game",INDEX('Game Records'!$K:$K,$H452)=""),"Final Payout; ","")&amp;IF(AND(LOWER(INDEX('Game Records'!$D:$D,$H452)&amp;"")="finalized",INDEX('Game Records'!$U:$U,$H452)&lt;&gt;"Subscription",INDEX('Game Records'!$U:$U,$H452)&lt;&gt;"Free Game",INDEX('Game Records'!$U:$U,$H452)&lt;&gt;"Disqualified — Free Game",OR(INDEX('Game Records'!$L:$L,$H452)="",LOWER(INDEX('Game Records'!$L:$L,$H452)&amp;"")="n/a")),"Disqualified Status; ",""))</f>
        <v/>
      </c>
      <c r="G452" s="23" t="str">
        <f t="array" ref="G452">IF($H452="","",IFERROR(INDEX('Game Records'!$M:$M,$H452),""))</f>
        <v/>
      </c>
      <c r="H452" s="3"/>
    </row>
    <row r="453" ht="24.0" customHeight="1">
      <c r="A453" s="18" t="str">
        <f t="shared" si="1"/>
        <v/>
      </c>
      <c r="B453" s="18" t="str">
        <f t="shared" si="2"/>
        <v/>
      </c>
      <c r="C453" s="23" t="str">
        <f t="array" ref="C453">IF($H453="","",IFERROR(INDEX('Game Records'!$A:$A,$H453),""))</f>
        <v/>
      </c>
      <c r="D453" s="23" t="str">
        <f t="array" ref="D453">IF($H453="","",IFERROR(INDEX('Game Records'!$U:$U,$H453),""))</f>
        <v/>
      </c>
      <c r="E453" s="23" t="str">
        <f t="array" ref="E453">IF($H453="","",LET(r,$H453,mode,LOWER(INDEX('Game Records'!$D:$D,r)&amp;""),endDate,INDEX('Game Records'!$C:$C,r),IF(mode="estimate",IF(endDate="","Estimate — End Date missing",IF(NOT(ISNUMBER(endDate)),"Estimate — Check End Date",IF(INT(endDate)&gt;=TODAY(),"In Progress — ends "&amp;TEXT(endDate,"mmm d, yyyy"),"Ready to Finalize"))),IF($F453="","No Highlighted Fields","Highlighted Fields Present"))))</f>
        <v/>
      </c>
      <c r="F453" s="23" t="str">
        <f t="array" ref="F453">IF($H453="","",IF(OR(NOT(_xlfn.ISFORMULA(INDEX('Game Records'!$N:$N,$H453))),NOT(_xlfn.ISFORMULA(INDEX('Game Records'!$O:$O,$H453))),NOT(_xlfn.ISFORMULA(INDEX('Game Records'!$P:$P,$H453))),NOT(_xlfn.ISFORMULA(INDEX('Game Records'!$Q:$Q,$H453))),NOT(_xlfn.ISFORMULA(INDEX('Game Records'!$R:$R,$H453))),NOT(_xlfn.ISFORMULA(INDEX('Game Records'!$S:$S,$H453))),NOT(_xlfn.ISFORMULA(INDEX('Game Records'!$T:$T,$H453))),NOT(_xlfn.ISFORMULA(INDEX('Game Records'!$U:$U,$H453))),NOT(_xlfn.ISFORMULA(INDEX('Game Records'!$V:$V,$H453))),NOT(_xlfn.ISFORMULA(INDEX('Game Records'!$W:$W,$H453))),NOT(_xlfn.ISFORMULA(INDEX('Game Records'!$X:$X,$H453))),NOT(_xlfn.ISFORMULA(INDEX('Game Records'!$Y:$Y,$H453))),NOT(_xlfn.ISFORMULA(INDEX('Game Records'!$Z:$Z,$H453)))),"","")&amp;IF(INDEX('Game Records'!$B:$B,$H453)="","Start Date; ","")&amp;IF(INDEX('Game Records'!$C:$C,$H453)="","End Date; ","")&amp;IF(AND(INDEX('Game Records'!$U:$U,$H453)&lt;&gt;"Subscription",INDEX('Game Records'!$U:$U,$H453)&lt;&gt;"Free Game",INDEX('Game Records'!$U:$U,$H453)&lt;&gt;"Disqualified — Free Game",OR(INDEX('Game Records'!$D:$D,$H453)="",LOWER(INDEX('Game Records'!$D:$D,$H453)&amp;"")="n/a")),"Entry Mode; ","")&amp;IF(AND(INDEX('Game Records'!$U:$U,$H453)&lt;&gt;"Subscription",INDEX('Game Records'!$U:$U,$H453)&lt;&gt;"Free Game",INDEX('Game Records'!$U:$U,$H453)&lt;&gt;"Disqualified — Free Game",OR(INDEX('Game Records'!$E:$E,$H453)="",LOWER(INDEX('Game Records'!$E:$E,$H453)&amp;"")="n/a")),"Game Type; ","")&amp;IF(INDEX('Game Records'!$F:$F,$H453)="","Payment Type; ","")&amp;IF(AND(INDEX('Game Records'!$U:$U,$H453)&lt;&gt;"Subscription",INDEX('Game Records'!$U:$U,$H453)&lt;&gt;"Free Game",INDEX('Game Records'!$U:$U,$H453)&lt;&gt;"Disqualified — Free Game",INDEX('Game Records'!$G:$G,$H453)=""),"Gross Pot; ","")&amp;IF(AND(INDEX('Game Records'!$U:$U,$H453)&lt;&gt;"Free Game",INDEX('Game Records'!$U:$U,$H453)&lt;&gt;"Disqualified — Free Game",INDEX('Game Records'!$H:$H,$H453)=""),"Entry Fee; ","")&amp;IF(AND(INDEX('Game Records'!$U:$U,$H453)&lt;&gt;"Subscription",INDEX('Game Records'!$U:$U,$H453)&lt;&gt;"Free Game",INDEX('Game Records'!$U:$U,$H453)&lt;&gt;"Disqualified — Free Game",INDEX('Game Records'!$I:$I,$H453)=""),"Eligible Players; ","")&amp;IF(AND(INDEX('Game Records'!$U:$U,$H453)&lt;&gt;"Subscription",INDEX('Game Records'!$U:$U,$H453)&lt;&gt;"Free Game",INDEX('Game Records'!$U:$U,$H453)&lt;&gt;"Disqualified — Free Game",INDEX('Game Records'!$J:$J,$H453)=""),"Total Players; ","")&amp;IF(AND(LOWER(INDEX('Game Records'!$D:$D,$H453)&amp;"")="finalized",LOWER(INDEX('Game Records'!$L:$L,$H453)&amp;"")&lt;&gt;"yes",INDEX('Game Records'!$U:$U,$H453)&lt;&gt;"Subscription",INDEX('Game Records'!$U:$U,$H453)&lt;&gt;"Free Game",INDEX('Game Records'!$U:$U,$H453)&lt;&gt;"Disqualified — Free Game",INDEX('Game Records'!$K:$K,$H453)=""),"Final Payout; ","")&amp;IF(AND(LOWER(INDEX('Game Records'!$D:$D,$H453)&amp;"")="finalized",INDEX('Game Records'!$U:$U,$H453)&lt;&gt;"Subscription",INDEX('Game Records'!$U:$U,$H453)&lt;&gt;"Free Game",INDEX('Game Records'!$U:$U,$H453)&lt;&gt;"Disqualified — Free Game",OR(INDEX('Game Records'!$L:$L,$H453)="",LOWER(INDEX('Game Records'!$L:$L,$H453)&amp;"")="n/a")),"Disqualified Status; ",""))</f>
        <v/>
      </c>
      <c r="G453" s="23" t="str">
        <f t="array" ref="G453">IF($H453="","",IFERROR(INDEX('Game Records'!$M:$M,$H453),""))</f>
        <v/>
      </c>
      <c r="H453" s="3"/>
    </row>
    <row r="454" ht="24.0" customHeight="1">
      <c r="A454" s="18" t="str">
        <f t="shared" si="1"/>
        <v/>
      </c>
      <c r="B454" s="18" t="str">
        <f t="shared" si="2"/>
        <v/>
      </c>
      <c r="C454" s="23" t="str">
        <f t="array" ref="C454">IF($H454="","",IFERROR(INDEX('Game Records'!$A:$A,$H454),""))</f>
        <v/>
      </c>
      <c r="D454" s="23" t="str">
        <f t="array" ref="D454">IF($H454="","",IFERROR(INDEX('Game Records'!$U:$U,$H454),""))</f>
        <v/>
      </c>
      <c r="E454" s="23" t="str">
        <f t="array" ref="E454">IF($H454="","",LET(r,$H454,mode,LOWER(INDEX('Game Records'!$D:$D,r)&amp;""),endDate,INDEX('Game Records'!$C:$C,r),IF(mode="estimate",IF(endDate="","Estimate — End Date missing",IF(NOT(ISNUMBER(endDate)),"Estimate — Check End Date",IF(INT(endDate)&gt;=TODAY(),"In Progress — ends "&amp;TEXT(endDate,"mmm d, yyyy"),"Ready to Finalize"))),IF($F454="","No Highlighted Fields","Highlighted Fields Present"))))</f>
        <v/>
      </c>
      <c r="F454" s="23" t="str">
        <f t="array" ref="F454">IF($H454="","",IF(OR(NOT(_xlfn.ISFORMULA(INDEX('Game Records'!$N:$N,$H454))),NOT(_xlfn.ISFORMULA(INDEX('Game Records'!$O:$O,$H454))),NOT(_xlfn.ISFORMULA(INDEX('Game Records'!$P:$P,$H454))),NOT(_xlfn.ISFORMULA(INDEX('Game Records'!$Q:$Q,$H454))),NOT(_xlfn.ISFORMULA(INDEX('Game Records'!$R:$R,$H454))),NOT(_xlfn.ISFORMULA(INDEX('Game Records'!$S:$S,$H454))),NOT(_xlfn.ISFORMULA(INDEX('Game Records'!$T:$T,$H454))),NOT(_xlfn.ISFORMULA(INDEX('Game Records'!$U:$U,$H454))),NOT(_xlfn.ISFORMULA(INDEX('Game Records'!$V:$V,$H454))),NOT(_xlfn.ISFORMULA(INDEX('Game Records'!$W:$W,$H454))),NOT(_xlfn.ISFORMULA(INDEX('Game Records'!$X:$X,$H454))),NOT(_xlfn.ISFORMULA(INDEX('Game Records'!$Y:$Y,$H454))),NOT(_xlfn.ISFORMULA(INDEX('Game Records'!$Z:$Z,$H454)))),"","")&amp;IF(INDEX('Game Records'!$B:$B,$H454)="","Start Date; ","")&amp;IF(INDEX('Game Records'!$C:$C,$H454)="","End Date; ","")&amp;IF(AND(INDEX('Game Records'!$U:$U,$H454)&lt;&gt;"Subscription",INDEX('Game Records'!$U:$U,$H454)&lt;&gt;"Free Game",INDEX('Game Records'!$U:$U,$H454)&lt;&gt;"Disqualified — Free Game",OR(INDEX('Game Records'!$D:$D,$H454)="",LOWER(INDEX('Game Records'!$D:$D,$H454)&amp;"")="n/a")),"Entry Mode; ","")&amp;IF(AND(INDEX('Game Records'!$U:$U,$H454)&lt;&gt;"Subscription",INDEX('Game Records'!$U:$U,$H454)&lt;&gt;"Free Game",INDEX('Game Records'!$U:$U,$H454)&lt;&gt;"Disqualified — Free Game",OR(INDEX('Game Records'!$E:$E,$H454)="",LOWER(INDEX('Game Records'!$E:$E,$H454)&amp;"")="n/a")),"Game Type; ","")&amp;IF(INDEX('Game Records'!$F:$F,$H454)="","Payment Type; ","")&amp;IF(AND(INDEX('Game Records'!$U:$U,$H454)&lt;&gt;"Subscription",INDEX('Game Records'!$U:$U,$H454)&lt;&gt;"Free Game",INDEX('Game Records'!$U:$U,$H454)&lt;&gt;"Disqualified — Free Game",INDEX('Game Records'!$G:$G,$H454)=""),"Gross Pot; ","")&amp;IF(AND(INDEX('Game Records'!$U:$U,$H454)&lt;&gt;"Free Game",INDEX('Game Records'!$U:$U,$H454)&lt;&gt;"Disqualified — Free Game",INDEX('Game Records'!$H:$H,$H454)=""),"Entry Fee; ","")&amp;IF(AND(INDEX('Game Records'!$U:$U,$H454)&lt;&gt;"Subscription",INDEX('Game Records'!$U:$U,$H454)&lt;&gt;"Free Game",INDEX('Game Records'!$U:$U,$H454)&lt;&gt;"Disqualified — Free Game",INDEX('Game Records'!$I:$I,$H454)=""),"Eligible Players; ","")&amp;IF(AND(INDEX('Game Records'!$U:$U,$H454)&lt;&gt;"Subscription",INDEX('Game Records'!$U:$U,$H454)&lt;&gt;"Free Game",INDEX('Game Records'!$U:$U,$H454)&lt;&gt;"Disqualified — Free Game",INDEX('Game Records'!$J:$J,$H454)=""),"Total Players; ","")&amp;IF(AND(LOWER(INDEX('Game Records'!$D:$D,$H454)&amp;"")="finalized",LOWER(INDEX('Game Records'!$L:$L,$H454)&amp;"")&lt;&gt;"yes",INDEX('Game Records'!$U:$U,$H454)&lt;&gt;"Subscription",INDEX('Game Records'!$U:$U,$H454)&lt;&gt;"Free Game",INDEX('Game Records'!$U:$U,$H454)&lt;&gt;"Disqualified — Free Game",INDEX('Game Records'!$K:$K,$H454)=""),"Final Payout; ","")&amp;IF(AND(LOWER(INDEX('Game Records'!$D:$D,$H454)&amp;"")="finalized",INDEX('Game Records'!$U:$U,$H454)&lt;&gt;"Subscription",INDEX('Game Records'!$U:$U,$H454)&lt;&gt;"Free Game",INDEX('Game Records'!$U:$U,$H454)&lt;&gt;"Disqualified — Free Game",OR(INDEX('Game Records'!$L:$L,$H454)="",LOWER(INDEX('Game Records'!$L:$L,$H454)&amp;"")="n/a")),"Disqualified Status; ",""))</f>
        <v/>
      </c>
      <c r="G454" s="23" t="str">
        <f t="array" ref="G454">IF($H454="","",IFERROR(INDEX('Game Records'!$M:$M,$H454),""))</f>
        <v/>
      </c>
      <c r="H454" s="3"/>
    </row>
    <row r="455" ht="24.0" customHeight="1">
      <c r="A455" s="18" t="str">
        <f t="shared" si="1"/>
        <v/>
      </c>
      <c r="B455" s="18" t="str">
        <f t="shared" si="2"/>
        <v/>
      </c>
      <c r="C455" s="23" t="str">
        <f t="array" ref="C455">IF($H455="","",IFERROR(INDEX('Game Records'!$A:$A,$H455),""))</f>
        <v/>
      </c>
      <c r="D455" s="23" t="str">
        <f t="array" ref="D455">IF($H455="","",IFERROR(INDEX('Game Records'!$U:$U,$H455),""))</f>
        <v/>
      </c>
      <c r="E455" s="23" t="str">
        <f t="array" ref="E455">IF($H455="","",LET(r,$H455,mode,LOWER(INDEX('Game Records'!$D:$D,r)&amp;""),endDate,INDEX('Game Records'!$C:$C,r),IF(mode="estimate",IF(endDate="","Estimate — End Date missing",IF(NOT(ISNUMBER(endDate)),"Estimate — Check End Date",IF(INT(endDate)&gt;=TODAY(),"In Progress — ends "&amp;TEXT(endDate,"mmm d, yyyy"),"Ready to Finalize"))),IF($F455="","No Highlighted Fields","Highlighted Fields Present"))))</f>
        <v/>
      </c>
      <c r="F455" s="23" t="str">
        <f t="array" ref="F455">IF($H455="","",IF(OR(NOT(_xlfn.ISFORMULA(INDEX('Game Records'!$N:$N,$H455))),NOT(_xlfn.ISFORMULA(INDEX('Game Records'!$O:$O,$H455))),NOT(_xlfn.ISFORMULA(INDEX('Game Records'!$P:$P,$H455))),NOT(_xlfn.ISFORMULA(INDEX('Game Records'!$Q:$Q,$H455))),NOT(_xlfn.ISFORMULA(INDEX('Game Records'!$R:$R,$H455))),NOT(_xlfn.ISFORMULA(INDEX('Game Records'!$S:$S,$H455))),NOT(_xlfn.ISFORMULA(INDEX('Game Records'!$T:$T,$H455))),NOT(_xlfn.ISFORMULA(INDEX('Game Records'!$U:$U,$H455))),NOT(_xlfn.ISFORMULA(INDEX('Game Records'!$V:$V,$H455))),NOT(_xlfn.ISFORMULA(INDEX('Game Records'!$W:$W,$H455))),NOT(_xlfn.ISFORMULA(INDEX('Game Records'!$X:$X,$H455))),NOT(_xlfn.ISFORMULA(INDEX('Game Records'!$Y:$Y,$H455))),NOT(_xlfn.ISFORMULA(INDEX('Game Records'!$Z:$Z,$H455)))),"","")&amp;IF(INDEX('Game Records'!$B:$B,$H455)="","Start Date; ","")&amp;IF(INDEX('Game Records'!$C:$C,$H455)="","End Date; ","")&amp;IF(AND(INDEX('Game Records'!$U:$U,$H455)&lt;&gt;"Subscription",INDEX('Game Records'!$U:$U,$H455)&lt;&gt;"Free Game",INDEX('Game Records'!$U:$U,$H455)&lt;&gt;"Disqualified — Free Game",OR(INDEX('Game Records'!$D:$D,$H455)="",LOWER(INDEX('Game Records'!$D:$D,$H455)&amp;"")="n/a")),"Entry Mode; ","")&amp;IF(AND(INDEX('Game Records'!$U:$U,$H455)&lt;&gt;"Subscription",INDEX('Game Records'!$U:$U,$H455)&lt;&gt;"Free Game",INDEX('Game Records'!$U:$U,$H455)&lt;&gt;"Disqualified — Free Game",OR(INDEX('Game Records'!$E:$E,$H455)="",LOWER(INDEX('Game Records'!$E:$E,$H455)&amp;"")="n/a")),"Game Type; ","")&amp;IF(INDEX('Game Records'!$F:$F,$H455)="","Payment Type; ","")&amp;IF(AND(INDEX('Game Records'!$U:$U,$H455)&lt;&gt;"Subscription",INDEX('Game Records'!$U:$U,$H455)&lt;&gt;"Free Game",INDEX('Game Records'!$U:$U,$H455)&lt;&gt;"Disqualified — Free Game",INDEX('Game Records'!$G:$G,$H455)=""),"Gross Pot; ","")&amp;IF(AND(INDEX('Game Records'!$U:$U,$H455)&lt;&gt;"Free Game",INDEX('Game Records'!$U:$U,$H455)&lt;&gt;"Disqualified — Free Game",INDEX('Game Records'!$H:$H,$H455)=""),"Entry Fee; ","")&amp;IF(AND(INDEX('Game Records'!$U:$U,$H455)&lt;&gt;"Subscription",INDEX('Game Records'!$U:$U,$H455)&lt;&gt;"Free Game",INDEX('Game Records'!$U:$U,$H455)&lt;&gt;"Disqualified — Free Game",INDEX('Game Records'!$I:$I,$H455)=""),"Eligible Players; ","")&amp;IF(AND(INDEX('Game Records'!$U:$U,$H455)&lt;&gt;"Subscription",INDEX('Game Records'!$U:$U,$H455)&lt;&gt;"Free Game",INDEX('Game Records'!$U:$U,$H455)&lt;&gt;"Disqualified — Free Game",INDEX('Game Records'!$J:$J,$H455)=""),"Total Players; ","")&amp;IF(AND(LOWER(INDEX('Game Records'!$D:$D,$H455)&amp;"")="finalized",LOWER(INDEX('Game Records'!$L:$L,$H455)&amp;"")&lt;&gt;"yes",INDEX('Game Records'!$U:$U,$H455)&lt;&gt;"Subscription",INDEX('Game Records'!$U:$U,$H455)&lt;&gt;"Free Game",INDEX('Game Records'!$U:$U,$H455)&lt;&gt;"Disqualified — Free Game",INDEX('Game Records'!$K:$K,$H455)=""),"Final Payout; ","")&amp;IF(AND(LOWER(INDEX('Game Records'!$D:$D,$H455)&amp;"")="finalized",INDEX('Game Records'!$U:$U,$H455)&lt;&gt;"Subscription",INDEX('Game Records'!$U:$U,$H455)&lt;&gt;"Free Game",INDEX('Game Records'!$U:$U,$H455)&lt;&gt;"Disqualified — Free Game",OR(INDEX('Game Records'!$L:$L,$H455)="",LOWER(INDEX('Game Records'!$L:$L,$H455)&amp;"")="n/a")),"Disqualified Status; ",""))</f>
        <v/>
      </c>
      <c r="G455" s="23" t="str">
        <f t="array" ref="G455">IF($H455="","",IFERROR(INDEX('Game Records'!$M:$M,$H455),""))</f>
        <v/>
      </c>
      <c r="H455" s="3"/>
    </row>
    <row r="456" ht="24.0" customHeight="1">
      <c r="A456" s="18" t="str">
        <f t="shared" si="1"/>
        <v/>
      </c>
      <c r="B456" s="18" t="str">
        <f t="shared" si="2"/>
        <v/>
      </c>
      <c r="C456" s="23" t="str">
        <f t="array" ref="C456">IF($H456="","",IFERROR(INDEX('Game Records'!$A:$A,$H456),""))</f>
        <v/>
      </c>
      <c r="D456" s="23" t="str">
        <f t="array" ref="D456">IF($H456="","",IFERROR(INDEX('Game Records'!$U:$U,$H456),""))</f>
        <v/>
      </c>
      <c r="E456" s="23" t="str">
        <f t="array" ref="E456">IF($H456="","",LET(r,$H456,mode,LOWER(INDEX('Game Records'!$D:$D,r)&amp;""),endDate,INDEX('Game Records'!$C:$C,r),IF(mode="estimate",IF(endDate="","Estimate — End Date missing",IF(NOT(ISNUMBER(endDate)),"Estimate — Check End Date",IF(INT(endDate)&gt;=TODAY(),"In Progress — ends "&amp;TEXT(endDate,"mmm d, yyyy"),"Ready to Finalize"))),IF($F456="","No Highlighted Fields","Highlighted Fields Present"))))</f>
        <v/>
      </c>
      <c r="F456" s="23" t="str">
        <f t="array" ref="F456">IF($H456="","",IF(OR(NOT(_xlfn.ISFORMULA(INDEX('Game Records'!$N:$N,$H456))),NOT(_xlfn.ISFORMULA(INDEX('Game Records'!$O:$O,$H456))),NOT(_xlfn.ISFORMULA(INDEX('Game Records'!$P:$P,$H456))),NOT(_xlfn.ISFORMULA(INDEX('Game Records'!$Q:$Q,$H456))),NOT(_xlfn.ISFORMULA(INDEX('Game Records'!$R:$R,$H456))),NOT(_xlfn.ISFORMULA(INDEX('Game Records'!$S:$S,$H456))),NOT(_xlfn.ISFORMULA(INDEX('Game Records'!$T:$T,$H456))),NOT(_xlfn.ISFORMULA(INDEX('Game Records'!$U:$U,$H456))),NOT(_xlfn.ISFORMULA(INDEX('Game Records'!$V:$V,$H456))),NOT(_xlfn.ISFORMULA(INDEX('Game Records'!$W:$W,$H456))),NOT(_xlfn.ISFORMULA(INDEX('Game Records'!$X:$X,$H456))),NOT(_xlfn.ISFORMULA(INDEX('Game Records'!$Y:$Y,$H456))),NOT(_xlfn.ISFORMULA(INDEX('Game Records'!$Z:$Z,$H456)))),"","")&amp;IF(INDEX('Game Records'!$B:$B,$H456)="","Start Date; ","")&amp;IF(INDEX('Game Records'!$C:$C,$H456)="","End Date; ","")&amp;IF(AND(INDEX('Game Records'!$U:$U,$H456)&lt;&gt;"Subscription",INDEX('Game Records'!$U:$U,$H456)&lt;&gt;"Free Game",INDEX('Game Records'!$U:$U,$H456)&lt;&gt;"Disqualified — Free Game",OR(INDEX('Game Records'!$D:$D,$H456)="",LOWER(INDEX('Game Records'!$D:$D,$H456)&amp;"")="n/a")),"Entry Mode; ","")&amp;IF(AND(INDEX('Game Records'!$U:$U,$H456)&lt;&gt;"Subscription",INDEX('Game Records'!$U:$U,$H456)&lt;&gt;"Free Game",INDEX('Game Records'!$U:$U,$H456)&lt;&gt;"Disqualified — Free Game",OR(INDEX('Game Records'!$E:$E,$H456)="",LOWER(INDEX('Game Records'!$E:$E,$H456)&amp;"")="n/a")),"Game Type; ","")&amp;IF(INDEX('Game Records'!$F:$F,$H456)="","Payment Type; ","")&amp;IF(AND(INDEX('Game Records'!$U:$U,$H456)&lt;&gt;"Subscription",INDEX('Game Records'!$U:$U,$H456)&lt;&gt;"Free Game",INDEX('Game Records'!$U:$U,$H456)&lt;&gt;"Disqualified — Free Game",INDEX('Game Records'!$G:$G,$H456)=""),"Gross Pot; ","")&amp;IF(AND(INDEX('Game Records'!$U:$U,$H456)&lt;&gt;"Free Game",INDEX('Game Records'!$U:$U,$H456)&lt;&gt;"Disqualified — Free Game",INDEX('Game Records'!$H:$H,$H456)=""),"Entry Fee; ","")&amp;IF(AND(INDEX('Game Records'!$U:$U,$H456)&lt;&gt;"Subscription",INDEX('Game Records'!$U:$U,$H456)&lt;&gt;"Free Game",INDEX('Game Records'!$U:$U,$H456)&lt;&gt;"Disqualified — Free Game",INDEX('Game Records'!$I:$I,$H456)=""),"Eligible Players; ","")&amp;IF(AND(INDEX('Game Records'!$U:$U,$H456)&lt;&gt;"Subscription",INDEX('Game Records'!$U:$U,$H456)&lt;&gt;"Free Game",INDEX('Game Records'!$U:$U,$H456)&lt;&gt;"Disqualified — Free Game",INDEX('Game Records'!$J:$J,$H456)=""),"Total Players; ","")&amp;IF(AND(LOWER(INDEX('Game Records'!$D:$D,$H456)&amp;"")="finalized",LOWER(INDEX('Game Records'!$L:$L,$H456)&amp;"")&lt;&gt;"yes",INDEX('Game Records'!$U:$U,$H456)&lt;&gt;"Subscription",INDEX('Game Records'!$U:$U,$H456)&lt;&gt;"Free Game",INDEX('Game Records'!$U:$U,$H456)&lt;&gt;"Disqualified — Free Game",INDEX('Game Records'!$K:$K,$H456)=""),"Final Payout; ","")&amp;IF(AND(LOWER(INDEX('Game Records'!$D:$D,$H456)&amp;"")="finalized",INDEX('Game Records'!$U:$U,$H456)&lt;&gt;"Subscription",INDEX('Game Records'!$U:$U,$H456)&lt;&gt;"Free Game",INDEX('Game Records'!$U:$U,$H456)&lt;&gt;"Disqualified — Free Game",OR(INDEX('Game Records'!$L:$L,$H456)="",LOWER(INDEX('Game Records'!$L:$L,$H456)&amp;"")="n/a")),"Disqualified Status; ",""))</f>
        <v/>
      </c>
      <c r="G456" s="23" t="str">
        <f t="array" ref="G456">IF($H456="","",IFERROR(INDEX('Game Records'!$M:$M,$H456),""))</f>
        <v/>
      </c>
      <c r="H456" s="3"/>
    </row>
    <row r="457" ht="24.0" customHeight="1">
      <c r="A457" s="18" t="str">
        <f t="shared" si="1"/>
        <v/>
      </c>
      <c r="B457" s="18" t="str">
        <f t="shared" si="2"/>
        <v/>
      </c>
      <c r="C457" s="23" t="str">
        <f t="array" ref="C457">IF($H457="","",IFERROR(INDEX('Game Records'!$A:$A,$H457),""))</f>
        <v/>
      </c>
      <c r="D457" s="23" t="str">
        <f t="array" ref="D457">IF($H457="","",IFERROR(INDEX('Game Records'!$U:$U,$H457),""))</f>
        <v/>
      </c>
      <c r="E457" s="23" t="str">
        <f t="array" ref="E457">IF($H457="","",LET(r,$H457,mode,LOWER(INDEX('Game Records'!$D:$D,r)&amp;""),endDate,INDEX('Game Records'!$C:$C,r),IF(mode="estimate",IF(endDate="","Estimate — End Date missing",IF(NOT(ISNUMBER(endDate)),"Estimate — Check End Date",IF(INT(endDate)&gt;=TODAY(),"In Progress — ends "&amp;TEXT(endDate,"mmm d, yyyy"),"Ready to Finalize"))),IF($F457="","No Highlighted Fields","Highlighted Fields Present"))))</f>
        <v/>
      </c>
      <c r="F457" s="23" t="str">
        <f t="array" ref="F457">IF($H457="","",IF(OR(NOT(_xlfn.ISFORMULA(INDEX('Game Records'!$N:$N,$H457))),NOT(_xlfn.ISFORMULA(INDEX('Game Records'!$O:$O,$H457))),NOT(_xlfn.ISFORMULA(INDEX('Game Records'!$P:$P,$H457))),NOT(_xlfn.ISFORMULA(INDEX('Game Records'!$Q:$Q,$H457))),NOT(_xlfn.ISFORMULA(INDEX('Game Records'!$R:$R,$H457))),NOT(_xlfn.ISFORMULA(INDEX('Game Records'!$S:$S,$H457))),NOT(_xlfn.ISFORMULA(INDEX('Game Records'!$T:$T,$H457))),NOT(_xlfn.ISFORMULA(INDEX('Game Records'!$U:$U,$H457))),NOT(_xlfn.ISFORMULA(INDEX('Game Records'!$V:$V,$H457))),NOT(_xlfn.ISFORMULA(INDEX('Game Records'!$W:$W,$H457))),NOT(_xlfn.ISFORMULA(INDEX('Game Records'!$X:$X,$H457))),NOT(_xlfn.ISFORMULA(INDEX('Game Records'!$Y:$Y,$H457))),NOT(_xlfn.ISFORMULA(INDEX('Game Records'!$Z:$Z,$H457)))),"","")&amp;IF(INDEX('Game Records'!$B:$B,$H457)="","Start Date; ","")&amp;IF(INDEX('Game Records'!$C:$C,$H457)="","End Date; ","")&amp;IF(AND(INDEX('Game Records'!$U:$U,$H457)&lt;&gt;"Subscription",INDEX('Game Records'!$U:$U,$H457)&lt;&gt;"Free Game",INDEX('Game Records'!$U:$U,$H457)&lt;&gt;"Disqualified — Free Game",OR(INDEX('Game Records'!$D:$D,$H457)="",LOWER(INDEX('Game Records'!$D:$D,$H457)&amp;"")="n/a")),"Entry Mode; ","")&amp;IF(AND(INDEX('Game Records'!$U:$U,$H457)&lt;&gt;"Subscription",INDEX('Game Records'!$U:$U,$H457)&lt;&gt;"Free Game",INDEX('Game Records'!$U:$U,$H457)&lt;&gt;"Disqualified — Free Game",OR(INDEX('Game Records'!$E:$E,$H457)="",LOWER(INDEX('Game Records'!$E:$E,$H457)&amp;"")="n/a")),"Game Type; ","")&amp;IF(INDEX('Game Records'!$F:$F,$H457)="","Payment Type; ","")&amp;IF(AND(INDEX('Game Records'!$U:$U,$H457)&lt;&gt;"Subscription",INDEX('Game Records'!$U:$U,$H457)&lt;&gt;"Free Game",INDEX('Game Records'!$U:$U,$H457)&lt;&gt;"Disqualified — Free Game",INDEX('Game Records'!$G:$G,$H457)=""),"Gross Pot; ","")&amp;IF(AND(INDEX('Game Records'!$U:$U,$H457)&lt;&gt;"Free Game",INDEX('Game Records'!$U:$U,$H457)&lt;&gt;"Disqualified — Free Game",INDEX('Game Records'!$H:$H,$H457)=""),"Entry Fee; ","")&amp;IF(AND(INDEX('Game Records'!$U:$U,$H457)&lt;&gt;"Subscription",INDEX('Game Records'!$U:$U,$H457)&lt;&gt;"Free Game",INDEX('Game Records'!$U:$U,$H457)&lt;&gt;"Disqualified — Free Game",INDEX('Game Records'!$I:$I,$H457)=""),"Eligible Players; ","")&amp;IF(AND(INDEX('Game Records'!$U:$U,$H457)&lt;&gt;"Subscription",INDEX('Game Records'!$U:$U,$H457)&lt;&gt;"Free Game",INDEX('Game Records'!$U:$U,$H457)&lt;&gt;"Disqualified — Free Game",INDEX('Game Records'!$J:$J,$H457)=""),"Total Players; ","")&amp;IF(AND(LOWER(INDEX('Game Records'!$D:$D,$H457)&amp;"")="finalized",LOWER(INDEX('Game Records'!$L:$L,$H457)&amp;"")&lt;&gt;"yes",INDEX('Game Records'!$U:$U,$H457)&lt;&gt;"Subscription",INDEX('Game Records'!$U:$U,$H457)&lt;&gt;"Free Game",INDEX('Game Records'!$U:$U,$H457)&lt;&gt;"Disqualified — Free Game",INDEX('Game Records'!$K:$K,$H457)=""),"Final Payout; ","")&amp;IF(AND(LOWER(INDEX('Game Records'!$D:$D,$H457)&amp;"")="finalized",INDEX('Game Records'!$U:$U,$H457)&lt;&gt;"Subscription",INDEX('Game Records'!$U:$U,$H457)&lt;&gt;"Free Game",INDEX('Game Records'!$U:$U,$H457)&lt;&gt;"Disqualified — Free Game",OR(INDEX('Game Records'!$L:$L,$H457)="",LOWER(INDEX('Game Records'!$L:$L,$H457)&amp;"")="n/a")),"Disqualified Status; ",""))</f>
        <v/>
      </c>
      <c r="G457" s="23" t="str">
        <f t="array" ref="G457">IF($H457="","",IFERROR(INDEX('Game Records'!$M:$M,$H457),""))</f>
        <v/>
      </c>
      <c r="H457" s="3"/>
    </row>
    <row r="458" ht="24.0" customHeight="1">
      <c r="A458" s="18" t="str">
        <f t="shared" si="1"/>
        <v/>
      </c>
      <c r="B458" s="18" t="str">
        <f t="shared" si="2"/>
        <v/>
      </c>
      <c r="C458" s="23" t="str">
        <f t="array" ref="C458">IF($H458="","",IFERROR(INDEX('Game Records'!$A:$A,$H458),""))</f>
        <v/>
      </c>
      <c r="D458" s="23" t="str">
        <f t="array" ref="D458">IF($H458="","",IFERROR(INDEX('Game Records'!$U:$U,$H458),""))</f>
        <v/>
      </c>
      <c r="E458" s="23" t="str">
        <f t="array" ref="E458">IF($H458="","",LET(r,$H458,mode,LOWER(INDEX('Game Records'!$D:$D,r)&amp;""),endDate,INDEX('Game Records'!$C:$C,r),IF(mode="estimate",IF(endDate="","Estimate — End Date missing",IF(NOT(ISNUMBER(endDate)),"Estimate — Check End Date",IF(INT(endDate)&gt;=TODAY(),"In Progress — ends "&amp;TEXT(endDate,"mmm d, yyyy"),"Ready to Finalize"))),IF($F458="","No Highlighted Fields","Highlighted Fields Present"))))</f>
        <v/>
      </c>
      <c r="F458" s="23" t="str">
        <f t="array" ref="F458">IF($H458="","",IF(OR(NOT(_xlfn.ISFORMULA(INDEX('Game Records'!$N:$N,$H458))),NOT(_xlfn.ISFORMULA(INDEX('Game Records'!$O:$O,$H458))),NOT(_xlfn.ISFORMULA(INDEX('Game Records'!$P:$P,$H458))),NOT(_xlfn.ISFORMULA(INDEX('Game Records'!$Q:$Q,$H458))),NOT(_xlfn.ISFORMULA(INDEX('Game Records'!$R:$R,$H458))),NOT(_xlfn.ISFORMULA(INDEX('Game Records'!$S:$S,$H458))),NOT(_xlfn.ISFORMULA(INDEX('Game Records'!$T:$T,$H458))),NOT(_xlfn.ISFORMULA(INDEX('Game Records'!$U:$U,$H458))),NOT(_xlfn.ISFORMULA(INDEX('Game Records'!$V:$V,$H458))),NOT(_xlfn.ISFORMULA(INDEX('Game Records'!$W:$W,$H458))),NOT(_xlfn.ISFORMULA(INDEX('Game Records'!$X:$X,$H458))),NOT(_xlfn.ISFORMULA(INDEX('Game Records'!$Y:$Y,$H458))),NOT(_xlfn.ISFORMULA(INDEX('Game Records'!$Z:$Z,$H458)))),"","")&amp;IF(INDEX('Game Records'!$B:$B,$H458)="","Start Date; ","")&amp;IF(INDEX('Game Records'!$C:$C,$H458)="","End Date; ","")&amp;IF(AND(INDEX('Game Records'!$U:$U,$H458)&lt;&gt;"Subscription",INDEX('Game Records'!$U:$U,$H458)&lt;&gt;"Free Game",INDEX('Game Records'!$U:$U,$H458)&lt;&gt;"Disqualified — Free Game",OR(INDEX('Game Records'!$D:$D,$H458)="",LOWER(INDEX('Game Records'!$D:$D,$H458)&amp;"")="n/a")),"Entry Mode; ","")&amp;IF(AND(INDEX('Game Records'!$U:$U,$H458)&lt;&gt;"Subscription",INDEX('Game Records'!$U:$U,$H458)&lt;&gt;"Free Game",INDEX('Game Records'!$U:$U,$H458)&lt;&gt;"Disqualified — Free Game",OR(INDEX('Game Records'!$E:$E,$H458)="",LOWER(INDEX('Game Records'!$E:$E,$H458)&amp;"")="n/a")),"Game Type; ","")&amp;IF(INDEX('Game Records'!$F:$F,$H458)="","Payment Type; ","")&amp;IF(AND(INDEX('Game Records'!$U:$U,$H458)&lt;&gt;"Subscription",INDEX('Game Records'!$U:$U,$H458)&lt;&gt;"Free Game",INDEX('Game Records'!$U:$U,$H458)&lt;&gt;"Disqualified — Free Game",INDEX('Game Records'!$G:$G,$H458)=""),"Gross Pot; ","")&amp;IF(AND(INDEX('Game Records'!$U:$U,$H458)&lt;&gt;"Free Game",INDEX('Game Records'!$U:$U,$H458)&lt;&gt;"Disqualified — Free Game",INDEX('Game Records'!$H:$H,$H458)=""),"Entry Fee; ","")&amp;IF(AND(INDEX('Game Records'!$U:$U,$H458)&lt;&gt;"Subscription",INDEX('Game Records'!$U:$U,$H458)&lt;&gt;"Free Game",INDEX('Game Records'!$U:$U,$H458)&lt;&gt;"Disqualified — Free Game",INDEX('Game Records'!$I:$I,$H458)=""),"Eligible Players; ","")&amp;IF(AND(INDEX('Game Records'!$U:$U,$H458)&lt;&gt;"Subscription",INDEX('Game Records'!$U:$U,$H458)&lt;&gt;"Free Game",INDEX('Game Records'!$U:$U,$H458)&lt;&gt;"Disqualified — Free Game",INDEX('Game Records'!$J:$J,$H458)=""),"Total Players; ","")&amp;IF(AND(LOWER(INDEX('Game Records'!$D:$D,$H458)&amp;"")="finalized",LOWER(INDEX('Game Records'!$L:$L,$H458)&amp;"")&lt;&gt;"yes",INDEX('Game Records'!$U:$U,$H458)&lt;&gt;"Subscription",INDEX('Game Records'!$U:$U,$H458)&lt;&gt;"Free Game",INDEX('Game Records'!$U:$U,$H458)&lt;&gt;"Disqualified — Free Game",INDEX('Game Records'!$K:$K,$H458)=""),"Final Payout; ","")&amp;IF(AND(LOWER(INDEX('Game Records'!$D:$D,$H458)&amp;"")="finalized",INDEX('Game Records'!$U:$U,$H458)&lt;&gt;"Subscription",INDEX('Game Records'!$U:$U,$H458)&lt;&gt;"Free Game",INDEX('Game Records'!$U:$U,$H458)&lt;&gt;"Disqualified — Free Game",OR(INDEX('Game Records'!$L:$L,$H458)="",LOWER(INDEX('Game Records'!$L:$L,$H458)&amp;"")="n/a")),"Disqualified Status; ",""))</f>
        <v/>
      </c>
      <c r="G458" s="23" t="str">
        <f t="array" ref="G458">IF($H458="","",IFERROR(INDEX('Game Records'!$M:$M,$H458),""))</f>
        <v/>
      </c>
      <c r="H458" s="3"/>
    </row>
    <row r="459" ht="24.0" customHeight="1">
      <c r="A459" s="18" t="str">
        <f t="shared" si="1"/>
        <v/>
      </c>
      <c r="B459" s="18" t="str">
        <f t="shared" si="2"/>
        <v/>
      </c>
      <c r="C459" s="23" t="str">
        <f t="array" ref="C459">IF($H459="","",IFERROR(INDEX('Game Records'!$A:$A,$H459),""))</f>
        <v/>
      </c>
      <c r="D459" s="23" t="str">
        <f t="array" ref="D459">IF($H459="","",IFERROR(INDEX('Game Records'!$U:$U,$H459),""))</f>
        <v/>
      </c>
      <c r="E459" s="23" t="str">
        <f t="array" ref="E459">IF($H459="","",LET(r,$H459,mode,LOWER(INDEX('Game Records'!$D:$D,r)&amp;""),endDate,INDEX('Game Records'!$C:$C,r),IF(mode="estimate",IF(endDate="","Estimate — End Date missing",IF(NOT(ISNUMBER(endDate)),"Estimate — Check End Date",IF(INT(endDate)&gt;=TODAY(),"In Progress — ends "&amp;TEXT(endDate,"mmm d, yyyy"),"Ready to Finalize"))),IF($F459="","No Highlighted Fields","Highlighted Fields Present"))))</f>
        <v/>
      </c>
      <c r="F459" s="23" t="str">
        <f t="array" ref="F459">IF($H459="","",IF(OR(NOT(_xlfn.ISFORMULA(INDEX('Game Records'!$N:$N,$H459))),NOT(_xlfn.ISFORMULA(INDEX('Game Records'!$O:$O,$H459))),NOT(_xlfn.ISFORMULA(INDEX('Game Records'!$P:$P,$H459))),NOT(_xlfn.ISFORMULA(INDEX('Game Records'!$Q:$Q,$H459))),NOT(_xlfn.ISFORMULA(INDEX('Game Records'!$R:$R,$H459))),NOT(_xlfn.ISFORMULA(INDEX('Game Records'!$S:$S,$H459))),NOT(_xlfn.ISFORMULA(INDEX('Game Records'!$T:$T,$H459))),NOT(_xlfn.ISFORMULA(INDEX('Game Records'!$U:$U,$H459))),NOT(_xlfn.ISFORMULA(INDEX('Game Records'!$V:$V,$H459))),NOT(_xlfn.ISFORMULA(INDEX('Game Records'!$W:$W,$H459))),NOT(_xlfn.ISFORMULA(INDEX('Game Records'!$X:$X,$H459))),NOT(_xlfn.ISFORMULA(INDEX('Game Records'!$Y:$Y,$H459))),NOT(_xlfn.ISFORMULA(INDEX('Game Records'!$Z:$Z,$H459)))),"","")&amp;IF(INDEX('Game Records'!$B:$B,$H459)="","Start Date; ","")&amp;IF(INDEX('Game Records'!$C:$C,$H459)="","End Date; ","")&amp;IF(AND(INDEX('Game Records'!$U:$U,$H459)&lt;&gt;"Subscription",INDEX('Game Records'!$U:$U,$H459)&lt;&gt;"Free Game",INDEX('Game Records'!$U:$U,$H459)&lt;&gt;"Disqualified — Free Game",OR(INDEX('Game Records'!$D:$D,$H459)="",LOWER(INDEX('Game Records'!$D:$D,$H459)&amp;"")="n/a")),"Entry Mode; ","")&amp;IF(AND(INDEX('Game Records'!$U:$U,$H459)&lt;&gt;"Subscription",INDEX('Game Records'!$U:$U,$H459)&lt;&gt;"Free Game",INDEX('Game Records'!$U:$U,$H459)&lt;&gt;"Disqualified — Free Game",OR(INDEX('Game Records'!$E:$E,$H459)="",LOWER(INDEX('Game Records'!$E:$E,$H459)&amp;"")="n/a")),"Game Type; ","")&amp;IF(INDEX('Game Records'!$F:$F,$H459)="","Payment Type; ","")&amp;IF(AND(INDEX('Game Records'!$U:$U,$H459)&lt;&gt;"Subscription",INDEX('Game Records'!$U:$U,$H459)&lt;&gt;"Free Game",INDEX('Game Records'!$U:$U,$H459)&lt;&gt;"Disqualified — Free Game",INDEX('Game Records'!$G:$G,$H459)=""),"Gross Pot; ","")&amp;IF(AND(INDEX('Game Records'!$U:$U,$H459)&lt;&gt;"Free Game",INDEX('Game Records'!$U:$U,$H459)&lt;&gt;"Disqualified — Free Game",INDEX('Game Records'!$H:$H,$H459)=""),"Entry Fee; ","")&amp;IF(AND(INDEX('Game Records'!$U:$U,$H459)&lt;&gt;"Subscription",INDEX('Game Records'!$U:$U,$H459)&lt;&gt;"Free Game",INDEX('Game Records'!$U:$U,$H459)&lt;&gt;"Disqualified — Free Game",INDEX('Game Records'!$I:$I,$H459)=""),"Eligible Players; ","")&amp;IF(AND(INDEX('Game Records'!$U:$U,$H459)&lt;&gt;"Subscription",INDEX('Game Records'!$U:$U,$H459)&lt;&gt;"Free Game",INDEX('Game Records'!$U:$U,$H459)&lt;&gt;"Disqualified — Free Game",INDEX('Game Records'!$J:$J,$H459)=""),"Total Players; ","")&amp;IF(AND(LOWER(INDEX('Game Records'!$D:$D,$H459)&amp;"")="finalized",LOWER(INDEX('Game Records'!$L:$L,$H459)&amp;"")&lt;&gt;"yes",INDEX('Game Records'!$U:$U,$H459)&lt;&gt;"Subscription",INDEX('Game Records'!$U:$U,$H459)&lt;&gt;"Free Game",INDEX('Game Records'!$U:$U,$H459)&lt;&gt;"Disqualified — Free Game",INDEX('Game Records'!$K:$K,$H459)=""),"Final Payout; ","")&amp;IF(AND(LOWER(INDEX('Game Records'!$D:$D,$H459)&amp;"")="finalized",INDEX('Game Records'!$U:$U,$H459)&lt;&gt;"Subscription",INDEX('Game Records'!$U:$U,$H459)&lt;&gt;"Free Game",INDEX('Game Records'!$U:$U,$H459)&lt;&gt;"Disqualified — Free Game",OR(INDEX('Game Records'!$L:$L,$H459)="",LOWER(INDEX('Game Records'!$L:$L,$H459)&amp;"")="n/a")),"Disqualified Status; ",""))</f>
        <v/>
      </c>
      <c r="G459" s="23" t="str">
        <f t="array" ref="G459">IF($H459="","",IFERROR(INDEX('Game Records'!$M:$M,$H459),""))</f>
        <v/>
      </c>
      <c r="H459" s="3"/>
    </row>
    <row r="460" ht="24.0" customHeight="1">
      <c r="A460" s="18" t="str">
        <f t="shared" si="1"/>
        <v/>
      </c>
      <c r="B460" s="18" t="str">
        <f t="shared" si="2"/>
        <v/>
      </c>
      <c r="C460" s="23" t="str">
        <f t="array" ref="C460">IF($H460="","",IFERROR(INDEX('Game Records'!$A:$A,$H460),""))</f>
        <v/>
      </c>
      <c r="D460" s="23" t="str">
        <f t="array" ref="D460">IF($H460="","",IFERROR(INDEX('Game Records'!$U:$U,$H460),""))</f>
        <v/>
      </c>
      <c r="E460" s="23" t="str">
        <f t="array" ref="E460">IF($H460="","",LET(r,$H460,mode,LOWER(INDEX('Game Records'!$D:$D,r)&amp;""),endDate,INDEX('Game Records'!$C:$C,r),IF(mode="estimate",IF(endDate="","Estimate — End Date missing",IF(NOT(ISNUMBER(endDate)),"Estimate — Check End Date",IF(INT(endDate)&gt;=TODAY(),"In Progress — ends "&amp;TEXT(endDate,"mmm d, yyyy"),"Ready to Finalize"))),IF($F460="","No Highlighted Fields","Highlighted Fields Present"))))</f>
        <v/>
      </c>
      <c r="F460" s="23" t="str">
        <f t="array" ref="F460">IF($H460="","",IF(OR(NOT(_xlfn.ISFORMULA(INDEX('Game Records'!$N:$N,$H460))),NOT(_xlfn.ISFORMULA(INDEX('Game Records'!$O:$O,$H460))),NOT(_xlfn.ISFORMULA(INDEX('Game Records'!$P:$P,$H460))),NOT(_xlfn.ISFORMULA(INDEX('Game Records'!$Q:$Q,$H460))),NOT(_xlfn.ISFORMULA(INDEX('Game Records'!$R:$R,$H460))),NOT(_xlfn.ISFORMULA(INDEX('Game Records'!$S:$S,$H460))),NOT(_xlfn.ISFORMULA(INDEX('Game Records'!$T:$T,$H460))),NOT(_xlfn.ISFORMULA(INDEX('Game Records'!$U:$U,$H460))),NOT(_xlfn.ISFORMULA(INDEX('Game Records'!$V:$V,$H460))),NOT(_xlfn.ISFORMULA(INDEX('Game Records'!$W:$W,$H460))),NOT(_xlfn.ISFORMULA(INDEX('Game Records'!$X:$X,$H460))),NOT(_xlfn.ISFORMULA(INDEX('Game Records'!$Y:$Y,$H460))),NOT(_xlfn.ISFORMULA(INDEX('Game Records'!$Z:$Z,$H460)))),"","")&amp;IF(INDEX('Game Records'!$B:$B,$H460)="","Start Date; ","")&amp;IF(INDEX('Game Records'!$C:$C,$H460)="","End Date; ","")&amp;IF(AND(INDEX('Game Records'!$U:$U,$H460)&lt;&gt;"Subscription",INDEX('Game Records'!$U:$U,$H460)&lt;&gt;"Free Game",INDEX('Game Records'!$U:$U,$H460)&lt;&gt;"Disqualified — Free Game",OR(INDEX('Game Records'!$D:$D,$H460)="",LOWER(INDEX('Game Records'!$D:$D,$H460)&amp;"")="n/a")),"Entry Mode; ","")&amp;IF(AND(INDEX('Game Records'!$U:$U,$H460)&lt;&gt;"Subscription",INDEX('Game Records'!$U:$U,$H460)&lt;&gt;"Free Game",INDEX('Game Records'!$U:$U,$H460)&lt;&gt;"Disqualified — Free Game",OR(INDEX('Game Records'!$E:$E,$H460)="",LOWER(INDEX('Game Records'!$E:$E,$H460)&amp;"")="n/a")),"Game Type; ","")&amp;IF(INDEX('Game Records'!$F:$F,$H460)="","Payment Type; ","")&amp;IF(AND(INDEX('Game Records'!$U:$U,$H460)&lt;&gt;"Subscription",INDEX('Game Records'!$U:$U,$H460)&lt;&gt;"Free Game",INDEX('Game Records'!$U:$U,$H460)&lt;&gt;"Disqualified — Free Game",INDEX('Game Records'!$G:$G,$H460)=""),"Gross Pot; ","")&amp;IF(AND(INDEX('Game Records'!$U:$U,$H460)&lt;&gt;"Free Game",INDEX('Game Records'!$U:$U,$H460)&lt;&gt;"Disqualified — Free Game",INDEX('Game Records'!$H:$H,$H460)=""),"Entry Fee; ","")&amp;IF(AND(INDEX('Game Records'!$U:$U,$H460)&lt;&gt;"Subscription",INDEX('Game Records'!$U:$U,$H460)&lt;&gt;"Free Game",INDEX('Game Records'!$U:$U,$H460)&lt;&gt;"Disqualified — Free Game",INDEX('Game Records'!$I:$I,$H460)=""),"Eligible Players; ","")&amp;IF(AND(INDEX('Game Records'!$U:$U,$H460)&lt;&gt;"Subscription",INDEX('Game Records'!$U:$U,$H460)&lt;&gt;"Free Game",INDEX('Game Records'!$U:$U,$H460)&lt;&gt;"Disqualified — Free Game",INDEX('Game Records'!$J:$J,$H460)=""),"Total Players; ","")&amp;IF(AND(LOWER(INDEX('Game Records'!$D:$D,$H460)&amp;"")="finalized",LOWER(INDEX('Game Records'!$L:$L,$H460)&amp;"")&lt;&gt;"yes",INDEX('Game Records'!$U:$U,$H460)&lt;&gt;"Subscription",INDEX('Game Records'!$U:$U,$H460)&lt;&gt;"Free Game",INDEX('Game Records'!$U:$U,$H460)&lt;&gt;"Disqualified — Free Game",INDEX('Game Records'!$K:$K,$H460)=""),"Final Payout; ","")&amp;IF(AND(LOWER(INDEX('Game Records'!$D:$D,$H460)&amp;"")="finalized",INDEX('Game Records'!$U:$U,$H460)&lt;&gt;"Subscription",INDEX('Game Records'!$U:$U,$H460)&lt;&gt;"Free Game",INDEX('Game Records'!$U:$U,$H460)&lt;&gt;"Disqualified — Free Game",OR(INDEX('Game Records'!$L:$L,$H460)="",LOWER(INDEX('Game Records'!$L:$L,$H460)&amp;"")="n/a")),"Disqualified Status; ",""))</f>
        <v/>
      </c>
      <c r="G460" s="23" t="str">
        <f t="array" ref="G460">IF($H460="","",IFERROR(INDEX('Game Records'!$M:$M,$H460),""))</f>
        <v/>
      </c>
      <c r="H460" s="3"/>
    </row>
    <row r="461" ht="24.0" customHeight="1">
      <c r="A461" s="18" t="str">
        <f t="shared" si="1"/>
        <v/>
      </c>
      <c r="B461" s="18" t="str">
        <f t="shared" si="2"/>
        <v/>
      </c>
      <c r="C461" s="23" t="str">
        <f t="array" ref="C461">IF($H461="","",IFERROR(INDEX('Game Records'!$A:$A,$H461),""))</f>
        <v/>
      </c>
      <c r="D461" s="23" t="str">
        <f t="array" ref="D461">IF($H461="","",IFERROR(INDEX('Game Records'!$U:$U,$H461),""))</f>
        <v/>
      </c>
      <c r="E461" s="23" t="str">
        <f t="array" ref="E461">IF($H461="","",LET(r,$H461,mode,LOWER(INDEX('Game Records'!$D:$D,r)&amp;""),endDate,INDEX('Game Records'!$C:$C,r),IF(mode="estimate",IF(endDate="","Estimate — End Date missing",IF(NOT(ISNUMBER(endDate)),"Estimate — Check End Date",IF(INT(endDate)&gt;=TODAY(),"In Progress — ends "&amp;TEXT(endDate,"mmm d, yyyy"),"Ready to Finalize"))),IF($F461="","No Highlighted Fields","Highlighted Fields Present"))))</f>
        <v/>
      </c>
      <c r="F461" s="23" t="str">
        <f t="array" ref="F461">IF($H461="","",IF(OR(NOT(_xlfn.ISFORMULA(INDEX('Game Records'!$N:$N,$H461))),NOT(_xlfn.ISFORMULA(INDEX('Game Records'!$O:$O,$H461))),NOT(_xlfn.ISFORMULA(INDEX('Game Records'!$P:$P,$H461))),NOT(_xlfn.ISFORMULA(INDEX('Game Records'!$Q:$Q,$H461))),NOT(_xlfn.ISFORMULA(INDEX('Game Records'!$R:$R,$H461))),NOT(_xlfn.ISFORMULA(INDEX('Game Records'!$S:$S,$H461))),NOT(_xlfn.ISFORMULA(INDEX('Game Records'!$T:$T,$H461))),NOT(_xlfn.ISFORMULA(INDEX('Game Records'!$U:$U,$H461))),NOT(_xlfn.ISFORMULA(INDEX('Game Records'!$V:$V,$H461))),NOT(_xlfn.ISFORMULA(INDEX('Game Records'!$W:$W,$H461))),NOT(_xlfn.ISFORMULA(INDEX('Game Records'!$X:$X,$H461))),NOT(_xlfn.ISFORMULA(INDEX('Game Records'!$Y:$Y,$H461))),NOT(_xlfn.ISFORMULA(INDEX('Game Records'!$Z:$Z,$H461)))),"","")&amp;IF(INDEX('Game Records'!$B:$B,$H461)="","Start Date; ","")&amp;IF(INDEX('Game Records'!$C:$C,$H461)="","End Date; ","")&amp;IF(AND(INDEX('Game Records'!$U:$U,$H461)&lt;&gt;"Subscription",INDEX('Game Records'!$U:$U,$H461)&lt;&gt;"Free Game",INDEX('Game Records'!$U:$U,$H461)&lt;&gt;"Disqualified — Free Game",OR(INDEX('Game Records'!$D:$D,$H461)="",LOWER(INDEX('Game Records'!$D:$D,$H461)&amp;"")="n/a")),"Entry Mode; ","")&amp;IF(AND(INDEX('Game Records'!$U:$U,$H461)&lt;&gt;"Subscription",INDEX('Game Records'!$U:$U,$H461)&lt;&gt;"Free Game",INDEX('Game Records'!$U:$U,$H461)&lt;&gt;"Disqualified — Free Game",OR(INDEX('Game Records'!$E:$E,$H461)="",LOWER(INDEX('Game Records'!$E:$E,$H461)&amp;"")="n/a")),"Game Type; ","")&amp;IF(INDEX('Game Records'!$F:$F,$H461)="","Payment Type; ","")&amp;IF(AND(INDEX('Game Records'!$U:$U,$H461)&lt;&gt;"Subscription",INDEX('Game Records'!$U:$U,$H461)&lt;&gt;"Free Game",INDEX('Game Records'!$U:$U,$H461)&lt;&gt;"Disqualified — Free Game",INDEX('Game Records'!$G:$G,$H461)=""),"Gross Pot; ","")&amp;IF(AND(INDEX('Game Records'!$U:$U,$H461)&lt;&gt;"Free Game",INDEX('Game Records'!$U:$U,$H461)&lt;&gt;"Disqualified — Free Game",INDEX('Game Records'!$H:$H,$H461)=""),"Entry Fee; ","")&amp;IF(AND(INDEX('Game Records'!$U:$U,$H461)&lt;&gt;"Subscription",INDEX('Game Records'!$U:$U,$H461)&lt;&gt;"Free Game",INDEX('Game Records'!$U:$U,$H461)&lt;&gt;"Disqualified — Free Game",INDEX('Game Records'!$I:$I,$H461)=""),"Eligible Players; ","")&amp;IF(AND(INDEX('Game Records'!$U:$U,$H461)&lt;&gt;"Subscription",INDEX('Game Records'!$U:$U,$H461)&lt;&gt;"Free Game",INDEX('Game Records'!$U:$U,$H461)&lt;&gt;"Disqualified — Free Game",INDEX('Game Records'!$J:$J,$H461)=""),"Total Players; ","")&amp;IF(AND(LOWER(INDEX('Game Records'!$D:$D,$H461)&amp;"")="finalized",LOWER(INDEX('Game Records'!$L:$L,$H461)&amp;"")&lt;&gt;"yes",INDEX('Game Records'!$U:$U,$H461)&lt;&gt;"Subscription",INDEX('Game Records'!$U:$U,$H461)&lt;&gt;"Free Game",INDEX('Game Records'!$U:$U,$H461)&lt;&gt;"Disqualified — Free Game",INDEX('Game Records'!$K:$K,$H461)=""),"Final Payout; ","")&amp;IF(AND(LOWER(INDEX('Game Records'!$D:$D,$H461)&amp;"")="finalized",INDEX('Game Records'!$U:$U,$H461)&lt;&gt;"Subscription",INDEX('Game Records'!$U:$U,$H461)&lt;&gt;"Free Game",INDEX('Game Records'!$U:$U,$H461)&lt;&gt;"Disqualified — Free Game",OR(INDEX('Game Records'!$L:$L,$H461)="",LOWER(INDEX('Game Records'!$L:$L,$H461)&amp;"")="n/a")),"Disqualified Status; ",""))</f>
        <v/>
      </c>
      <c r="G461" s="23" t="str">
        <f t="array" ref="G461">IF($H461="","",IFERROR(INDEX('Game Records'!$M:$M,$H461),""))</f>
        <v/>
      </c>
      <c r="H461" s="3"/>
    </row>
    <row r="462" ht="24.0" customHeight="1">
      <c r="A462" s="18" t="str">
        <f t="shared" si="1"/>
        <v/>
      </c>
      <c r="B462" s="18" t="str">
        <f t="shared" si="2"/>
        <v/>
      </c>
      <c r="C462" s="23" t="str">
        <f t="array" ref="C462">IF($H462="","",IFERROR(INDEX('Game Records'!$A:$A,$H462),""))</f>
        <v/>
      </c>
      <c r="D462" s="23" t="str">
        <f t="array" ref="D462">IF($H462="","",IFERROR(INDEX('Game Records'!$U:$U,$H462),""))</f>
        <v/>
      </c>
      <c r="E462" s="23" t="str">
        <f t="array" ref="E462">IF($H462="","",LET(r,$H462,mode,LOWER(INDEX('Game Records'!$D:$D,r)&amp;""),endDate,INDEX('Game Records'!$C:$C,r),IF(mode="estimate",IF(endDate="","Estimate — End Date missing",IF(NOT(ISNUMBER(endDate)),"Estimate — Check End Date",IF(INT(endDate)&gt;=TODAY(),"In Progress — ends "&amp;TEXT(endDate,"mmm d, yyyy"),"Ready to Finalize"))),IF($F462="","No Highlighted Fields","Highlighted Fields Present"))))</f>
        <v/>
      </c>
      <c r="F462" s="23" t="str">
        <f t="array" ref="F462">IF($H462="","",IF(OR(NOT(_xlfn.ISFORMULA(INDEX('Game Records'!$N:$N,$H462))),NOT(_xlfn.ISFORMULA(INDEX('Game Records'!$O:$O,$H462))),NOT(_xlfn.ISFORMULA(INDEX('Game Records'!$P:$P,$H462))),NOT(_xlfn.ISFORMULA(INDEX('Game Records'!$Q:$Q,$H462))),NOT(_xlfn.ISFORMULA(INDEX('Game Records'!$R:$R,$H462))),NOT(_xlfn.ISFORMULA(INDEX('Game Records'!$S:$S,$H462))),NOT(_xlfn.ISFORMULA(INDEX('Game Records'!$T:$T,$H462))),NOT(_xlfn.ISFORMULA(INDEX('Game Records'!$U:$U,$H462))),NOT(_xlfn.ISFORMULA(INDEX('Game Records'!$V:$V,$H462))),NOT(_xlfn.ISFORMULA(INDEX('Game Records'!$W:$W,$H462))),NOT(_xlfn.ISFORMULA(INDEX('Game Records'!$X:$X,$H462))),NOT(_xlfn.ISFORMULA(INDEX('Game Records'!$Y:$Y,$H462))),NOT(_xlfn.ISFORMULA(INDEX('Game Records'!$Z:$Z,$H462)))),"","")&amp;IF(INDEX('Game Records'!$B:$B,$H462)="","Start Date; ","")&amp;IF(INDEX('Game Records'!$C:$C,$H462)="","End Date; ","")&amp;IF(AND(INDEX('Game Records'!$U:$U,$H462)&lt;&gt;"Subscription",INDEX('Game Records'!$U:$U,$H462)&lt;&gt;"Free Game",INDEX('Game Records'!$U:$U,$H462)&lt;&gt;"Disqualified — Free Game",OR(INDEX('Game Records'!$D:$D,$H462)="",LOWER(INDEX('Game Records'!$D:$D,$H462)&amp;"")="n/a")),"Entry Mode; ","")&amp;IF(AND(INDEX('Game Records'!$U:$U,$H462)&lt;&gt;"Subscription",INDEX('Game Records'!$U:$U,$H462)&lt;&gt;"Free Game",INDEX('Game Records'!$U:$U,$H462)&lt;&gt;"Disqualified — Free Game",OR(INDEX('Game Records'!$E:$E,$H462)="",LOWER(INDEX('Game Records'!$E:$E,$H462)&amp;"")="n/a")),"Game Type; ","")&amp;IF(INDEX('Game Records'!$F:$F,$H462)="","Payment Type; ","")&amp;IF(AND(INDEX('Game Records'!$U:$U,$H462)&lt;&gt;"Subscription",INDEX('Game Records'!$U:$U,$H462)&lt;&gt;"Free Game",INDEX('Game Records'!$U:$U,$H462)&lt;&gt;"Disqualified — Free Game",INDEX('Game Records'!$G:$G,$H462)=""),"Gross Pot; ","")&amp;IF(AND(INDEX('Game Records'!$U:$U,$H462)&lt;&gt;"Free Game",INDEX('Game Records'!$U:$U,$H462)&lt;&gt;"Disqualified — Free Game",INDEX('Game Records'!$H:$H,$H462)=""),"Entry Fee; ","")&amp;IF(AND(INDEX('Game Records'!$U:$U,$H462)&lt;&gt;"Subscription",INDEX('Game Records'!$U:$U,$H462)&lt;&gt;"Free Game",INDEX('Game Records'!$U:$U,$H462)&lt;&gt;"Disqualified — Free Game",INDEX('Game Records'!$I:$I,$H462)=""),"Eligible Players; ","")&amp;IF(AND(INDEX('Game Records'!$U:$U,$H462)&lt;&gt;"Subscription",INDEX('Game Records'!$U:$U,$H462)&lt;&gt;"Free Game",INDEX('Game Records'!$U:$U,$H462)&lt;&gt;"Disqualified — Free Game",INDEX('Game Records'!$J:$J,$H462)=""),"Total Players; ","")&amp;IF(AND(LOWER(INDEX('Game Records'!$D:$D,$H462)&amp;"")="finalized",LOWER(INDEX('Game Records'!$L:$L,$H462)&amp;"")&lt;&gt;"yes",INDEX('Game Records'!$U:$U,$H462)&lt;&gt;"Subscription",INDEX('Game Records'!$U:$U,$H462)&lt;&gt;"Free Game",INDEX('Game Records'!$U:$U,$H462)&lt;&gt;"Disqualified — Free Game",INDEX('Game Records'!$K:$K,$H462)=""),"Final Payout; ","")&amp;IF(AND(LOWER(INDEX('Game Records'!$D:$D,$H462)&amp;"")="finalized",INDEX('Game Records'!$U:$U,$H462)&lt;&gt;"Subscription",INDEX('Game Records'!$U:$U,$H462)&lt;&gt;"Free Game",INDEX('Game Records'!$U:$U,$H462)&lt;&gt;"Disqualified — Free Game",OR(INDEX('Game Records'!$L:$L,$H462)="",LOWER(INDEX('Game Records'!$L:$L,$H462)&amp;"")="n/a")),"Disqualified Status; ",""))</f>
        <v/>
      </c>
      <c r="G462" s="23" t="str">
        <f t="array" ref="G462">IF($H462="","",IFERROR(INDEX('Game Records'!$M:$M,$H462),""))</f>
        <v/>
      </c>
      <c r="H462" s="3"/>
    </row>
    <row r="463" ht="24.0" customHeight="1">
      <c r="A463" s="18" t="str">
        <f t="shared" si="1"/>
        <v/>
      </c>
      <c r="B463" s="18" t="str">
        <f t="shared" si="2"/>
        <v/>
      </c>
      <c r="C463" s="23" t="str">
        <f t="array" ref="C463">IF($H463="","",IFERROR(INDEX('Game Records'!$A:$A,$H463),""))</f>
        <v/>
      </c>
      <c r="D463" s="23" t="str">
        <f t="array" ref="D463">IF($H463="","",IFERROR(INDEX('Game Records'!$U:$U,$H463),""))</f>
        <v/>
      </c>
      <c r="E463" s="23" t="str">
        <f t="array" ref="E463">IF($H463="","",LET(r,$H463,mode,LOWER(INDEX('Game Records'!$D:$D,r)&amp;""),endDate,INDEX('Game Records'!$C:$C,r),IF(mode="estimate",IF(endDate="","Estimate — End Date missing",IF(NOT(ISNUMBER(endDate)),"Estimate — Check End Date",IF(INT(endDate)&gt;=TODAY(),"In Progress — ends "&amp;TEXT(endDate,"mmm d, yyyy"),"Ready to Finalize"))),IF($F463="","No Highlighted Fields","Highlighted Fields Present"))))</f>
        <v/>
      </c>
      <c r="F463" s="23" t="str">
        <f t="array" ref="F463">IF($H463="","",IF(OR(NOT(_xlfn.ISFORMULA(INDEX('Game Records'!$N:$N,$H463))),NOT(_xlfn.ISFORMULA(INDEX('Game Records'!$O:$O,$H463))),NOT(_xlfn.ISFORMULA(INDEX('Game Records'!$P:$P,$H463))),NOT(_xlfn.ISFORMULA(INDEX('Game Records'!$Q:$Q,$H463))),NOT(_xlfn.ISFORMULA(INDEX('Game Records'!$R:$R,$H463))),NOT(_xlfn.ISFORMULA(INDEX('Game Records'!$S:$S,$H463))),NOT(_xlfn.ISFORMULA(INDEX('Game Records'!$T:$T,$H463))),NOT(_xlfn.ISFORMULA(INDEX('Game Records'!$U:$U,$H463))),NOT(_xlfn.ISFORMULA(INDEX('Game Records'!$V:$V,$H463))),NOT(_xlfn.ISFORMULA(INDEX('Game Records'!$W:$W,$H463))),NOT(_xlfn.ISFORMULA(INDEX('Game Records'!$X:$X,$H463))),NOT(_xlfn.ISFORMULA(INDEX('Game Records'!$Y:$Y,$H463))),NOT(_xlfn.ISFORMULA(INDEX('Game Records'!$Z:$Z,$H463)))),"","")&amp;IF(INDEX('Game Records'!$B:$B,$H463)="","Start Date; ","")&amp;IF(INDEX('Game Records'!$C:$C,$H463)="","End Date; ","")&amp;IF(AND(INDEX('Game Records'!$U:$U,$H463)&lt;&gt;"Subscription",INDEX('Game Records'!$U:$U,$H463)&lt;&gt;"Free Game",INDEX('Game Records'!$U:$U,$H463)&lt;&gt;"Disqualified — Free Game",OR(INDEX('Game Records'!$D:$D,$H463)="",LOWER(INDEX('Game Records'!$D:$D,$H463)&amp;"")="n/a")),"Entry Mode; ","")&amp;IF(AND(INDEX('Game Records'!$U:$U,$H463)&lt;&gt;"Subscription",INDEX('Game Records'!$U:$U,$H463)&lt;&gt;"Free Game",INDEX('Game Records'!$U:$U,$H463)&lt;&gt;"Disqualified — Free Game",OR(INDEX('Game Records'!$E:$E,$H463)="",LOWER(INDEX('Game Records'!$E:$E,$H463)&amp;"")="n/a")),"Game Type; ","")&amp;IF(INDEX('Game Records'!$F:$F,$H463)="","Payment Type; ","")&amp;IF(AND(INDEX('Game Records'!$U:$U,$H463)&lt;&gt;"Subscription",INDEX('Game Records'!$U:$U,$H463)&lt;&gt;"Free Game",INDEX('Game Records'!$U:$U,$H463)&lt;&gt;"Disqualified — Free Game",INDEX('Game Records'!$G:$G,$H463)=""),"Gross Pot; ","")&amp;IF(AND(INDEX('Game Records'!$U:$U,$H463)&lt;&gt;"Free Game",INDEX('Game Records'!$U:$U,$H463)&lt;&gt;"Disqualified — Free Game",INDEX('Game Records'!$H:$H,$H463)=""),"Entry Fee; ","")&amp;IF(AND(INDEX('Game Records'!$U:$U,$H463)&lt;&gt;"Subscription",INDEX('Game Records'!$U:$U,$H463)&lt;&gt;"Free Game",INDEX('Game Records'!$U:$U,$H463)&lt;&gt;"Disqualified — Free Game",INDEX('Game Records'!$I:$I,$H463)=""),"Eligible Players; ","")&amp;IF(AND(INDEX('Game Records'!$U:$U,$H463)&lt;&gt;"Subscription",INDEX('Game Records'!$U:$U,$H463)&lt;&gt;"Free Game",INDEX('Game Records'!$U:$U,$H463)&lt;&gt;"Disqualified — Free Game",INDEX('Game Records'!$J:$J,$H463)=""),"Total Players; ","")&amp;IF(AND(LOWER(INDEX('Game Records'!$D:$D,$H463)&amp;"")="finalized",LOWER(INDEX('Game Records'!$L:$L,$H463)&amp;"")&lt;&gt;"yes",INDEX('Game Records'!$U:$U,$H463)&lt;&gt;"Subscription",INDEX('Game Records'!$U:$U,$H463)&lt;&gt;"Free Game",INDEX('Game Records'!$U:$U,$H463)&lt;&gt;"Disqualified — Free Game",INDEX('Game Records'!$K:$K,$H463)=""),"Final Payout; ","")&amp;IF(AND(LOWER(INDEX('Game Records'!$D:$D,$H463)&amp;"")="finalized",INDEX('Game Records'!$U:$U,$H463)&lt;&gt;"Subscription",INDEX('Game Records'!$U:$U,$H463)&lt;&gt;"Free Game",INDEX('Game Records'!$U:$U,$H463)&lt;&gt;"Disqualified — Free Game",OR(INDEX('Game Records'!$L:$L,$H463)="",LOWER(INDEX('Game Records'!$L:$L,$H463)&amp;"")="n/a")),"Disqualified Status; ",""))</f>
        <v/>
      </c>
      <c r="G463" s="23" t="str">
        <f t="array" ref="G463">IF($H463="","",IFERROR(INDEX('Game Records'!$M:$M,$H463),""))</f>
        <v/>
      </c>
      <c r="H463" s="3"/>
    </row>
    <row r="464" ht="24.0" customHeight="1">
      <c r="A464" s="18" t="str">
        <f t="shared" si="1"/>
        <v/>
      </c>
      <c r="B464" s="18" t="str">
        <f t="shared" si="2"/>
        <v/>
      </c>
      <c r="C464" s="23" t="str">
        <f t="array" ref="C464">IF($H464="","",IFERROR(INDEX('Game Records'!$A:$A,$H464),""))</f>
        <v/>
      </c>
      <c r="D464" s="23" t="str">
        <f t="array" ref="D464">IF($H464="","",IFERROR(INDEX('Game Records'!$U:$U,$H464),""))</f>
        <v/>
      </c>
      <c r="E464" s="23" t="str">
        <f t="array" ref="E464">IF($H464="","",LET(r,$H464,mode,LOWER(INDEX('Game Records'!$D:$D,r)&amp;""),endDate,INDEX('Game Records'!$C:$C,r),IF(mode="estimate",IF(endDate="","Estimate — End Date missing",IF(NOT(ISNUMBER(endDate)),"Estimate — Check End Date",IF(INT(endDate)&gt;=TODAY(),"In Progress — ends "&amp;TEXT(endDate,"mmm d, yyyy"),"Ready to Finalize"))),IF($F464="","No Highlighted Fields","Highlighted Fields Present"))))</f>
        <v/>
      </c>
      <c r="F464" s="23" t="str">
        <f t="array" ref="F464">IF($H464="","",IF(OR(NOT(_xlfn.ISFORMULA(INDEX('Game Records'!$N:$N,$H464))),NOT(_xlfn.ISFORMULA(INDEX('Game Records'!$O:$O,$H464))),NOT(_xlfn.ISFORMULA(INDEX('Game Records'!$P:$P,$H464))),NOT(_xlfn.ISFORMULA(INDEX('Game Records'!$Q:$Q,$H464))),NOT(_xlfn.ISFORMULA(INDEX('Game Records'!$R:$R,$H464))),NOT(_xlfn.ISFORMULA(INDEX('Game Records'!$S:$S,$H464))),NOT(_xlfn.ISFORMULA(INDEX('Game Records'!$T:$T,$H464))),NOT(_xlfn.ISFORMULA(INDEX('Game Records'!$U:$U,$H464))),NOT(_xlfn.ISFORMULA(INDEX('Game Records'!$V:$V,$H464))),NOT(_xlfn.ISFORMULA(INDEX('Game Records'!$W:$W,$H464))),NOT(_xlfn.ISFORMULA(INDEX('Game Records'!$X:$X,$H464))),NOT(_xlfn.ISFORMULA(INDEX('Game Records'!$Y:$Y,$H464))),NOT(_xlfn.ISFORMULA(INDEX('Game Records'!$Z:$Z,$H464)))),"","")&amp;IF(INDEX('Game Records'!$B:$B,$H464)="","Start Date; ","")&amp;IF(INDEX('Game Records'!$C:$C,$H464)="","End Date; ","")&amp;IF(AND(INDEX('Game Records'!$U:$U,$H464)&lt;&gt;"Subscription",INDEX('Game Records'!$U:$U,$H464)&lt;&gt;"Free Game",INDEX('Game Records'!$U:$U,$H464)&lt;&gt;"Disqualified — Free Game",OR(INDEX('Game Records'!$D:$D,$H464)="",LOWER(INDEX('Game Records'!$D:$D,$H464)&amp;"")="n/a")),"Entry Mode; ","")&amp;IF(AND(INDEX('Game Records'!$U:$U,$H464)&lt;&gt;"Subscription",INDEX('Game Records'!$U:$U,$H464)&lt;&gt;"Free Game",INDEX('Game Records'!$U:$U,$H464)&lt;&gt;"Disqualified — Free Game",OR(INDEX('Game Records'!$E:$E,$H464)="",LOWER(INDEX('Game Records'!$E:$E,$H464)&amp;"")="n/a")),"Game Type; ","")&amp;IF(INDEX('Game Records'!$F:$F,$H464)="","Payment Type; ","")&amp;IF(AND(INDEX('Game Records'!$U:$U,$H464)&lt;&gt;"Subscription",INDEX('Game Records'!$U:$U,$H464)&lt;&gt;"Free Game",INDEX('Game Records'!$U:$U,$H464)&lt;&gt;"Disqualified — Free Game",INDEX('Game Records'!$G:$G,$H464)=""),"Gross Pot; ","")&amp;IF(AND(INDEX('Game Records'!$U:$U,$H464)&lt;&gt;"Free Game",INDEX('Game Records'!$U:$U,$H464)&lt;&gt;"Disqualified — Free Game",INDEX('Game Records'!$H:$H,$H464)=""),"Entry Fee; ","")&amp;IF(AND(INDEX('Game Records'!$U:$U,$H464)&lt;&gt;"Subscription",INDEX('Game Records'!$U:$U,$H464)&lt;&gt;"Free Game",INDEX('Game Records'!$U:$U,$H464)&lt;&gt;"Disqualified — Free Game",INDEX('Game Records'!$I:$I,$H464)=""),"Eligible Players; ","")&amp;IF(AND(INDEX('Game Records'!$U:$U,$H464)&lt;&gt;"Subscription",INDEX('Game Records'!$U:$U,$H464)&lt;&gt;"Free Game",INDEX('Game Records'!$U:$U,$H464)&lt;&gt;"Disqualified — Free Game",INDEX('Game Records'!$J:$J,$H464)=""),"Total Players; ","")&amp;IF(AND(LOWER(INDEX('Game Records'!$D:$D,$H464)&amp;"")="finalized",LOWER(INDEX('Game Records'!$L:$L,$H464)&amp;"")&lt;&gt;"yes",INDEX('Game Records'!$U:$U,$H464)&lt;&gt;"Subscription",INDEX('Game Records'!$U:$U,$H464)&lt;&gt;"Free Game",INDEX('Game Records'!$U:$U,$H464)&lt;&gt;"Disqualified — Free Game",INDEX('Game Records'!$K:$K,$H464)=""),"Final Payout; ","")&amp;IF(AND(LOWER(INDEX('Game Records'!$D:$D,$H464)&amp;"")="finalized",INDEX('Game Records'!$U:$U,$H464)&lt;&gt;"Subscription",INDEX('Game Records'!$U:$U,$H464)&lt;&gt;"Free Game",INDEX('Game Records'!$U:$U,$H464)&lt;&gt;"Disqualified — Free Game",OR(INDEX('Game Records'!$L:$L,$H464)="",LOWER(INDEX('Game Records'!$L:$L,$H464)&amp;"")="n/a")),"Disqualified Status; ",""))</f>
        <v/>
      </c>
      <c r="G464" s="23" t="str">
        <f t="array" ref="G464">IF($H464="","",IFERROR(INDEX('Game Records'!$M:$M,$H464),""))</f>
        <v/>
      </c>
      <c r="H464" s="3"/>
    </row>
    <row r="465" ht="24.0" customHeight="1">
      <c r="A465" s="18" t="str">
        <f t="shared" si="1"/>
        <v/>
      </c>
      <c r="B465" s="18" t="str">
        <f t="shared" si="2"/>
        <v/>
      </c>
      <c r="C465" s="23" t="str">
        <f t="array" ref="C465">IF($H465="","",IFERROR(INDEX('Game Records'!$A:$A,$H465),""))</f>
        <v/>
      </c>
      <c r="D465" s="23" t="str">
        <f t="array" ref="D465">IF($H465="","",IFERROR(INDEX('Game Records'!$U:$U,$H465),""))</f>
        <v/>
      </c>
      <c r="E465" s="23" t="str">
        <f t="array" ref="E465">IF($H465="","",LET(r,$H465,mode,LOWER(INDEX('Game Records'!$D:$D,r)&amp;""),endDate,INDEX('Game Records'!$C:$C,r),IF(mode="estimate",IF(endDate="","Estimate — End Date missing",IF(NOT(ISNUMBER(endDate)),"Estimate — Check End Date",IF(INT(endDate)&gt;=TODAY(),"In Progress — ends "&amp;TEXT(endDate,"mmm d, yyyy"),"Ready to Finalize"))),IF($F465="","No Highlighted Fields","Highlighted Fields Present"))))</f>
        <v/>
      </c>
      <c r="F465" s="23" t="str">
        <f t="array" ref="F465">IF($H465="","",IF(OR(NOT(_xlfn.ISFORMULA(INDEX('Game Records'!$N:$N,$H465))),NOT(_xlfn.ISFORMULA(INDEX('Game Records'!$O:$O,$H465))),NOT(_xlfn.ISFORMULA(INDEX('Game Records'!$P:$P,$H465))),NOT(_xlfn.ISFORMULA(INDEX('Game Records'!$Q:$Q,$H465))),NOT(_xlfn.ISFORMULA(INDEX('Game Records'!$R:$R,$H465))),NOT(_xlfn.ISFORMULA(INDEX('Game Records'!$S:$S,$H465))),NOT(_xlfn.ISFORMULA(INDEX('Game Records'!$T:$T,$H465))),NOT(_xlfn.ISFORMULA(INDEX('Game Records'!$U:$U,$H465))),NOT(_xlfn.ISFORMULA(INDEX('Game Records'!$V:$V,$H465))),NOT(_xlfn.ISFORMULA(INDEX('Game Records'!$W:$W,$H465))),NOT(_xlfn.ISFORMULA(INDEX('Game Records'!$X:$X,$H465))),NOT(_xlfn.ISFORMULA(INDEX('Game Records'!$Y:$Y,$H465))),NOT(_xlfn.ISFORMULA(INDEX('Game Records'!$Z:$Z,$H465)))),"","")&amp;IF(INDEX('Game Records'!$B:$B,$H465)="","Start Date; ","")&amp;IF(INDEX('Game Records'!$C:$C,$H465)="","End Date; ","")&amp;IF(AND(INDEX('Game Records'!$U:$U,$H465)&lt;&gt;"Subscription",INDEX('Game Records'!$U:$U,$H465)&lt;&gt;"Free Game",INDEX('Game Records'!$U:$U,$H465)&lt;&gt;"Disqualified — Free Game",OR(INDEX('Game Records'!$D:$D,$H465)="",LOWER(INDEX('Game Records'!$D:$D,$H465)&amp;"")="n/a")),"Entry Mode; ","")&amp;IF(AND(INDEX('Game Records'!$U:$U,$H465)&lt;&gt;"Subscription",INDEX('Game Records'!$U:$U,$H465)&lt;&gt;"Free Game",INDEX('Game Records'!$U:$U,$H465)&lt;&gt;"Disqualified — Free Game",OR(INDEX('Game Records'!$E:$E,$H465)="",LOWER(INDEX('Game Records'!$E:$E,$H465)&amp;"")="n/a")),"Game Type; ","")&amp;IF(INDEX('Game Records'!$F:$F,$H465)="","Payment Type; ","")&amp;IF(AND(INDEX('Game Records'!$U:$U,$H465)&lt;&gt;"Subscription",INDEX('Game Records'!$U:$U,$H465)&lt;&gt;"Free Game",INDEX('Game Records'!$U:$U,$H465)&lt;&gt;"Disqualified — Free Game",INDEX('Game Records'!$G:$G,$H465)=""),"Gross Pot; ","")&amp;IF(AND(INDEX('Game Records'!$U:$U,$H465)&lt;&gt;"Free Game",INDEX('Game Records'!$U:$U,$H465)&lt;&gt;"Disqualified — Free Game",INDEX('Game Records'!$H:$H,$H465)=""),"Entry Fee; ","")&amp;IF(AND(INDEX('Game Records'!$U:$U,$H465)&lt;&gt;"Subscription",INDEX('Game Records'!$U:$U,$H465)&lt;&gt;"Free Game",INDEX('Game Records'!$U:$U,$H465)&lt;&gt;"Disqualified — Free Game",INDEX('Game Records'!$I:$I,$H465)=""),"Eligible Players; ","")&amp;IF(AND(INDEX('Game Records'!$U:$U,$H465)&lt;&gt;"Subscription",INDEX('Game Records'!$U:$U,$H465)&lt;&gt;"Free Game",INDEX('Game Records'!$U:$U,$H465)&lt;&gt;"Disqualified — Free Game",INDEX('Game Records'!$J:$J,$H465)=""),"Total Players; ","")&amp;IF(AND(LOWER(INDEX('Game Records'!$D:$D,$H465)&amp;"")="finalized",LOWER(INDEX('Game Records'!$L:$L,$H465)&amp;"")&lt;&gt;"yes",INDEX('Game Records'!$U:$U,$H465)&lt;&gt;"Subscription",INDEX('Game Records'!$U:$U,$H465)&lt;&gt;"Free Game",INDEX('Game Records'!$U:$U,$H465)&lt;&gt;"Disqualified — Free Game",INDEX('Game Records'!$K:$K,$H465)=""),"Final Payout; ","")&amp;IF(AND(LOWER(INDEX('Game Records'!$D:$D,$H465)&amp;"")="finalized",INDEX('Game Records'!$U:$U,$H465)&lt;&gt;"Subscription",INDEX('Game Records'!$U:$U,$H465)&lt;&gt;"Free Game",INDEX('Game Records'!$U:$U,$H465)&lt;&gt;"Disqualified — Free Game",OR(INDEX('Game Records'!$L:$L,$H465)="",LOWER(INDEX('Game Records'!$L:$L,$H465)&amp;"")="n/a")),"Disqualified Status; ",""))</f>
        <v/>
      </c>
      <c r="G465" s="23" t="str">
        <f t="array" ref="G465">IF($H465="","",IFERROR(INDEX('Game Records'!$M:$M,$H465),""))</f>
        <v/>
      </c>
      <c r="H465" s="3"/>
    </row>
    <row r="466" ht="24.0" customHeight="1">
      <c r="A466" s="18" t="str">
        <f t="shared" si="1"/>
        <v/>
      </c>
      <c r="B466" s="18" t="str">
        <f t="shared" si="2"/>
        <v/>
      </c>
      <c r="C466" s="23" t="str">
        <f t="array" ref="C466">IF($H466="","",IFERROR(INDEX('Game Records'!$A:$A,$H466),""))</f>
        <v/>
      </c>
      <c r="D466" s="23" t="str">
        <f t="array" ref="D466">IF($H466="","",IFERROR(INDEX('Game Records'!$U:$U,$H466),""))</f>
        <v/>
      </c>
      <c r="E466" s="23" t="str">
        <f t="array" ref="E466">IF($H466="","",LET(r,$H466,mode,LOWER(INDEX('Game Records'!$D:$D,r)&amp;""),endDate,INDEX('Game Records'!$C:$C,r),IF(mode="estimate",IF(endDate="","Estimate — End Date missing",IF(NOT(ISNUMBER(endDate)),"Estimate — Check End Date",IF(INT(endDate)&gt;=TODAY(),"In Progress — ends "&amp;TEXT(endDate,"mmm d, yyyy"),"Ready to Finalize"))),IF($F466="","No Highlighted Fields","Highlighted Fields Present"))))</f>
        <v/>
      </c>
      <c r="F466" s="23" t="str">
        <f t="array" ref="F466">IF($H466="","",IF(OR(NOT(_xlfn.ISFORMULA(INDEX('Game Records'!$N:$N,$H466))),NOT(_xlfn.ISFORMULA(INDEX('Game Records'!$O:$O,$H466))),NOT(_xlfn.ISFORMULA(INDEX('Game Records'!$P:$P,$H466))),NOT(_xlfn.ISFORMULA(INDEX('Game Records'!$Q:$Q,$H466))),NOT(_xlfn.ISFORMULA(INDEX('Game Records'!$R:$R,$H466))),NOT(_xlfn.ISFORMULA(INDEX('Game Records'!$S:$S,$H466))),NOT(_xlfn.ISFORMULA(INDEX('Game Records'!$T:$T,$H466))),NOT(_xlfn.ISFORMULA(INDEX('Game Records'!$U:$U,$H466))),NOT(_xlfn.ISFORMULA(INDEX('Game Records'!$V:$V,$H466))),NOT(_xlfn.ISFORMULA(INDEX('Game Records'!$W:$W,$H466))),NOT(_xlfn.ISFORMULA(INDEX('Game Records'!$X:$X,$H466))),NOT(_xlfn.ISFORMULA(INDEX('Game Records'!$Y:$Y,$H466))),NOT(_xlfn.ISFORMULA(INDEX('Game Records'!$Z:$Z,$H466)))),"","")&amp;IF(INDEX('Game Records'!$B:$B,$H466)="","Start Date; ","")&amp;IF(INDEX('Game Records'!$C:$C,$H466)="","End Date; ","")&amp;IF(AND(INDEX('Game Records'!$U:$U,$H466)&lt;&gt;"Subscription",INDEX('Game Records'!$U:$U,$H466)&lt;&gt;"Free Game",INDEX('Game Records'!$U:$U,$H466)&lt;&gt;"Disqualified — Free Game",OR(INDEX('Game Records'!$D:$D,$H466)="",LOWER(INDEX('Game Records'!$D:$D,$H466)&amp;"")="n/a")),"Entry Mode; ","")&amp;IF(AND(INDEX('Game Records'!$U:$U,$H466)&lt;&gt;"Subscription",INDEX('Game Records'!$U:$U,$H466)&lt;&gt;"Free Game",INDEX('Game Records'!$U:$U,$H466)&lt;&gt;"Disqualified — Free Game",OR(INDEX('Game Records'!$E:$E,$H466)="",LOWER(INDEX('Game Records'!$E:$E,$H466)&amp;"")="n/a")),"Game Type; ","")&amp;IF(INDEX('Game Records'!$F:$F,$H466)="","Payment Type; ","")&amp;IF(AND(INDEX('Game Records'!$U:$U,$H466)&lt;&gt;"Subscription",INDEX('Game Records'!$U:$U,$H466)&lt;&gt;"Free Game",INDEX('Game Records'!$U:$U,$H466)&lt;&gt;"Disqualified — Free Game",INDEX('Game Records'!$G:$G,$H466)=""),"Gross Pot; ","")&amp;IF(AND(INDEX('Game Records'!$U:$U,$H466)&lt;&gt;"Free Game",INDEX('Game Records'!$U:$U,$H466)&lt;&gt;"Disqualified — Free Game",INDEX('Game Records'!$H:$H,$H466)=""),"Entry Fee; ","")&amp;IF(AND(INDEX('Game Records'!$U:$U,$H466)&lt;&gt;"Subscription",INDEX('Game Records'!$U:$U,$H466)&lt;&gt;"Free Game",INDEX('Game Records'!$U:$U,$H466)&lt;&gt;"Disqualified — Free Game",INDEX('Game Records'!$I:$I,$H466)=""),"Eligible Players; ","")&amp;IF(AND(INDEX('Game Records'!$U:$U,$H466)&lt;&gt;"Subscription",INDEX('Game Records'!$U:$U,$H466)&lt;&gt;"Free Game",INDEX('Game Records'!$U:$U,$H466)&lt;&gt;"Disqualified — Free Game",INDEX('Game Records'!$J:$J,$H466)=""),"Total Players; ","")&amp;IF(AND(LOWER(INDEX('Game Records'!$D:$D,$H466)&amp;"")="finalized",LOWER(INDEX('Game Records'!$L:$L,$H466)&amp;"")&lt;&gt;"yes",INDEX('Game Records'!$U:$U,$H466)&lt;&gt;"Subscription",INDEX('Game Records'!$U:$U,$H466)&lt;&gt;"Free Game",INDEX('Game Records'!$U:$U,$H466)&lt;&gt;"Disqualified — Free Game",INDEX('Game Records'!$K:$K,$H466)=""),"Final Payout; ","")&amp;IF(AND(LOWER(INDEX('Game Records'!$D:$D,$H466)&amp;"")="finalized",INDEX('Game Records'!$U:$U,$H466)&lt;&gt;"Subscription",INDEX('Game Records'!$U:$U,$H466)&lt;&gt;"Free Game",INDEX('Game Records'!$U:$U,$H466)&lt;&gt;"Disqualified — Free Game",OR(INDEX('Game Records'!$L:$L,$H466)="",LOWER(INDEX('Game Records'!$L:$L,$H466)&amp;"")="n/a")),"Disqualified Status; ",""))</f>
        <v/>
      </c>
      <c r="G466" s="23" t="str">
        <f t="array" ref="G466">IF($H466="","",IFERROR(INDEX('Game Records'!$M:$M,$H466),""))</f>
        <v/>
      </c>
      <c r="H466" s="3"/>
    </row>
    <row r="467" ht="24.0" customHeight="1">
      <c r="A467" s="18" t="str">
        <f t="shared" si="1"/>
        <v/>
      </c>
      <c r="B467" s="18" t="str">
        <f t="shared" si="2"/>
        <v/>
      </c>
      <c r="C467" s="23" t="str">
        <f t="array" ref="C467">IF($H467="","",IFERROR(INDEX('Game Records'!$A:$A,$H467),""))</f>
        <v/>
      </c>
      <c r="D467" s="23" t="str">
        <f t="array" ref="D467">IF($H467="","",IFERROR(INDEX('Game Records'!$U:$U,$H467),""))</f>
        <v/>
      </c>
      <c r="E467" s="23" t="str">
        <f t="array" ref="E467">IF($H467="","",LET(r,$H467,mode,LOWER(INDEX('Game Records'!$D:$D,r)&amp;""),endDate,INDEX('Game Records'!$C:$C,r),IF(mode="estimate",IF(endDate="","Estimate — End Date missing",IF(NOT(ISNUMBER(endDate)),"Estimate — Check End Date",IF(INT(endDate)&gt;=TODAY(),"In Progress — ends "&amp;TEXT(endDate,"mmm d, yyyy"),"Ready to Finalize"))),IF($F467="","No Highlighted Fields","Highlighted Fields Present"))))</f>
        <v/>
      </c>
      <c r="F467" s="23" t="str">
        <f t="array" ref="F467">IF($H467="","",IF(OR(NOT(_xlfn.ISFORMULA(INDEX('Game Records'!$N:$N,$H467))),NOT(_xlfn.ISFORMULA(INDEX('Game Records'!$O:$O,$H467))),NOT(_xlfn.ISFORMULA(INDEX('Game Records'!$P:$P,$H467))),NOT(_xlfn.ISFORMULA(INDEX('Game Records'!$Q:$Q,$H467))),NOT(_xlfn.ISFORMULA(INDEX('Game Records'!$R:$R,$H467))),NOT(_xlfn.ISFORMULA(INDEX('Game Records'!$S:$S,$H467))),NOT(_xlfn.ISFORMULA(INDEX('Game Records'!$T:$T,$H467))),NOT(_xlfn.ISFORMULA(INDEX('Game Records'!$U:$U,$H467))),NOT(_xlfn.ISFORMULA(INDEX('Game Records'!$V:$V,$H467))),NOT(_xlfn.ISFORMULA(INDEX('Game Records'!$W:$W,$H467))),NOT(_xlfn.ISFORMULA(INDEX('Game Records'!$X:$X,$H467))),NOT(_xlfn.ISFORMULA(INDEX('Game Records'!$Y:$Y,$H467))),NOT(_xlfn.ISFORMULA(INDEX('Game Records'!$Z:$Z,$H467)))),"","")&amp;IF(INDEX('Game Records'!$B:$B,$H467)="","Start Date; ","")&amp;IF(INDEX('Game Records'!$C:$C,$H467)="","End Date; ","")&amp;IF(AND(INDEX('Game Records'!$U:$U,$H467)&lt;&gt;"Subscription",INDEX('Game Records'!$U:$U,$H467)&lt;&gt;"Free Game",INDEX('Game Records'!$U:$U,$H467)&lt;&gt;"Disqualified — Free Game",OR(INDEX('Game Records'!$D:$D,$H467)="",LOWER(INDEX('Game Records'!$D:$D,$H467)&amp;"")="n/a")),"Entry Mode; ","")&amp;IF(AND(INDEX('Game Records'!$U:$U,$H467)&lt;&gt;"Subscription",INDEX('Game Records'!$U:$U,$H467)&lt;&gt;"Free Game",INDEX('Game Records'!$U:$U,$H467)&lt;&gt;"Disqualified — Free Game",OR(INDEX('Game Records'!$E:$E,$H467)="",LOWER(INDEX('Game Records'!$E:$E,$H467)&amp;"")="n/a")),"Game Type; ","")&amp;IF(INDEX('Game Records'!$F:$F,$H467)="","Payment Type; ","")&amp;IF(AND(INDEX('Game Records'!$U:$U,$H467)&lt;&gt;"Subscription",INDEX('Game Records'!$U:$U,$H467)&lt;&gt;"Free Game",INDEX('Game Records'!$U:$U,$H467)&lt;&gt;"Disqualified — Free Game",INDEX('Game Records'!$G:$G,$H467)=""),"Gross Pot; ","")&amp;IF(AND(INDEX('Game Records'!$U:$U,$H467)&lt;&gt;"Free Game",INDEX('Game Records'!$U:$U,$H467)&lt;&gt;"Disqualified — Free Game",INDEX('Game Records'!$H:$H,$H467)=""),"Entry Fee; ","")&amp;IF(AND(INDEX('Game Records'!$U:$U,$H467)&lt;&gt;"Subscription",INDEX('Game Records'!$U:$U,$H467)&lt;&gt;"Free Game",INDEX('Game Records'!$U:$U,$H467)&lt;&gt;"Disqualified — Free Game",INDEX('Game Records'!$I:$I,$H467)=""),"Eligible Players; ","")&amp;IF(AND(INDEX('Game Records'!$U:$U,$H467)&lt;&gt;"Subscription",INDEX('Game Records'!$U:$U,$H467)&lt;&gt;"Free Game",INDEX('Game Records'!$U:$U,$H467)&lt;&gt;"Disqualified — Free Game",INDEX('Game Records'!$J:$J,$H467)=""),"Total Players; ","")&amp;IF(AND(LOWER(INDEX('Game Records'!$D:$D,$H467)&amp;"")="finalized",LOWER(INDEX('Game Records'!$L:$L,$H467)&amp;"")&lt;&gt;"yes",INDEX('Game Records'!$U:$U,$H467)&lt;&gt;"Subscription",INDEX('Game Records'!$U:$U,$H467)&lt;&gt;"Free Game",INDEX('Game Records'!$U:$U,$H467)&lt;&gt;"Disqualified — Free Game",INDEX('Game Records'!$K:$K,$H467)=""),"Final Payout; ","")&amp;IF(AND(LOWER(INDEX('Game Records'!$D:$D,$H467)&amp;"")="finalized",INDEX('Game Records'!$U:$U,$H467)&lt;&gt;"Subscription",INDEX('Game Records'!$U:$U,$H467)&lt;&gt;"Free Game",INDEX('Game Records'!$U:$U,$H467)&lt;&gt;"Disqualified — Free Game",OR(INDEX('Game Records'!$L:$L,$H467)="",LOWER(INDEX('Game Records'!$L:$L,$H467)&amp;"")="n/a")),"Disqualified Status; ",""))</f>
        <v/>
      </c>
      <c r="G467" s="23" t="str">
        <f t="array" ref="G467">IF($H467="","",IFERROR(INDEX('Game Records'!$M:$M,$H467),""))</f>
        <v/>
      </c>
      <c r="H467" s="3"/>
    </row>
    <row r="468" ht="24.0" customHeight="1">
      <c r="A468" s="18" t="str">
        <f t="shared" si="1"/>
        <v/>
      </c>
      <c r="B468" s="18" t="str">
        <f t="shared" si="2"/>
        <v/>
      </c>
      <c r="C468" s="23" t="str">
        <f t="array" ref="C468">IF($H468="","",IFERROR(INDEX('Game Records'!$A:$A,$H468),""))</f>
        <v/>
      </c>
      <c r="D468" s="23" t="str">
        <f t="array" ref="D468">IF($H468="","",IFERROR(INDEX('Game Records'!$U:$U,$H468),""))</f>
        <v/>
      </c>
      <c r="E468" s="23" t="str">
        <f t="array" ref="E468">IF($H468="","",LET(r,$H468,mode,LOWER(INDEX('Game Records'!$D:$D,r)&amp;""),endDate,INDEX('Game Records'!$C:$C,r),IF(mode="estimate",IF(endDate="","Estimate — End Date missing",IF(NOT(ISNUMBER(endDate)),"Estimate — Check End Date",IF(INT(endDate)&gt;=TODAY(),"In Progress — ends "&amp;TEXT(endDate,"mmm d, yyyy"),"Ready to Finalize"))),IF($F468="","No Highlighted Fields","Highlighted Fields Present"))))</f>
        <v/>
      </c>
      <c r="F468" s="23" t="str">
        <f t="array" ref="F468">IF($H468="","",IF(OR(NOT(_xlfn.ISFORMULA(INDEX('Game Records'!$N:$N,$H468))),NOT(_xlfn.ISFORMULA(INDEX('Game Records'!$O:$O,$H468))),NOT(_xlfn.ISFORMULA(INDEX('Game Records'!$P:$P,$H468))),NOT(_xlfn.ISFORMULA(INDEX('Game Records'!$Q:$Q,$H468))),NOT(_xlfn.ISFORMULA(INDEX('Game Records'!$R:$R,$H468))),NOT(_xlfn.ISFORMULA(INDEX('Game Records'!$S:$S,$H468))),NOT(_xlfn.ISFORMULA(INDEX('Game Records'!$T:$T,$H468))),NOT(_xlfn.ISFORMULA(INDEX('Game Records'!$U:$U,$H468))),NOT(_xlfn.ISFORMULA(INDEX('Game Records'!$V:$V,$H468))),NOT(_xlfn.ISFORMULA(INDEX('Game Records'!$W:$W,$H468))),NOT(_xlfn.ISFORMULA(INDEX('Game Records'!$X:$X,$H468))),NOT(_xlfn.ISFORMULA(INDEX('Game Records'!$Y:$Y,$H468))),NOT(_xlfn.ISFORMULA(INDEX('Game Records'!$Z:$Z,$H468)))),"","")&amp;IF(INDEX('Game Records'!$B:$B,$H468)="","Start Date; ","")&amp;IF(INDEX('Game Records'!$C:$C,$H468)="","End Date; ","")&amp;IF(AND(INDEX('Game Records'!$U:$U,$H468)&lt;&gt;"Subscription",INDEX('Game Records'!$U:$U,$H468)&lt;&gt;"Free Game",INDEX('Game Records'!$U:$U,$H468)&lt;&gt;"Disqualified — Free Game",OR(INDEX('Game Records'!$D:$D,$H468)="",LOWER(INDEX('Game Records'!$D:$D,$H468)&amp;"")="n/a")),"Entry Mode; ","")&amp;IF(AND(INDEX('Game Records'!$U:$U,$H468)&lt;&gt;"Subscription",INDEX('Game Records'!$U:$U,$H468)&lt;&gt;"Free Game",INDEX('Game Records'!$U:$U,$H468)&lt;&gt;"Disqualified — Free Game",OR(INDEX('Game Records'!$E:$E,$H468)="",LOWER(INDEX('Game Records'!$E:$E,$H468)&amp;"")="n/a")),"Game Type; ","")&amp;IF(INDEX('Game Records'!$F:$F,$H468)="","Payment Type; ","")&amp;IF(AND(INDEX('Game Records'!$U:$U,$H468)&lt;&gt;"Subscription",INDEX('Game Records'!$U:$U,$H468)&lt;&gt;"Free Game",INDEX('Game Records'!$U:$U,$H468)&lt;&gt;"Disqualified — Free Game",INDEX('Game Records'!$G:$G,$H468)=""),"Gross Pot; ","")&amp;IF(AND(INDEX('Game Records'!$U:$U,$H468)&lt;&gt;"Free Game",INDEX('Game Records'!$U:$U,$H468)&lt;&gt;"Disqualified — Free Game",INDEX('Game Records'!$H:$H,$H468)=""),"Entry Fee; ","")&amp;IF(AND(INDEX('Game Records'!$U:$U,$H468)&lt;&gt;"Subscription",INDEX('Game Records'!$U:$U,$H468)&lt;&gt;"Free Game",INDEX('Game Records'!$U:$U,$H468)&lt;&gt;"Disqualified — Free Game",INDEX('Game Records'!$I:$I,$H468)=""),"Eligible Players; ","")&amp;IF(AND(INDEX('Game Records'!$U:$U,$H468)&lt;&gt;"Subscription",INDEX('Game Records'!$U:$U,$H468)&lt;&gt;"Free Game",INDEX('Game Records'!$U:$U,$H468)&lt;&gt;"Disqualified — Free Game",INDEX('Game Records'!$J:$J,$H468)=""),"Total Players; ","")&amp;IF(AND(LOWER(INDEX('Game Records'!$D:$D,$H468)&amp;"")="finalized",LOWER(INDEX('Game Records'!$L:$L,$H468)&amp;"")&lt;&gt;"yes",INDEX('Game Records'!$U:$U,$H468)&lt;&gt;"Subscription",INDEX('Game Records'!$U:$U,$H468)&lt;&gt;"Free Game",INDEX('Game Records'!$U:$U,$H468)&lt;&gt;"Disqualified — Free Game",INDEX('Game Records'!$K:$K,$H468)=""),"Final Payout; ","")&amp;IF(AND(LOWER(INDEX('Game Records'!$D:$D,$H468)&amp;"")="finalized",INDEX('Game Records'!$U:$U,$H468)&lt;&gt;"Subscription",INDEX('Game Records'!$U:$U,$H468)&lt;&gt;"Free Game",INDEX('Game Records'!$U:$U,$H468)&lt;&gt;"Disqualified — Free Game",OR(INDEX('Game Records'!$L:$L,$H468)="",LOWER(INDEX('Game Records'!$L:$L,$H468)&amp;"")="n/a")),"Disqualified Status; ",""))</f>
        <v/>
      </c>
      <c r="G468" s="23" t="str">
        <f t="array" ref="G468">IF($H468="","",IFERROR(INDEX('Game Records'!$M:$M,$H468),""))</f>
        <v/>
      </c>
      <c r="H468" s="3"/>
    </row>
    <row r="469" ht="24.0" customHeight="1">
      <c r="A469" s="18" t="str">
        <f t="shared" si="1"/>
        <v/>
      </c>
      <c r="B469" s="18" t="str">
        <f t="shared" si="2"/>
        <v/>
      </c>
      <c r="C469" s="23" t="str">
        <f t="array" ref="C469">IF($H469="","",IFERROR(INDEX('Game Records'!$A:$A,$H469),""))</f>
        <v/>
      </c>
      <c r="D469" s="23" t="str">
        <f t="array" ref="D469">IF($H469="","",IFERROR(INDEX('Game Records'!$U:$U,$H469),""))</f>
        <v/>
      </c>
      <c r="E469" s="23" t="str">
        <f t="array" ref="E469">IF($H469="","",LET(r,$H469,mode,LOWER(INDEX('Game Records'!$D:$D,r)&amp;""),endDate,INDEX('Game Records'!$C:$C,r),IF(mode="estimate",IF(endDate="","Estimate — End Date missing",IF(NOT(ISNUMBER(endDate)),"Estimate — Check End Date",IF(INT(endDate)&gt;=TODAY(),"In Progress — ends "&amp;TEXT(endDate,"mmm d, yyyy"),"Ready to Finalize"))),IF($F469="","No Highlighted Fields","Highlighted Fields Present"))))</f>
        <v/>
      </c>
      <c r="F469" s="23" t="str">
        <f t="array" ref="F469">IF($H469="","",IF(OR(NOT(_xlfn.ISFORMULA(INDEX('Game Records'!$N:$N,$H469))),NOT(_xlfn.ISFORMULA(INDEX('Game Records'!$O:$O,$H469))),NOT(_xlfn.ISFORMULA(INDEX('Game Records'!$P:$P,$H469))),NOT(_xlfn.ISFORMULA(INDEX('Game Records'!$Q:$Q,$H469))),NOT(_xlfn.ISFORMULA(INDEX('Game Records'!$R:$R,$H469))),NOT(_xlfn.ISFORMULA(INDEX('Game Records'!$S:$S,$H469))),NOT(_xlfn.ISFORMULA(INDEX('Game Records'!$T:$T,$H469))),NOT(_xlfn.ISFORMULA(INDEX('Game Records'!$U:$U,$H469))),NOT(_xlfn.ISFORMULA(INDEX('Game Records'!$V:$V,$H469))),NOT(_xlfn.ISFORMULA(INDEX('Game Records'!$W:$W,$H469))),NOT(_xlfn.ISFORMULA(INDEX('Game Records'!$X:$X,$H469))),NOT(_xlfn.ISFORMULA(INDEX('Game Records'!$Y:$Y,$H469))),NOT(_xlfn.ISFORMULA(INDEX('Game Records'!$Z:$Z,$H469)))),"","")&amp;IF(INDEX('Game Records'!$B:$B,$H469)="","Start Date; ","")&amp;IF(INDEX('Game Records'!$C:$C,$H469)="","End Date; ","")&amp;IF(AND(INDEX('Game Records'!$U:$U,$H469)&lt;&gt;"Subscription",INDEX('Game Records'!$U:$U,$H469)&lt;&gt;"Free Game",INDEX('Game Records'!$U:$U,$H469)&lt;&gt;"Disqualified — Free Game",OR(INDEX('Game Records'!$D:$D,$H469)="",LOWER(INDEX('Game Records'!$D:$D,$H469)&amp;"")="n/a")),"Entry Mode; ","")&amp;IF(AND(INDEX('Game Records'!$U:$U,$H469)&lt;&gt;"Subscription",INDEX('Game Records'!$U:$U,$H469)&lt;&gt;"Free Game",INDEX('Game Records'!$U:$U,$H469)&lt;&gt;"Disqualified — Free Game",OR(INDEX('Game Records'!$E:$E,$H469)="",LOWER(INDEX('Game Records'!$E:$E,$H469)&amp;"")="n/a")),"Game Type; ","")&amp;IF(INDEX('Game Records'!$F:$F,$H469)="","Payment Type; ","")&amp;IF(AND(INDEX('Game Records'!$U:$U,$H469)&lt;&gt;"Subscription",INDEX('Game Records'!$U:$U,$H469)&lt;&gt;"Free Game",INDEX('Game Records'!$U:$U,$H469)&lt;&gt;"Disqualified — Free Game",INDEX('Game Records'!$G:$G,$H469)=""),"Gross Pot; ","")&amp;IF(AND(INDEX('Game Records'!$U:$U,$H469)&lt;&gt;"Free Game",INDEX('Game Records'!$U:$U,$H469)&lt;&gt;"Disqualified — Free Game",INDEX('Game Records'!$H:$H,$H469)=""),"Entry Fee; ","")&amp;IF(AND(INDEX('Game Records'!$U:$U,$H469)&lt;&gt;"Subscription",INDEX('Game Records'!$U:$U,$H469)&lt;&gt;"Free Game",INDEX('Game Records'!$U:$U,$H469)&lt;&gt;"Disqualified — Free Game",INDEX('Game Records'!$I:$I,$H469)=""),"Eligible Players; ","")&amp;IF(AND(INDEX('Game Records'!$U:$U,$H469)&lt;&gt;"Subscription",INDEX('Game Records'!$U:$U,$H469)&lt;&gt;"Free Game",INDEX('Game Records'!$U:$U,$H469)&lt;&gt;"Disqualified — Free Game",INDEX('Game Records'!$J:$J,$H469)=""),"Total Players; ","")&amp;IF(AND(LOWER(INDEX('Game Records'!$D:$D,$H469)&amp;"")="finalized",LOWER(INDEX('Game Records'!$L:$L,$H469)&amp;"")&lt;&gt;"yes",INDEX('Game Records'!$U:$U,$H469)&lt;&gt;"Subscription",INDEX('Game Records'!$U:$U,$H469)&lt;&gt;"Free Game",INDEX('Game Records'!$U:$U,$H469)&lt;&gt;"Disqualified — Free Game",INDEX('Game Records'!$K:$K,$H469)=""),"Final Payout; ","")&amp;IF(AND(LOWER(INDEX('Game Records'!$D:$D,$H469)&amp;"")="finalized",INDEX('Game Records'!$U:$U,$H469)&lt;&gt;"Subscription",INDEX('Game Records'!$U:$U,$H469)&lt;&gt;"Free Game",INDEX('Game Records'!$U:$U,$H469)&lt;&gt;"Disqualified — Free Game",OR(INDEX('Game Records'!$L:$L,$H469)="",LOWER(INDEX('Game Records'!$L:$L,$H469)&amp;"")="n/a")),"Disqualified Status; ",""))</f>
        <v/>
      </c>
      <c r="G469" s="23" t="str">
        <f t="array" ref="G469">IF($H469="","",IFERROR(INDEX('Game Records'!$M:$M,$H469),""))</f>
        <v/>
      </c>
      <c r="H469" s="3"/>
    </row>
    <row r="470" ht="24.0" customHeight="1">
      <c r="A470" s="18" t="str">
        <f t="shared" si="1"/>
        <v/>
      </c>
      <c r="B470" s="18" t="str">
        <f t="shared" si="2"/>
        <v/>
      </c>
      <c r="C470" s="23" t="str">
        <f t="array" ref="C470">IF($H470="","",IFERROR(INDEX('Game Records'!$A:$A,$H470),""))</f>
        <v/>
      </c>
      <c r="D470" s="23" t="str">
        <f t="array" ref="D470">IF($H470="","",IFERROR(INDEX('Game Records'!$U:$U,$H470),""))</f>
        <v/>
      </c>
      <c r="E470" s="23" t="str">
        <f t="array" ref="E470">IF($H470="","",LET(r,$H470,mode,LOWER(INDEX('Game Records'!$D:$D,r)&amp;""),endDate,INDEX('Game Records'!$C:$C,r),IF(mode="estimate",IF(endDate="","Estimate — End Date missing",IF(NOT(ISNUMBER(endDate)),"Estimate — Check End Date",IF(INT(endDate)&gt;=TODAY(),"In Progress — ends "&amp;TEXT(endDate,"mmm d, yyyy"),"Ready to Finalize"))),IF($F470="","No Highlighted Fields","Highlighted Fields Present"))))</f>
        <v/>
      </c>
      <c r="F470" s="23" t="str">
        <f t="array" ref="F470">IF($H470="","",IF(OR(NOT(_xlfn.ISFORMULA(INDEX('Game Records'!$N:$N,$H470))),NOT(_xlfn.ISFORMULA(INDEX('Game Records'!$O:$O,$H470))),NOT(_xlfn.ISFORMULA(INDEX('Game Records'!$P:$P,$H470))),NOT(_xlfn.ISFORMULA(INDEX('Game Records'!$Q:$Q,$H470))),NOT(_xlfn.ISFORMULA(INDEX('Game Records'!$R:$R,$H470))),NOT(_xlfn.ISFORMULA(INDEX('Game Records'!$S:$S,$H470))),NOT(_xlfn.ISFORMULA(INDEX('Game Records'!$T:$T,$H470))),NOT(_xlfn.ISFORMULA(INDEX('Game Records'!$U:$U,$H470))),NOT(_xlfn.ISFORMULA(INDEX('Game Records'!$V:$V,$H470))),NOT(_xlfn.ISFORMULA(INDEX('Game Records'!$W:$W,$H470))),NOT(_xlfn.ISFORMULA(INDEX('Game Records'!$X:$X,$H470))),NOT(_xlfn.ISFORMULA(INDEX('Game Records'!$Y:$Y,$H470))),NOT(_xlfn.ISFORMULA(INDEX('Game Records'!$Z:$Z,$H470)))),"","")&amp;IF(INDEX('Game Records'!$B:$B,$H470)="","Start Date; ","")&amp;IF(INDEX('Game Records'!$C:$C,$H470)="","End Date; ","")&amp;IF(AND(INDEX('Game Records'!$U:$U,$H470)&lt;&gt;"Subscription",INDEX('Game Records'!$U:$U,$H470)&lt;&gt;"Free Game",INDEX('Game Records'!$U:$U,$H470)&lt;&gt;"Disqualified — Free Game",OR(INDEX('Game Records'!$D:$D,$H470)="",LOWER(INDEX('Game Records'!$D:$D,$H470)&amp;"")="n/a")),"Entry Mode; ","")&amp;IF(AND(INDEX('Game Records'!$U:$U,$H470)&lt;&gt;"Subscription",INDEX('Game Records'!$U:$U,$H470)&lt;&gt;"Free Game",INDEX('Game Records'!$U:$U,$H470)&lt;&gt;"Disqualified — Free Game",OR(INDEX('Game Records'!$E:$E,$H470)="",LOWER(INDEX('Game Records'!$E:$E,$H470)&amp;"")="n/a")),"Game Type; ","")&amp;IF(INDEX('Game Records'!$F:$F,$H470)="","Payment Type; ","")&amp;IF(AND(INDEX('Game Records'!$U:$U,$H470)&lt;&gt;"Subscription",INDEX('Game Records'!$U:$U,$H470)&lt;&gt;"Free Game",INDEX('Game Records'!$U:$U,$H470)&lt;&gt;"Disqualified — Free Game",INDEX('Game Records'!$G:$G,$H470)=""),"Gross Pot; ","")&amp;IF(AND(INDEX('Game Records'!$U:$U,$H470)&lt;&gt;"Free Game",INDEX('Game Records'!$U:$U,$H470)&lt;&gt;"Disqualified — Free Game",INDEX('Game Records'!$H:$H,$H470)=""),"Entry Fee; ","")&amp;IF(AND(INDEX('Game Records'!$U:$U,$H470)&lt;&gt;"Subscription",INDEX('Game Records'!$U:$U,$H470)&lt;&gt;"Free Game",INDEX('Game Records'!$U:$U,$H470)&lt;&gt;"Disqualified — Free Game",INDEX('Game Records'!$I:$I,$H470)=""),"Eligible Players; ","")&amp;IF(AND(INDEX('Game Records'!$U:$U,$H470)&lt;&gt;"Subscription",INDEX('Game Records'!$U:$U,$H470)&lt;&gt;"Free Game",INDEX('Game Records'!$U:$U,$H470)&lt;&gt;"Disqualified — Free Game",INDEX('Game Records'!$J:$J,$H470)=""),"Total Players; ","")&amp;IF(AND(LOWER(INDEX('Game Records'!$D:$D,$H470)&amp;"")="finalized",LOWER(INDEX('Game Records'!$L:$L,$H470)&amp;"")&lt;&gt;"yes",INDEX('Game Records'!$U:$U,$H470)&lt;&gt;"Subscription",INDEX('Game Records'!$U:$U,$H470)&lt;&gt;"Free Game",INDEX('Game Records'!$U:$U,$H470)&lt;&gt;"Disqualified — Free Game",INDEX('Game Records'!$K:$K,$H470)=""),"Final Payout; ","")&amp;IF(AND(LOWER(INDEX('Game Records'!$D:$D,$H470)&amp;"")="finalized",INDEX('Game Records'!$U:$U,$H470)&lt;&gt;"Subscription",INDEX('Game Records'!$U:$U,$H470)&lt;&gt;"Free Game",INDEX('Game Records'!$U:$U,$H470)&lt;&gt;"Disqualified — Free Game",OR(INDEX('Game Records'!$L:$L,$H470)="",LOWER(INDEX('Game Records'!$L:$L,$H470)&amp;"")="n/a")),"Disqualified Status; ",""))</f>
        <v/>
      </c>
      <c r="G470" s="23" t="str">
        <f t="array" ref="G470">IF($H470="","",IFERROR(INDEX('Game Records'!$M:$M,$H470),""))</f>
        <v/>
      </c>
      <c r="H470" s="3"/>
    </row>
    <row r="471" ht="24.0" customHeight="1">
      <c r="A471" s="18" t="str">
        <f t="shared" si="1"/>
        <v/>
      </c>
      <c r="B471" s="18" t="str">
        <f t="shared" si="2"/>
        <v/>
      </c>
      <c r="C471" s="23" t="str">
        <f t="array" ref="C471">IF($H471="","",IFERROR(INDEX('Game Records'!$A:$A,$H471),""))</f>
        <v/>
      </c>
      <c r="D471" s="23" t="str">
        <f t="array" ref="D471">IF($H471="","",IFERROR(INDEX('Game Records'!$U:$U,$H471),""))</f>
        <v/>
      </c>
      <c r="E471" s="23" t="str">
        <f t="array" ref="E471">IF($H471="","",LET(r,$H471,mode,LOWER(INDEX('Game Records'!$D:$D,r)&amp;""),endDate,INDEX('Game Records'!$C:$C,r),IF(mode="estimate",IF(endDate="","Estimate — End Date missing",IF(NOT(ISNUMBER(endDate)),"Estimate — Check End Date",IF(INT(endDate)&gt;=TODAY(),"In Progress — ends "&amp;TEXT(endDate,"mmm d, yyyy"),"Ready to Finalize"))),IF($F471="","No Highlighted Fields","Highlighted Fields Present"))))</f>
        <v/>
      </c>
      <c r="F471" s="23" t="str">
        <f t="array" ref="F471">IF($H471="","",IF(OR(NOT(_xlfn.ISFORMULA(INDEX('Game Records'!$N:$N,$H471))),NOT(_xlfn.ISFORMULA(INDEX('Game Records'!$O:$O,$H471))),NOT(_xlfn.ISFORMULA(INDEX('Game Records'!$P:$P,$H471))),NOT(_xlfn.ISFORMULA(INDEX('Game Records'!$Q:$Q,$H471))),NOT(_xlfn.ISFORMULA(INDEX('Game Records'!$R:$R,$H471))),NOT(_xlfn.ISFORMULA(INDEX('Game Records'!$S:$S,$H471))),NOT(_xlfn.ISFORMULA(INDEX('Game Records'!$T:$T,$H471))),NOT(_xlfn.ISFORMULA(INDEX('Game Records'!$U:$U,$H471))),NOT(_xlfn.ISFORMULA(INDEX('Game Records'!$V:$V,$H471))),NOT(_xlfn.ISFORMULA(INDEX('Game Records'!$W:$W,$H471))),NOT(_xlfn.ISFORMULA(INDEX('Game Records'!$X:$X,$H471))),NOT(_xlfn.ISFORMULA(INDEX('Game Records'!$Y:$Y,$H471))),NOT(_xlfn.ISFORMULA(INDEX('Game Records'!$Z:$Z,$H471)))),"","")&amp;IF(INDEX('Game Records'!$B:$B,$H471)="","Start Date; ","")&amp;IF(INDEX('Game Records'!$C:$C,$H471)="","End Date; ","")&amp;IF(AND(INDEX('Game Records'!$U:$U,$H471)&lt;&gt;"Subscription",INDEX('Game Records'!$U:$U,$H471)&lt;&gt;"Free Game",INDEX('Game Records'!$U:$U,$H471)&lt;&gt;"Disqualified — Free Game",OR(INDEX('Game Records'!$D:$D,$H471)="",LOWER(INDEX('Game Records'!$D:$D,$H471)&amp;"")="n/a")),"Entry Mode; ","")&amp;IF(AND(INDEX('Game Records'!$U:$U,$H471)&lt;&gt;"Subscription",INDEX('Game Records'!$U:$U,$H471)&lt;&gt;"Free Game",INDEX('Game Records'!$U:$U,$H471)&lt;&gt;"Disqualified — Free Game",OR(INDEX('Game Records'!$E:$E,$H471)="",LOWER(INDEX('Game Records'!$E:$E,$H471)&amp;"")="n/a")),"Game Type; ","")&amp;IF(INDEX('Game Records'!$F:$F,$H471)="","Payment Type; ","")&amp;IF(AND(INDEX('Game Records'!$U:$U,$H471)&lt;&gt;"Subscription",INDEX('Game Records'!$U:$U,$H471)&lt;&gt;"Free Game",INDEX('Game Records'!$U:$U,$H471)&lt;&gt;"Disqualified — Free Game",INDEX('Game Records'!$G:$G,$H471)=""),"Gross Pot; ","")&amp;IF(AND(INDEX('Game Records'!$U:$U,$H471)&lt;&gt;"Free Game",INDEX('Game Records'!$U:$U,$H471)&lt;&gt;"Disqualified — Free Game",INDEX('Game Records'!$H:$H,$H471)=""),"Entry Fee; ","")&amp;IF(AND(INDEX('Game Records'!$U:$U,$H471)&lt;&gt;"Subscription",INDEX('Game Records'!$U:$U,$H471)&lt;&gt;"Free Game",INDEX('Game Records'!$U:$U,$H471)&lt;&gt;"Disqualified — Free Game",INDEX('Game Records'!$I:$I,$H471)=""),"Eligible Players; ","")&amp;IF(AND(INDEX('Game Records'!$U:$U,$H471)&lt;&gt;"Subscription",INDEX('Game Records'!$U:$U,$H471)&lt;&gt;"Free Game",INDEX('Game Records'!$U:$U,$H471)&lt;&gt;"Disqualified — Free Game",INDEX('Game Records'!$J:$J,$H471)=""),"Total Players; ","")&amp;IF(AND(LOWER(INDEX('Game Records'!$D:$D,$H471)&amp;"")="finalized",LOWER(INDEX('Game Records'!$L:$L,$H471)&amp;"")&lt;&gt;"yes",INDEX('Game Records'!$U:$U,$H471)&lt;&gt;"Subscription",INDEX('Game Records'!$U:$U,$H471)&lt;&gt;"Free Game",INDEX('Game Records'!$U:$U,$H471)&lt;&gt;"Disqualified — Free Game",INDEX('Game Records'!$K:$K,$H471)=""),"Final Payout; ","")&amp;IF(AND(LOWER(INDEX('Game Records'!$D:$D,$H471)&amp;"")="finalized",INDEX('Game Records'!$U:$U,$H471)&lt;&gt;"Subscription",INDEX('Game Records'!$U:$U,$H471)&lt;&gt;"Free Game",INDEX('Game Records'!$U:$U,$H471)&lt;&gt;"Disqualified — Free Game",OR(INDEX('Game Records'!$L:$L,$H471)="",LOWER(INDEX('Game Records'!$L:$L,$H471)&amp;"")="n/a")),"Disqualified Status; ",""))</f>
        <v/>
      </c>
      <c r="G471" s="23" t="str">
        <f t="array" ref="G471">IF($H471="","",IFERROR(INDEX('Game Records'!$M:$M,$H471),""))</f>
        <v/>
      </c>
      <c r="H471" s="3"/>
    </row>
    <row r="472" ht="24.0" customHeight="1">
      <c r="A472" s="18" t="str">
        <f t="shared" si="1"/>
        <v/>
      </c>
      <c r="B472" s="18" t="str">
        <f t="shared" si="2"/>
        <v/>
      </c>
      <c r="C472" s="23" t="str">
        <f t="array" ref="C472">IF($H472="","",IFERROR(INDEX('Game Records'!$A:$A,$H472),""))</f>
        <v/>
      </c>
      <c r="D472" s="23" t="str">
        <f t="array" ref="D472">IF($H472="","",IFERROR(INDEX('Game Records'!$U:$U,$H472),""))</f>
        <v/>
      </c>
      <c r="E472" s="23" t="str">
        <f t="array" ref="E472">IF($H472="","",LET(r,$H472,mode,LOWER(INDEX('Game Records'!$D:$D,r)&amp;""),endDate,INDEX('Game Records'!$C:$C,r),IF(mode="estimate",IF(endDate="","Estimate — End Date missing",IF(NOT(ISNUMBER(endDate)),"Estimate — Check End Date",IF(INT(endDate)&gt;=TODAY(),"In Progress — ends "&amp;TEXT(endDate,"mmm d, yyyy"),"Ready to Finalize"))),IF($F472="","No Highlighted Fields","Highlighted Fields Present"))))</f>
        <v/>
      </c>
      <c r="F472" s="23" t="str">
        <f t="array" ref="F472">IF($H472="","",IF(OR(NOT(_xlfn.ISFORMULA(INDEX('Game Records'!$N:$N,$H472))),NOT(_xlfn.ISFORMULA(INDEX('Game Records'!$O:$O,$H472))),NOT(_xlfn.ISFORMULA(INDEX('Game Records'!$P:$P,$H472))),NOT(_xlfn.ISFORMULA(INDEX('Game Records'!$Q:$Q,$H472))),NOT(_xlfn.ISFORMULA(INDEX('Game Records'!$R:$R,$H472))),NOT(_xlfn.ISFORMULA(INDEX('Game Records'!$S:$S,$H472))),NOT(_xlfn.ISFORMULA(INDEX('Game Records'!$T:$T,$H472))),NOT(_xlfn.ISFORMULA(INDEX('Game Records'!$U:$U,$H472))),NOT(_xlfn.ISFORMULA(INDEX('Game Records'!$V:$V,$H472))),NOT(_xlfn.ISFORMULA(INDEX('Game Records'!$W:$W,$H472))),NOT(_xlfn.ISFORMULA(INDEX('Game Records'!$X:$X,$H472))),NOT(_xlfn.ISFORMULA(INDEX('Game Records'!$Y:$Y,$H472))),NOT(_xlfn.ISFORMULA(INDEX('Game Records'!$Z:$Z,$H472)))),"","")&amp;IF(INDEX('Game Records'!$B:$B,$H472)="","Start Date; ","")&amp;IF(INDEX('Game Records'!$C:$C,$H472)="","End Date; ","")&amp;IF(AND(INDEX('Game Records'!$U:$U,$H472)&lt;&gt;"Subscription",INDEX('Game Records'!$U:$U,$H472)&lt;&gt;"Free Game",INDEX('Game Records'!$U:$U,$H472)&lt;&gt;"Disqualified — Free Game",OR(INDEX('Game Records'!$D:$D,$H472)="",LOWER(INDEX('Game Records'!$D:$D,$H472)&amp;"")="n/a")),"Entry Mode; ","")&amp;IF(AND(INDEX('Game Records'!$U:$U,$H472)&lt;&gt;"Subscription",INDEX('Game Records'!$U:$U,$H472)&lt;&gt;"Free Game",INDEX('Game Records'!$U:$U,$H472)&lt;&gt;"Disqualified — Free Game",OR(INDEX('Game Records'!$E:$E,$H472)="",LOWER(INDEX('Game Records'!$E:$E,$H472)&amp;"")="n/a")),"Game Type; ","")&amp;IF(INDEX('Game Records'!$F:$F,$H472)="","Payment Type; ","")&amp;IF(AND(INDEX('Game Records'!$U:$U,$H472)&lt;&gt;"Subscription",INDEX('Game Records'!$U:$U,$H472)&lt;&gt;"Free Game",INDEX('Game Records'!$U:$U,$H472)&lt;&gt;"Disqualified — Free Game",INDEX('Game Records'!$G:$G,$H472)=""),"Gross Pot; ","")&amp;IF(AND(INDEX('Game Records'!$U:$U,$H472)&lt;&gt;"Free Game",INDEX('Game Records'!$U:$U,$H472)&lt;&gt;"Disqualified — Free Game",INDEX('Game Records'!$H:$H,$H472)=""),"Entry Fee; ","")&amp;IF(AND(INDEX('Game Records'!$U:$U,$H472)&lt;&gt;"Subscription",INDEX('Game Records'!$U:$U,$H472)&lt;&gt;"Free Game",INDEX('Game Records'!$U:$U,$H472)&lt;&gt;"Disqualified — Free Game",INDEX('Game Records'!$I:$I,$H472)=""),"Eligible Players; ","")&amp;IF(AND(INDEX('Game Records'!$U:$U,$H472)&lt;&gt;"Subscription",INDEX('Game Records'!$U:$U,$H472)&lt;&gt;"Free Game",INDEX('Game Records'!$U:$U,$H472)&lt;&gt;"Disqualified — Free Game",INDEX('Game Records'!$J:$J,$H472)=""),"Total Players; ","")&amp;IF(AND(LOWER(INDEX('Game Records'!$D:$D,$H472)&amp;"")="finalized",LOWER(INDEX('Game Records'!$L:$L,$H472)&amp;"")&lt;&gt;"yes",INDEX('Game Records'!$U:$U,$H472)&lt;&gt;"Subscription",INDEX('Game Records'!$U:$U,$H472)&lt;&gt;"Free Game",INDEX('Game Records'!$U:$U,$H472)&lt;&gt;"Disqualified — Free Game",INDEX('Game Records'!$K:$K,$H472)=""),"Final Payout; ","")&amp;IF(AND(LOWER(INDEX('Game Records'!$D:$D,$H472)&amp;"")="finalized",INDEX('Game Records'!$U:$U,$H472)&lt;&gt;"Subscription",INDEX('Game Records'!$U:$U,$H472)&lt;&gt;"Free Game",INDEX('Game Records'!$U:$U,$H472)&lt;&gt;"Disqualified — Free Game",OR(INDEX('Game Records'!$L:$L,$H472)="",LOWER(INDEX('Game Records'!$L:$L,$H472)&amp;"")="n/a")),"Disqualified Status; ",""))</f>
        <v/>
      </c>
      <c r="G472" s="23" t="str">
        <f t="array" ref="G472">IF($H472="","",IFERROR(INDEX('Game Records'!$M:$M,$H472),""))</f>
        <v/>
      </c>
      <c r="H472" s="3"/>
    </row>
    <row r="473" ht="24.0" customHeight="1">
      <c r="A473" s="18" t="str">
        <f t="shared" si="1"/>
        <v/>
      </c>
      <c r="B473" s="18" t="str">
        <f t="shared" si="2"/>
        <v/>
      </c>
      <c r="C473" s="23" t="str">
        <f t="array" ref="C473">IF($H473="","",IFERROR(INDEX('Game Records'!$A:$A,$H473),""))</f>
        <v/>
      </c>
      <c r="D473" s="23" t="str">
        <f t="array" ref="D473">IF($H473="","",IFERROR(INDEX('Game Records'!$U:$U,$H473),""))</f>
        <v/>
      </c>
      <c r="E473" s="23" t="str">
        <f t="array" ref="E473">IF($H473="","",LET(r,$H473,mode,LOWER(INDEX('Game Records'!$D:$D,r)&amp;""),endDate,INDEX('Game Records'!$C:$C,r),IF(mode="estimate",IF(endDate="","Estimate — End Date missing",IF(NOT(ISNUMBER(endDate)),"Estimate — Check End Date",IF(INT(endDate)&gt;=TODAY(),"In Progress — ends "&amp;TEXT(endDate,"mmm d, yyyy"),"Ready to Finalize"))),IF($F473="","No Highlighted Fields","Highlighted Fields Present"))))</f>
        <v/>
      </c>
      <c r="F473" s="23" t="str">
        <f t="array" ref="F473">IF($H473="","",IF(OR(NOT(_xlfn.ISFORMULA(INDEX('Game Records'!$N:$N,$H473))),NOT(_xlfn.ISFORMULA(INDEX('Game Records'!$O:$O,$H473))),NOT(_xlfn.ISFORMULA(INDEX('Game Records'!$P:$P,$H473))),NOT(_xlfn.ISFORMULA(INDEX('Game Records'!$Q:$Q,$H473))),NOT(_xlfn.ISFORMULA(INDEX('Game Records'!$R:$R,$H473))),NOT(_xlfn.ISFORMULA(INDEX('Game Records'!$S:$S,$H473))),NOT(_xlfn.ISFORMULA(INDEX('Game Records'!$T:$T,$H473))),NOT(_xlfn.ISFORMULA(INDEX('Game Records'!$U:$U,$H473))),NOT(_xlfn.ISFORMULA(INDEX('Game Records'!$V:$V,$H473))),NOT(_xlfn.ISFORMULA(INDEX('Game Records'!$W:$W,$H473))),NOT(_xlfn.ISFORMULA(INDEX('Game Records'!$X:$X,$H473))),NOT(_xlfn.ISFORMULA(INDEX('Game Records'!$Y:$Y,$H473))),NOT(_xlfn.ISFORMULA(INDEX('Game Records'!$Z:$Z,$H473)))),"","")&amp;IF(INDEX('Game Records'!$B:$B,$H473)="","Start Date; ","")&amp;IF(INDEX('Game Records'!$C:$C,$H473)="","End Date; ","")&amp;IF(AND(INDEX('Game Records'!$U:$U,$H473)&lt;&gt;"Subscription",INDEX('Game Records'!$U:$U,$H473)&lt;&gt;"Free Game",INDEX('Game Records'!$U:$U,$H473)&lt;&gt;"Disqualified — Free Game",OR(INDEX('Game Records'!$D:$D,$H473)="",LOWER(INDEX('Game Records'!$D:$D,$H473)&amp;"")="n/a")),"Entry Mode; ","")&amp;IF(AND(INDEX('Game Records'!$U:$U,$H473)&lt;&gt;"Subscription",INDEX('Game Records'!$U:$U,$H473)&lt;&gt;"Free Game",INDEX('Game Records'!$U:$U,$H473)&lt;&gt;"Disqualified — Free Game",OR(INDEX('Game Records'!$E:$E,$H473)="",LOWER(INDEX('Game Records'!$E:$E,$H473)&amp;"")="n/a")),"Game Type; ","")&amp;IF(INDEX('Game Records'!$F:$F,$H473)="","Payment Type; ","")&amp;IF(AND(INDEX('Game Records'!$U:$U,$H473)&lt;&gt;"Subscription",INDEX('Game Records'!$U:$U,$H473)&lt;&gt;"Free Game",INDEX('Game Records'!$U:$U,$H473)&lt;&gt;"Disqualified — Free Game",INDEX('Game Records'!$G:$G,$H473)=""),"Gross Pot; ","")&amp;IF(AND(INDEX('Game Records'!$U:$U,$H473)&lt;&gt;"Free Game",INDEX('Game Records'!$U:$U,$H473)&lt;&gt;"Disqualified — Free Game",INDEX('Game Records'!$H:$H,$H473)=""),"Entry Fee; ","")&amp;IF(AND(INDEX('Game Records'!$U:$U,$H473)&lt;&gt;"Subscription",INDEX('Game Records'!$U:$U,$H473)&lt;&gt;"Free Game",INDEX('Game Records'!$U:$U,$H473)&lt;&gt;"Disqualified — Free Game",INDEX('Game Records'!$I:$I,$H473)=""),"Eligible Players; ","")&amp;IF(AND(INDEX('Game Records'!$U:$U,$H473)&lt;&gt;"Subscription",INDEX('Game Records'!$U:$U,$H473)&lt;&gt;"Free Game",INDEX('Game Records'!$U:$U,$H473)&lt;&gt;"Disqualified — Free Game",INDEX('Game Records'!$J:$J,$H473)=""),"Total Players; ","")&amp;IF(AND(LOWER(INDEX('Game Records'!$D:$D,$H473)&amp;"")="finalized",LOWER(INDEX('Game Records'!$L:$L,$H473)&amp;"")&lt;&gt;"yes",INDEX('Game Records'!$U:$U,$H473)&lt;&gt;"Subscription",INDEX('Game Records'!$U:$U,$H473)&lt;&gt;"Free Game",INDEX('Game Records'!$U:$U,$H473)&lt;&gt;"Disqualified — Free Game",INDEX('Game Records'!$K:$K,$H473)=""),"Final Payout; ","")&amp;IF(AND(LOWER(INDEX('Game Records'!$D:$D,$H473)&amp;"")="finalized",INDEX('Game Records'!$U:$U,$H473)&lt;&gt;"Subscription",INDEX('Game Records'!$U:$U,$H473)&lt;&gt;"Free Game",INDEX('Game Records'!$U:$U,$H473)&lt;&gt;"Disqualified — Free Game",OR(INDEX('Game Records'!$L:$L,$H473)="",LOWER(INDEX('Game Records'!$L:$L,$H473)&amp;"")="n/a")),"Disqualified Status; ",""))</f>
        <v/>
      </c>
      <c r="G473" s="23" t="str">
        <f t="array" ref="G473">IF($H473="","",IFERROR(INDEX('Game Records'!$M:$M,$H473),""))</f>
        <v/>
      </c>
      <c r="H473" s="3"/>
    </row>
    <row r="474" ht="24.0" customHeight="1">
      <c r="A474" s="18" t="str">
        <f t="shared" si="1"/>
        <v/>
      </c>
      <c r="B474" s="18" t="str">
        <f t="shared" si="2"/>
        <v/>
      </c>
      <c r="C474" s="23" t="str">
        <f t="array" ref="C474">IF($H474="","",IFERROR(INDEX('Game Records'!$A:$A,$H474),""))</f>
        <v/>
      </c>
      <c r="D474" s="23" t="str">
        <f t="array" ref="D474">IF($H474="","",IFERROR(INDEX('Game Records'!$U:$U,$H474),""))</f>
        <v/>
      </c>
      <c r="E474" s="23" t="str">
        <f t="array" ref="E474">IF($H474="","",LET(r,$H474,mode,LOWER(INDEX('Game Records'!$D:$D,r)&amp;""),endDate,INDEX('Game Records'!$C:$C,r),IF(mode="estimate",IF(endDate="","Estimate — End Date missing",IF(NOT(ISNUMBER(endDate)),"Estimate — Check End Date",IF(INT(endDate)&gt;=TODAY(),"In Progress — ends "&amp;TEXT(endDate,"mmm d, yyyy"),"Ready to Finalize"))),IF($F474="","No Highlighted Fields","Highlighted Fields Present"))))</f>
        <v/>
      </c>
      <c r="F474" s="23" t="str">
        <f t="array" ref="F474">IF($H474="","",IF(OR(NOT(_xlfn.ISFORMULA(INDEX('Game Records'!$N:$N,$H474))),NOT(_xlfn.ISFORMULA(INDEX('Game Records'!$O:$O,$H474))),NOT(_xlfn.ISFORMULA(INDEX('Game Records'!$P:$P,$H474))),NOT(_xlfn.ISFORMULA(INDEX('Game Records'!$Q:$Q,$H474))),NOT(_xlfn.ISFORMULA(INDEX('Game Records'!$R:$R,$H474))),NOT(_xlfn.ISFORMULA(INDEX('Game Records'!$S:$S,$H474))),NOT(_xlfn.ISFORMULA(INDEX('Game Records'!$T:$T,$H474))),NOT(_xlfn.ISFORMULA(INDEX('Game Records'!$U:$U,$H474))),NOT(_xlfn.ISFORMULA(INDEX('Game Records'!$V:$V,$H474))),NOT(_xlfn.ISFORMULA(INDEX('Game Records'!$W:$W,$H474))),NOT(_xlfn.ISFORMULA(INDEX('Game Records'!$X:$X,$H474))),NOT(_xlfn.ISFORMULA(INDEX('Game Records'!$Y:$Y,$H474))),NOT(_xlfn.ISFORMULA(INDEX('Game Records'!$Z:$Z,$H474)))),"","")&amp;IF(INDEX('Game Records'!$B:$B,$H474)="","Start Date; ","")&amp;IF(INDEX('Game Records'!$C:$C,$H474)="","End Date; ","")&amp;IF(AND(INDEX('Game Records'!$U:$U,$H474)&lt;&gt;"Subscription",INDEX('Game Records'!$U:$U,$H474)&lt;&gt;"Free Game",INDEX('Game Records'!$U:$U,$H474)&lt;&gt;"Disqualified — Free Game",OR(INDEX('Game Records'!$D:$D,$H474)="",LOWER(INDEX('Game Records'!$D:$D,$H474)&amp;"")="n/a")),"Entry Mode; ","")&amp;IF(AND(INDEX('Game Records'!$U:$U,$H474)&lt;&gt;"Subscription",INDEX('Game Records'!$U:$U,$H474)&lt;&gt;"Free Game",INDEX('Game Records'!$U:$U,$H474)&lt;&gt;"Disqualified — Free Game",OR(INDEX('Game Records'!$E:$E,$H474)="",LOWER(INDEX('Game Records'!$E:$E,$H474)&amp;"")="n/a")),"Game Type; ","")&amp;IF(INDEX('Game Records'!$F:$F,$H474)="","Payment Type; ","")&amp;IF(AND(INDEX('Game Records'!$U:$U,$H474)&lt;&gt;"Subscription",INDEX('Game Records'!$U:$U,$H474)&lt;&gt;"Free Game",INDEX('Game Records'!$U:$U,$H474)&lt;&gt;"Disqualified — Free Game",INDEX('Game Records'!$G:$G,$H474)=""),"Gross Pot; ","")&amp;IF(AND(INDEX('Game Records'!$U:$U,$H474)&lt;&gt;"Free Game",INDEX('Game Records'!$U:$U,$H474)&lt;&gt;"Disqualified — Free Game",INDEX('Game Records'!$H:$H,$H474)=""),"Entry Fee; ","")&amp;IF(AND(INDEX('Game Records'!$U:$U,$H474)&lt;&gt;"Subscription",INDEX('Game Records'!$U:$U,$H474)&lt;&gt;"Free Game",INDEX('Game Records'!$U:$U,$H474)&lt;&gt;"Disqualified — Free Game",INDEX('Game Records'!$I:$I,$H474)=""),"Eligible Players; ","")&amp;IF(AND(INDEX('Game Records'!$U:$U,$H474)&lt;&gt;"Subscription",INDEX('Game Records'!$U:$U,$H474)&lt;&gt;"Free Game",INDEX('Game Records'!$U:$U,$H474)&lt;&gt;"Disqualified — Free Game",INDEX('Game Records'!$J:$J,$H474)=""),"Total Players; ","")&amp;IF(AND(LOWER(INDEX('Game Records'!$D:$D,$H474)&amp;"")="finalized",LOWER(INDEX('Game Records'!$L:$L,$H474)&amp;"")&lt;&gt;"yes",INDEX('Game Records'!$U:$U,$H474)&lt;&gt;"Subscription",INDEX('Game Records'!$U:$U,$H474)&lt;&gt;"Free Game",INDEX('Game Records'!$U:$U,$H474)&lt;&gt;"Disqualified — Free Game",INDEX('Game Records'!$K:$K,$H474)=""),"Final Payout; ","")&amp;IF(AND(LOWER(INDEX('Game Records'!$D:$D,$H474)&amp;"")="finalized",INDEX('Game Records'!$U:$U,$H474)&lt;&gt;"Subscription",INDEX('Game Records'!$U:$U,$H474)&lt;&gt;"Free Game",INDEX('Game Records'!$U:$U,$H474)&lt;&gt;"Disqualified — Free Game",OR(INDEX('Game Records'!$L:$L,$H474)="",LOWER(INDEX('Game Records'!$L:$L,$H474)&amp;"")="n/a")),"Disqualified Status; ",""))</f>
        <v/>
      </c>
      <c r="G474" s="23" t="str">
        <f t="array" ref="G474">IF($H474="","",IFERROR(INDEX('Game Records'!$M:$M,$H474),""))</f>
        <v/>
      </c>
      <c r="H474" s="3"/>
    </row>
    <row r="475" ht="24.0" customHeight="1">
      <c r="A475" s="18" t="str">
        <f t="shared" si="1"/>
        <v/>
      </c>
      <c r="B475" s="18" t="str">
        <f t="shared" si="2"/>
        <v/>
      </c>
      <c r="C475" s="23" t="str">
        <f t="array" ref="C475">IF($H475="","",IFERROR(INDEX('Game Records'!$A:$A,$H475),""))</f>
        <v/>
      </c>
      <c r="D475" s="23" t="str">
        <f t="array" ref="D475">IF($H475="","",IFERROR(INDEX('Game Records'!$U:$U,$H475),""))</f>
        <v/>
      </c>
      <c r="E475" s="23" t="str">
        <f t="array" ref="E475">IF($H475="","",LET(r,$H475,mode,LOWER(INDEX('Game Records'!$D:$D,r)&amp;""),endDate,INDEX('Game Records'!$C:$C,r),IF(mode="estimate",IF(endDate="","Estimate — End Date missing",IF(NOT(ISNUMBER(endDate)),"Estimate — Check End Date",IF(INT(endDate)&gt;=TODAY(),"In Progress — ends "&amp;TEXT(endDate,"mmm d, yyyy"),"Ready to Finalize"))),IF($F475="","No Highlighted Fields","Highlighted Fields Present"))))</f>
        <v/>
      </c>
      <c r="F475" s="23" t="str">
        <f t="array" ref="F475">IF($H475="","",IF(OR(NOT(_xlfn.ISFORMULA(INDEX('Game Records'!$N:$N,$H475))),NOT(_xlfn.ISFORMULA(INDEX('Game Records'!$O:$O,$H475))),NOT(_xlfn.ISFORMULA(INDEX('Game Records'!$P:$P,$H475))),NOT(_xlfn.ISFORMULA(INDEX('Game Records'!$Q:$Q,$H475))),NOT(_xlfn.ISFORMULA(INDEX('Game Records'!$R:$R,$H475))),NOT(_xlfn.ISFORMULA(INDEX('Game Records'!$S:$S,$H475))),NOT(_xlfn.ISFORMULA(INDEX('Game Records'!$T:$T,$H475))),NOT(_xlfn.ISFORMULA(INDEX('Game Records'!$U:$U,$H475))),NOT(_xlfn.ISFORMULA(INDEX('Game Records'!$V:$V,$H475))),NOT(_xlfn.ISFORMULA(INDEX('Game Records'!$W:$W,$H475))),NOT(_xlfn.ISFORMULA(INDEX('Game Records'!$X:$X,$H475))),NOT(_xlfn.ISFORMULA(INDEX('Game Records'!$Y:$Y,$H475))),NOT(_xlfn.ISFORMULA(INDEX('Game Records'!$Z:$Z,$H475)))),"","")&amp;IF(INDEX('Game Records'!$B:$B,$H475)="","Start Date; ","")&amp;IF(INDEX('Game Records'!$C:$C,$H475)="","End Date; ","")&amp;IF(AND(INDEX('Game Records'!$U:$U,$H475)&lt;&gt;"Subscription",INDEX('Game Records'!$U:$U,$H475)&lt;&gt;"Free Game",INDEX('Game Records'!$U:$U,$H475)&lt;&gt;"Disqualified — Free Game",OR(INDEX('Game Records'!$D:$D,$H475)="",LOWER(INDEX('Game Records'!$D:$D,$H475)&amp;"")="n/a")),"Entry Mode; ","")&amp;IF(AND(INDEX('Game Records'!$U:$U,$H475)&lt;&gt;"Subscription",INDEX('Game Records'!$U:$U,$H475)&lt;&gt;"Free Game",INDEX('Game Records'!$U:$U,$H475)&lt;&gt;"Disqualified — Free Game",OR(INDEX('Game Records'!$E:$E,$H475)="",LOWER(INDEX('Game Records'!$E:$E,$H475)&amp;"")="n/a")),"Game Type; ","")&amp;IF(INDEX('Game Records'!$F:$F,$H475)="","Payment Type; ","")&amp;IF(AND(INDEX('Game Records'!$U:$U,$H475)&lt;&gt;"Subscription",INDEX('Game Records'!$U:$U,$H475)&lt;&gt;"Free Game",INDEX('Game Records'!$U:$U,$H475)&lt;&gt;"Disqualified — Free Game",INDEX('Game Records'!$G:$G,$H475)=""),"Gross Pot; ","")&amp;IF(AND(INDEX('Game Records'!$U:$U,$H475)&lt;&gt;"Free Game",INDEX('Game Records'!$U:$U,$H475)&lt;&gt;"Disqualified — Free Game",INDEX('Game Records'!$H:$H,$H475)=""),"Entry Fee; ","")&amp;IF(AND(INDEX('Game Records'!$U:$U,$H475)&lt;&gt;"Subscription",INDEX('Game Records'!$U:$U,$H475)&lt;&gt;"Free Game",INDEX('Game Records'!$U:$U,$H475)&lt;&gt;"Disqualified — Free Game",INDEX('Game Records'!$I:$I,$H475)=""),"Eligible Players; ","")&amp;IF(AND(INDEX('Game Records'!$U:$U,$H475)&lt;&gt;"Subscription",INDEX('Game Records'!$U:$U,$H475)&lt;&gt;"Free Game",INDEX('Game Records'!$U:$U,$H475)&lt;&gt;"Disqualified — Free Game",INDEX('Game Records'!$J:$J,$H475)=""),"Total Players; ","")&amp;IF(AND(LOWER(INDEX('Game Records'!$D:$D,$H475)&amp;"")="finalized",LOWER(INDEX('Game Records'!$L:$L,$H475)&amp;"")&lt;&gt;"yes",INDEX('Game Records'!$U:$U,$H475)&lt;&gt;"Subscription",INDEX('Game Records'!$U:$U,$H475)&lt;&gt;"Free Game",INDEX('Game Records'!$U:$U,$H475)&lt;&gt;"Disqualified — Free Game",INDEX('Game Records'!$K:$K,$H475)=""),"Final Payout; ","")&amp;IF(AND(LOWER(INDEX('Game Records'!$D:$D,$H475)&amp;"")="finalized",INDEX('Game Records'!$U:$U,$H475)&lt;&gt;"Subscription",INDEX('Game Records'!$U:$U,$H475)&lt;&gt;"Free Game",INDEX('Game Records'!$U:$U,$H475)&lt;&gt;"Disqualified — Free Game",OR(INDEX('Game Records'!$L:$L,$H475)="",LOWER(INDEX('Game Records'!$L:$L,$H475)&amp;"")="n/a")),"Disqualified Status; ",""))</f>
        <v/>
      </c>
      <c r="G475" s="23" t="str">
        <f t="array" ref="G475">IF($H475="","",IFERROR(INDEX('Game Records'!$M:$M,$H475),""))</f>
        <v/>
      </c>
      <c r="H475" s="3"/>
    </row>
    <row r="476" ht="24.0" customHeight="1">
      <c r="A476" s="18" t="str">
        <f t="shared" si="1"/>
        <v/>
      </c>
      <c r="B476" s="18" t="str">
        <f t="shared" si="2"/>
        <v/>
      </c>
      <c r="C476" s="23" t="str">
        <f t="array" ref="C476">IF($H476="","",IFERROR(INDEX('Game Records'!$A:$A,$H476),""))</f>
        <v/>
      </c>
      <c r="D476" s="23" t="str">
        <f t="array" ref="D476">IF($H476="","",IFERROR(INDEX('Game Records'!$U:$U,$H476),""))</f>
        <v/>
      </c>
      <c r="E476" s="23" t="str">
        <f t="array" ref="E476">IF($H476="","",LET(r,$H476,mode,LOWER(INDEX('Game Records'!$D:$D,r)&amp;""),endDate,INDEX('Game Records'!$C:$C,r),IF(mode="estimate",IF(endDate="","Estimate — End Date missing",IF(NOT(ISNUMBER(endDate)),"Estimate — Check End Date",IF(INT(endDate)&gt;=TODAY(),"In Progress — ends "&amp;TEXT(endDate,"mmm d, yyyy"),"Ready to Finalize"))),IF($F476="","No Highlighted Fields","Highlighted Fields Present"))))</f>
        <v/>
      </c>
      <c r="F476" s="23" t="str">
        <f t="array" ref="F476">IF($H476="","",IF(OR(NOT(_xlfn.ISFORMULA(INDEX('Game Records'!$N:$N,$H476))),NOT(_xlfn.ISFORMULA(INDEX('Game Records'!$O:$O,$H476))),NOT(_xlfn.ISFORMULA(INDEX('Game Records'!$P:$P,$H476))),NOT(_xlfn.ISFORMULA(INDEX('Game Records'!$Q:$Q,$H476))),NOT(_xlfn.ISFORMULA(INDEX('Game Records'!$R:$R,$H476))),NOT(_xlfn.ISFORMULA(INDEX('Game Records'!$S:$S,$H476))),NOT(_xlfn.ISFORMULA(INDEX('Game Records'!$T:$T,$H476))),NOT(_xlfn.ISFORMULA(INDEX('Game Records'!$U:$U,$H476))),NOT(_xlfn.ISFORMULA(INDEX('Game Records'!$V:$V,$H476))),NOT(_xlfn.ISFORMULA(INDEX('Game Records'!$W:$W,$H476))),NOT(_xlfn.ISFORMULA(INDEX('Game Records'!$X:$X,$H476))),NOT(_xlfn.ISFORMULA(INDEX('Game Records'!$Y:$Y,$H476))),NOT(_xlfn.ISFORMULA(INDEX('Game Records'!$Z:$Z,$H476)))),"","")&amp;IF(INDEX('Game Records'!$B:$B,$H476)="","Start Date; ","")&amp;IF(INDEX('Game Records'!$C:$C,$H476)="","End Date; ","")&amp;IF(AND(INDEX('Game Records'!$U:$U,$H476)&lt;&gt;"Subscription",INDEX('Game Records'!$U:$U,$H476)&lt;&gt;"Free Game",INDEX('Game Records'!$U:$U,$H476)&lt;&gt;"Disqualified — Free Game",OR(INDEX('Game Records'!$D:$D,$H476)="",LOWER(INDEX('Game Records'!$D:$D,$H476)&amp;"")="n/a")),"Entry Mode; ","")&amp;IF(AND(INDEX('Game Records'!$U:$U,$H476)&lt;&gt;"Subscription",INDEX('Game Records'!$U:$U,$H476)&lt;&gt;"Free Game",INDEX('Game Records'!$U:$U,$H476)&lt;&gt;"Disqualified — Free Game",OR(INDEX('Game Records'!$E:$E,$H476)="",LOWER(INDEX('Game Records'!$E:$E,$H476)&amp;"")="n/a")),"Game Type; ","")&amp;IF(INDEX('Game Records'!$F:$F,$H476)="","Payment Type; ","")&amp;IF(AND(INDEX('Game Records'!$U:$U,$H476)&lt;&gt;"Subscription",INDEX('Game Records'!$U:$U,$H476)&lt;&gt;"Free Game",INDEX('Game Records'!$U:$U,$H476)&lt;&gt;"Disqualified — Free Game",INDEX('Game Records'!$G:$G,$H476)=""),"Gross Pot; ","")&amp;IF(AND(INDEX('Game Records'!$U:$U,$H476)&lt;&gt;"Free Game",INDEX('Game Records'!$U:$U,$H476)&lt;&gt;"Disqualified — Free Game",INDEX('Game Records'!$H:$H,$H476)=""),"Entry Fee; ","")&amp;IF(AND(INDEX('Game Records'!$U:$U,$H476)&lt;&gt;"Subscription",INDEX('Game Records'!$U:$U,$H476)&lt;&gt;"Free Game",INDEX('Game Records'!$U:$U,$H476)&lt;&gt;"Disqualified — Free Game",INDEX('Game Records'!$I:$I,$H476)=""),"Eligible Players; ","")&amp;IF(AND(INDEX('Game Records'!$U:$U,$H476)&lt;&gt;"Subscription",INDEX('Game Records'!$U:$U,$H476)&lt;&gt;"Free Game",INDEX('Game Records'!$U:$U,$H476)&lt;&gt;"Disqualified — Free Game",INDEX('Game Records'!$J:$J,$H476)=""),"Total Players; ","")&amp;IF(AND(LOWER(INDEX('Game Records'!$D:$D,$H476)&amp;"")="finalized",LOWER(INDEX('Game Records'!$L:$L,$H476)&amp;"")&lt;&gt;"yes",INDEX('Game Records'!$U:$U,$H476)&lt;&gt;"Subscription",INDEX('Game Records'!$U:$U,$H476)&lt;&gt;"Free Game",INDEX('Game Records'!$U:$U,$H476)&lt;&gt;"Disqualified — Free Game",INDEX('Game Records'!$K:$K,$H476)=""),"Final Payout; ","")&amp;IF(AND(LOWER(INDEX('Game Records'!$D:$D,$H476)&amp;"")="finalized",INDEX('Game Records'!$U:$U,$H476)&lt;&gt;"Subscription",INDEX('Game Records'!$U:$U,$H476)&lt;&gt;"Free Game",INDEX('Game Records'!$U:$U,$H476)&lt;&gt;"Disqualified — Free Game",OR(INDEX('Game Records'!$L:$L,$H476)="",LOWER(INDEX('Game Records'!$L:$L,$H476)&amp;"")="n/a")),"Disqualified Status; ",""))</f>
        <v/>
      </c>
      <c r="G476" s="23" t="str">
        <f t="array" ref="G476">IF($H476="","",IFERROR(INDEX('Game Records'!$M:$M,$H476),""))</f>
        <v/>
      </c>
      <c r="H476" s="3"/>
    </row>
    <row r="477" ht="24.0" customHeight="1">
      <c r="A477" s="18" t="str">
        <f t="shared" si="1"/>
        <v/>
      </c>
      <c r="B477" s="18" t="str">
        <f t="shared" si="2"/>
        <v/>
      </c>
      <c r="C477" s="23" t="str">
        <f t="array" ref="C477">IF($H477="","",IFERROR(INDEX('Game Records'!$A:$A,$H477),""))</f>
        <v/>
      </c>
      <c r="D477" s="23" t="str">
        <f t="array" ref="D477">IF($H477="","",IFERROR(INDEX('Game Records'!$U:$U,$H477),""))</f>
        <v/>
      </c>
      <c r="E477" s="23" t="str">
        <f t="array" ref="E477">IF($H477="","",LET(r,$H477,mode,LOWER(INDEX('Game Records'!$D:$D,r)&amp;""),endDate,INDEX('Game Records'!$C:$C,r),IF(mode="estimate",IF(endDate="","Estimate — End Date missing",IF(NOT(ISNUMBER(endDate)),"Estimate — Check End Date",IF(INT(endDate)&gt;=TODAY(),"In Progress — ends "&amp;TEXT(endDate,"mmm d, yyyy"),"Ready to Finalize"))),IF($F477="","No Highlighted Fields","Highlighted Fields Present"))))</f>
        <v/>
      </c>
      <c r="F477" s="23" t="str">
        <f t="array" ref="F477">IF($H477="","",IF(OR(NOT(_xlfn.ISFORMULA(INDEX('Game Records'!$N:$N,$H477))),NOT(_xlfn.ISFORMULA(INDEX('Game Records'!$O:$O,$H477))),NOT(_xlfn.ISFORMULA(INDEX('Game Records'!$P:$P,$H477))),NOT(_xlfn.ISFORMULA(INDEX('Game Records'!$Q:$Q,$H477))),NOT(_xlfn.ISFORMULA(INDEX('Game Records'!$R:$R,$H477))),NOT(_xlfn.ISFORMULA(INDEX('Game Records'!$S:$S,$H477))),NOT(_xlfn.ISFORMULA(INDEX('Game Records'!$T:$T,$H477))),NOT(_xlfn.ISFORMULA(INDEX('Game Records'!$U:$U,$H477))),NOT(_xlfn.ISFORMULA(INDEX('Game Records'!$V:$V,$H477))),NOT(_xlfn.ISFORMULA(INDEX('Game Records'!$W:$W,$H477))),NOT(_xlfn.ISFORMULA(INDEX('Game Records'!$X:$X,$H477))),NOT(_xlfn.ISFORMULA(INDEX('Game Records'!$Y:$Y,$H477))),NOT(_xlfn.ISFORMULA(INDEX('Game Records'!$Z:$Z,$H477)))),"","")&amp;IF(INDEX('Game Records'!$B:$B,$H477)="","Start Date; ","")&amp;IF(INDEX('Game Records'!$C:$C,$H477)="","End Date; ","")&amp;IF(AND(INDEX('Game Records'!$U:$U,$H477)&lt;&gt;"Subscription",INDEX('Game Records'!$U:$U,$H477)&lt;&gt;"Free Game",INDEX('Game Records'!$U:$U,$H477)&lt;&gt;"Disqualified — Free Game",OR(INDEX('Game Records'!$D:$D,$H477)="",LOWER(INDEX('Game Records'!$D:$D,$H477)&amp;"")="n/a")),"Entry Mode; ","")&amp;IF(AND(INDEX('Game Records'!$U:$U,$H477)&lt;&gt;"Subscription",INDEX('Game Records'!$U:$U,$H477)&lt;&gt;"Free Game",INDEX('Game Records'!$U:$U,$H477)&lt;&gt;"Disqualified — Free Game",OR(INDEX('Game Records'!$E:$E,$H477)="",LOWER(INDEX('Game Records'!$E:$E,$H477)&amp;"")="n/a")),"Game Type; ","")&amp;IF(INDEX('Game Records'!$F:$F,$H477)="","Payment Type; ","")&amp;IF(AND(INDEX('Game Records'!$U:$U,$H477)&lt;&gt;"Subscription",INDEX('Game Records'!$U:$U,$H477)&lt;&gt;"Free Game",INDEX('Game Records'!$U:$U,$H477)&lt;&gt;"Disqualified — Free Game",INDEX('Game Records'!$G:$G,$H477)=""),"Gross Pot; ","")&amp;IF(AND(INDEX('Game Records'!$U:$U,$H477)&lt;&gt;"Free Game",INDEX('Game Records'!$U:$U,$H477)&lt;&gt;"Disqualified — Free Game",INDEX('Game Records'!$H:$H,$H477)=""),"Entry Fee; ","")&amp;IF(AND(INDEX('Game Records'!$U:$U,$H477)&lt;&gt;"Subscription",INDEX('Game Records'!$U:$U,$H477)&lt;&gt;"Free Game",INDEX('Game Records'!$U:$U,$H477)&lt;&gt;"Disqualified — Free Game",INDEX('Game Records'!$I:$I,$H477)=""),"Eligible Players; ","")&amp;IF(AND(INDEX('Game Records'!$U:$U,$H477)&lt;&gt;"Subscription",INDEX('Game Records'!$U:$U,$H477)&lt;&gt;"Free Game",INDEX('Game Records'!$U:$U,$H477)&lt;&gt;"Disqualified — Free Game",INDEX('Game Records'!$J:$J,$H477)=""),"Total Players; ","")&amp;IF(AND(LOWER(INDEX('Game Records'!$D:$D,$H477)&amp;"")="finalized",LOWER(INDEX('Game Records'!$L:$L,$H477)&amp;"")&lt;&gt;"yes",INDEX('Game Records'!$U:$U,$H477)&lt;&gt;"Subscription",INDEX('Game Records'!$U:$U,$H477)&lt;&gt;"Free Game",INDEX('Game Records'!$U:$U,$H477)&lt;&gt;"Disqualified — Free Game",INDEX('Game Records'!$K:$K,$H477)=""),"Final Payout; ","")&amp;IF(AND(LOWER(INDEX('Game Records'!$D:$D,$H477)&amp;"")="finalized",INDEX('Game Records'!$U:$U,$H477)&lt;&gt;"Subscription",INDEX('Game Records'!$U:$U,$H477)&lt;&gt;"Free Game",INDEX('Game Records'!$U:$U,$H477)&lt;&gt;"Disqualified — Free Game",OR(INDEX('Game Records'!$L:$L,$H477)="",LOWER(INDEX('Game Records'!$L:$L,$H477)&amp;"")="n/a")),"Disqualified Status; ",""))</f>
        <v/>
      </c>
      <c r="G477" s="23" t="str">
        <f t="array" ref="G477">IF($H477="","",IFERROR(INDEX('Game Records'!$M:$M,$H477),""))</f>
        <v/>
      </c>
      <c r="H477" s="3"/>
    </row>
    <row r="478" ht="24.0" customHeight="1">
      <c r="A478" s="18" t="str">
        <f t="shared" si="1"/>
        <v/>
      </c>
      <c r="B478" s="18" t="str">
        <f t="shared" si="2"/>
        <v/>
      </c>
      <c r="C478" s="23" t="str">
        <f t="array" ref="C478">IF($H478="","",IFERROR(INDEX('Game Records'!$A:$A,$H478),""))</f>
        <v/>
      </c>
      <c r="D478" s="23" t="str">
        <f t="array" ref="D478">IF($H478="","",IFERROR(INDEX('Game Records'!$U:$U,$H478),""))</f>
        <v/>
      </c>
      <c r="E478" s="23" t="str">
        <f t="array" ref="E478">IF($H478="","",LET(r,$H478,mode,LOWER(INDEX('Game Records'!$D:$D,r)&amp;""),endDate,INDEX('Game Records'!$C:$C,r),IF(mode="estimate",IF(endDate="","Estimate — End Date missing",IF(NOT(ISNUMBER(endDate)),"Estimate — Check End Date",IF(INT(endDate)&gt;=TODAY(),"In Progress — ends "&amp;TEXT(endDate,"mmm d, yyyy"),"Ready to Finalize"))),IF($F478="","No Highlighted Fields","Highlighted Fields Present"))))</f>
        <v/>
      </c>
      <c r="F478" s="23" t="str">
        <f t="array" ref="F478">IF($H478="","",IF(OR(NOT(_xlfn.ISFORMULA(INDEX('Game Records'!$N:$N,$H478))),NOT(_xlfn.ISFORMULA(INDEX('Game Records'!$O:$O,$H478))),NOT(_xlfn.ISFORMULA(INDEX('Game Records'!$P:$P,$H478))),NOT(_xlfn.ISFORMULA(INDEX('Game Records'!$Q:$Q,$H478))),NOT(_xlfn.ISFORMULA(INDEX('Game Records'!$R:$R,$H478))),NOT(_xlfn.ISFORMULA(INDEX('Game Records'!$S:$S,$H478))),NOT(_xlfn.ISFORMULA(INDEX('Game Records'!$T:$T,$H478))),NOT(_xlfn.ISFORMULA(INDEX('Game Records'!$U:$U,$H478))),NOT(_xlfn.ISFORMULA(INDEX('Game Records'!$V:$V,$H478))),NOT(_xlfn.ISFORMULA(INDEX('Game Records'!$W:$W,$H478))),NOT(_xlfn.ISFORMULA(INDEX('Game Records'!$X:$X,$H478))),NOT(_xlfn.ISFORMULA(INDEX('Game Records'!$Y:$Y,$H478))),NOT(_xlfn.ISFORMULA(INDEX('Game Records'!$Z:$Z,$H478)))),"","")&amp;IF(INDEX('Game Records'!$B:$B,$H478)="","Start Date; ","")&amp;IF(INDEX('Game Records'!$C:$C,$H478)="","End Date; ","")&amp;IF(AND(INDEX('Game Records'!$U:$U,$H478)&lt;&gt;"Subscription",INDEX('Game Records'!$U:$U,$H478)&lt;&gt;"Free Game",INDEX('Game Records'!$U:$U,$H478)&lt;&gt;"Disqualified — Free Game",OR(INDEX('Game Records'!$D:$D,$H478)="",LOWER(INDEX('Game Records'!$D:$D,$H478)&amp;"")="n/a")),"Entry Mode; ","")&amp;IF(AND(INDEX('Game Records'!$U:$U,$H478)&lt;&gt;"Subscription",INDEX('Game Records'!$U:$U,$H478)&lt;&gt;"Free Game",INDEX('Game Records'!$U:$U,$H478)&lt;&gt;"Disqualified — Free Game",OR(INDEX('Game Records'!$E:$E,$H478)="",LOWER(INDEX('Game Records'!$E:$E,$H478)&amp;"")="n/a")),"Game Type; ","")&amp;IF(INDEX('Game Records'!$F:$F,$H478)="","Payment Type; ","")&amp;IF(AND(INDEX('Game Records'!$U:$U,$H478)&lt;&gt;"Subscription",INDEX('Game Records'!$U:$U,$H478)&lt;&gt;"Free Game",INDEX('Game Records'!$U:$U,$H478)&lt;&gt;"Disqualified — Free Game",INDEX('Game Records'!$G:$G,$H478)=""),"Gross Pot; ","")&amp;IF(AND(INDEX('Game Records'!$U:$U,$H478)&lt;&gt;"Free Game",INDEX('Game Records'!$U:$U,$H478)&lt;&gt;"Disqualified — Free Game",INDEX('Game Records'!$H:$H,$H478)=""),"Entry Fee; ","")&amp;IF(AND(INDEX('Game Records'!$U:$U,$H478)&lt;&gt;"Subscription",INDEX('Game Records'!$U:$U,$H478)&lt;&gt;"Free Game",INDEX('Game Records'!$U:$U,$H478)&lt;&gt;"Disqualified — Free Game",INDEX('Game Records'!$I:$I,$H478)=""),"Eligible Players; ","")&amp;IF(AND(INDEX('Game Records'!$U:$U,$H478)&lt;&gt;"Subscription",INDEX('Game Records'!$U:$U,$H478)&lt;&gt;"Free Game",INDEX('Game Records'!$U:$U,$H478)&lt;&gt;"Disqualified — Free Game",INDEX('Game Records'!$J:$J,$H478)=""),"Total Players; ","")&amp;IF(AND(LOWER(INDEX('Game Records'!$D:$D,$H478)&amp;"")="finalized",LOWER(INDEX('Game Records'!$L:$L,$H478)&amp;"")&lt;&gt;"yes",INDEX('Game Records'!$U:$U,$H478)&lt;&gt;"Subscription",INDEX('Game Records'!$U:$U,$H478)&lt;&gt;"Free Game",INDEX('Game Records'!$U:$U,$H478)&lt;&gt;"Disqualified — Free Game",INDEX('Game Records'!$K:$K,$H478)=""),"Final Payout; ","")&amp;IF(AND(LOWER(INDEX('Game Records'!$D:$D,$H478)&amp;"")="finalized",INDEX('Game Records'!$U:$U,$H478)&lt;&gt;"Subscription",INDEX('Game Records'!$U:$U,$H478)&lt;&gt;"Free Game",INDEX('Game Records'!$U:$U,$H478)&lt;&gt;"Disqualified — Free Game",OR(INDEX('Game Records'!$L:$L,$H478)="",LOWER(INDEX('Game Records'!$L:$L,$H478)&amp;"")="n/a")),"Disqualified Status; ",""))</f>
        <v/>
      </c>
      <c r="G478" s="23" t="str">
        <f t="array" ref="G478">IF($H478="","",IFERROR(INDEX('Game Records'!$M:$M,$H478),""))</f>
        <v/>
      </c>
      <c r="H478" s="3"/>
    </row>
    <row r="479" ht="24.0" customHeight="1">
      <c r="A479" s="18" t="str">
        <f t="shared" si="1"/>
        <v/>
      </c>
      <c r="B479" s="18" t="str">
        <f t="shared" si="2"/>
        <v/>
      </c>
      <c r="C479" s="23" t="str">
        <f t="array" ref="C479">IF($H479="","",IFERROR(INDEX('Game Records'!$A:$A,$H479),""))</f>
        <v/>
      </c>
      <c r="D479" s="23" t="str">
        <f t="array" ref="D479">IF($H479="","",IFERROR(INDEX('Game Records'!$U:$U,$H479),""))</f>
        <v/>
      </c>
      <c r="E479" s="23" t="str">
        <f t="array" ref="E479">IF($H479="","",LET(r,$H479,mode,LOWER(INDEX('Game Records'!$D:$D,r)&amp;""),endDate,INDEX('Game Records'!$C:$C,r),IF(mode="estimate",IF(endDate="","Estimate — End Date missing",IF(NOT(ISNUMBER(endDate)),"Estimate — Check End Date",IF(INT(endDate)&gt;=TODAY(),"In Progress — ends "&amp;TEXT(endDate,"mmm d, yyyy"),"Ready to Finalize"))),IF($F479="","No Highlighted Fields","Highlighted Fields Present"))))</f>
        <v/>
      </c>
      <c r="F479" s="23" t="str">
        <f t="array" ref="F479">IF($H479="","",IF(OR(NOT(_xlfn.ISFORMULA(INDEX('Game Records'!$N:$N,$H479))),NOT(_xlfn.ISFORMULA(INDEX('Game Records'!$O:$O,$H479))),NOT(_xlfn.ISFORMULA(INDEX('Game Records'!$P:$P,$H479))),NOT(_xlfn.ISFORMULA(INDEX('Game Records'!$Q:$Q,$H479))),NOT(_xlfn.ISFORMULA(INDEX('Game Records'!$R:$R,$H479))),NOT(_xlfn.ISFORMULA(INDEX('Game Records'!$S:$S,$H479))),NOT(_xlfn.ISFORMULA(INDEX('Game Records'!$T:$T,$H479))),NOT(_xlfn.ISFORMULA(INDEX('Game Records'!$U:$U,$H479))),NOT(_xlfn.ISFORMULA(INDEX('Game Records'!$V:$V,$H479))),NOT(_xlfn.ISFORMULA(INDEX('Game Records'!$W:$W,$H479))),NOT(_xlfn.ISFORMULA(INDEX('Game Records'!$X:$X,$H479))),NOT(_xlfn.ISFORMULA(INDEX('Game Records'!$Y:$Y,$H479))),NOT(_xlfn.ISFORMULA(INDEX('Game Records'!$Z:$Z,$H479)))),"","")&amp;IF(INDEX('Game Records'!$B:$B,$H479)="","Start Date; ","")&amp;IF(INDEX('Game Records'!$C:$C,$H479)="","End Date; ","")&amp;IF(AND(INDEX('Game Records'!$U:$U,$H479)&lt;&gt;"Subscription",INDEX('Game Records'!$U:$U,$H479)&lt;&gt;"Free Game",INDEX('Game Records'!$U:$U,$H479)&lt;&gt;"Disqualified — Free Game",OR(INDEX('Game Records'!$D:$D,$H479)="",LOWER(INDEX('Game Records'!$D:$D,$H479)&amp;"")="n/a")),"Entry Mode; ","")&amp;IF(AND(INDEX('Game Records'!$U:$U,$H479)&lt;&gt;"Subscription",INDEX('Game Records'!$U:$U,$H479)&lt;&gt;"Free Game",INDEX('Game Records'!$U:$U,$H479)&lt;&gt;"Disqualified — Free Game",OR(INDEX('Game Records'!$E:$E,$H479)="",LOWER(INDEX('Game Records'!$E:$E,$H479)&amp;"")="n/a")),"Game Type; ","")&amp;IF(INDEX('Game Records'!$F:$F,$H479)="","Payment Type; ","")&amp;IF(AND(INDEX('Game Records'!$U:$U,$H479)&lt;&gt;"Subscription",INDEX('Game Records'!$U:$U,$H479)&lt;&gt;"Free Game",INDEX('Game Records'!$U:$U,$H479)&lt;&gt;"Disqualified — Free Game",INDEX('Game Records'!$G:$G,$H479)=""),"Gross Pot; ","")&amp;IF(AND(INDEX('Game Records'!$U:$U,$H479)&lt;&gt;"Free Game",INDEX('Game Records'!$U:$U,$H479)&lt;&gt;"Disqualified — Free Game",INDEX('Game Records'!$H:$H,$H479)=""),"Entry Fee; ","")&amp;IF(AND(INDEX('Game Records'!$U:$U,$H479)&lt;&gt;"Subscription",INDEX('Game Records'!$U:$U,$H479)&lt;&gt;"Free Game",INDEX('Game Records'!$U:$U,$H479)&lt;&gt;"Disqualified — Free Game",INDEX('Game Records'!$I:$I,$H479)=""),"Eligible Players; ","")&amp;IF(AND(INDEX('Game Records'!$U:$U,$H479)&lt;&gt;"Subscription",INDEX('Game Records'!$U:$U,$H479)&lt;&gt;"Free Game",INDEX('Game Records'!$U:$U,$H479)&lt;&gt;"Disqualified — Free Game",INDEX('Game Records'!$J:$J,$H479)=""),"Total Players; ","")&amp;IF(AND(LOWER(INDEX('Game Records'!$D:$D,$H479)&amp;"")="finalized",LOWER(INDEX('Game Records'!$L:$L,$H479)&amp;"")&lt;&gt;"yes",INDEX('Game Records'!$U:$U,$H479)&lt;&gt;"Subscription",INDEX('Game Records'!$U:$U,$H479)&lt;&gt;"Free Game",INDEX('Game Records'!$U:$U,$H479)&lt;&gt;"Disqualified — Free Game",INDEX('Game Records'!$K:$K,$H479)=""),"Final Payout; ","")&amp;IF(AND(LOWER(INDEX('Game Records'!$D:$D,$H479)&amp;"")="finalized",INDEX('Game Records'!$U:$U,$H479)&lt;&gt;"Subscription",INDEX('Game Records'!$U:$U,$H479)&lt;&gt;"Free Game",INDEX('Game Records'!$U:$U,$H479)&lt;&gt;"Disqualified — Free Game",OR(INDEX('Game Records'!$L:$L,$H479)="",LOWER(INDEX('Game Records'!$L:$L,$H479)&amp;"")="n/a")),"Disqualified Status; ",""))</f>
        <v/>
      </c>
      <c r="G479" s="23" t="str">
        <f t="array" ref="G479">IF($H479="","",IFERROR(INDEX('Game Records'!$M:$M,$H479),""))</f>
        <v/>
      </c>
      <c r="H479" s="3"/>
    </row>
    <row r="480" ht="24.0" customHeight="1">
      <c r="A480" s="18" t="str">
        <f t="shared" si="1"/>
        <v/>
      </c>
      <c r="B480" s="18" t="str">
        <f t="shared" si="2"/>
        <v/>
      </c>
      <c r="C480" s="23" t="str">
        <f t="array" ref="C480">IF($H480="","",IFERROR(INDEX('Game Records'!$A:$A,$H480),""))</f>
        <v/>
      </c>
      <c r="D480" s="23" t="str">
        <f t="array" ref="D480">IF($H480="","",IFERROR(INDEX('Game Records'!$U:$U,$H480),""))</f>
        <v/>
      </c>
      <c r="E480" s="23" t="str">
        <f t="array" ref="E480">IF($H480="","",LET(r,$H480,mode,LOWER(INDEX('Game Records'!$D:$D,r)&amp;""),endDate,INDEX('Game Records'!$C:$C,r),IF(mode="estimate",IF(endDate="","Estimate — End Date missing",IF(NOT(ISNUMBER(endDate)),"Estimate — Check End Date",IF(INT(endDate)&gt;=TODAY(),"In Progress — ends "&amp;TEXT(endDate,"mmm d, yyyy"),"Ready to Finalize"))),IF($F480="","No Highlighted Fields","Highlighted Fields Present"))))</f>
        <v/>
      </c>
      <c r="F480" s="23" t="str">
        <f t="array" ref="F480">IF($H480="","",IF(OR(NOT(_xlfn.ISFORMULA(INDEX('Game Records'!$N:$N,$H480))),NOT(_xlfn.ISFORMULA(INDEX('Game Records'!$O:$O,$H480))),NOT(_xlfn.ISFORMULA(INDEX('Game Records'!$P:$P,$H480))),NOT(_xlfn.ISFORMULA(INDEX('Game Records'!$Q:$Q,$H480))),NOT(_xlfn.ISFORMULA(INDEX('Game Records'!$R:$R,$H480))),NOT(_xlfn.ISFORMULA(INDEX('Game Records'!$S:$S,$H480))),NOT(_xlfn.ISFORMULA(INDEX('Game Records'!$T:$T,$H480))),NOT(_xlfn.ISFORMULA(INDEX('Game Records'!$U:$U,$H480))),NOT(_xlfn.ISFORMULA(INDEX('Game Records'!$V:$V,$H480))),NOT(_xlfn.ISFORMULA(INDEX('Game Records'!$W:$W,$H480))),NOT(_xlfn.ISFORMULA(INDEX('Game Records'!$X:$X,$H480))),NOT(_xlfn.ISFORMULA(INDEX('Game Records'!$Y:$Y,$H480))),NOT(_xlfn.ISFORMULA(INDEX('Game Records'!$Z:$Z,$H480)))),"","")&amp;IF(INDEX('Game Records'!$B:$B,$H480)="","Start Date; ","")&amp;IF(INDEX('Game Records'!$C:$C,$H480)="","End Date; ","")&amp;IF(AND(INDEX('Game Records'!$U:$U,$H480)&lt;&gt;"Subscription",INDEX('Game Records'!$U:$U,$H480)&lt;&gt;"Free Game",INDEX('Game Records'!$U:$U,$H480)&lt;&gt;"Disqualified — Free Game",OR(INDEX('Game Records'!$D:$D,$H480)="",LOWER(INDEX('Game Records'!$D:$D,$H480)&amp;"")="n/a")),"Entry Mode; ","")&amp;IF(AND(INDEX('Game Records'!$U:$U,$H480)&lt;&gt;"Subscription",INDEX('Game Records'!$U:$U,$H480)&lt;&gt;"Free Game",INDEX('Game Records'!$U:$U,$H480)&lt;&gt;"Disqualified — Free Game",OR(INDEX('Game Records'!$E:$E,$H480)="",LOWER(INDEX('Game Records'!$E:$E,$H480)&amp;"")="n/a")),"Game Type; ","")&amp;IF(INDEX('Game Records'!$F:$F,$H480)="","Payment Type; ","")&amp;IF(AND(INDEX('Game Records'!$U:$U,$H480)&lt;&gt;"Subscription",INDEX('Game Records'!$U:$U,$H480)&lt;&gt;"Free Game",INDEX('Game Records'!$U:$U,$H480)&lt;&gt;"Disqualified — Free Game",INDEX('Game Records'!$G:$G,$H480)=""),"Gross Pot; ","")&amp;IF(AND(INDEX('Game Records'!$U:$U,$H480)&lt;&gt;"Free Game",INDEX('Game Records'!$U:$U,$H480)&lt;&gt;"Disqualified — Free Game",INDEX('Game Records'!$H:$H,$H480)=""),"Entry Fee; ","")&amp;IF(AND(INDEX('Game Records'!$U:$U,$H480)&lt;&gt;"Subscription",INDEX('Game Records'!$U:$U,$H480)&lt;&gt;"Free Game",INDEX('Game Records'!$U:$U,$H480)&lt;&gt;"Disqualified — Free Game",INDEX('Game Records'!$I:$I,$H480)=""),"Eligible Players; ","")&amp;IF(AND(INDEX('Game Records'!$U:$U,$H480)&lt;&gt;"Subscription",INDEX('Game Records'!$U:$U,$H480)&lt;&gt;"Free Game",INDEX('Game Records'!$U:$U,$H480)&lt;&gt;"Disqualified — Free Game",INDEX('Game Records'!$J:$J,$H480)=""),"Total Players; ","")&amp;IF(AND(LOWER(INDEX('Game Records'!$D:$D,$H480)&amp;"")="finalized",LOWER(INDEX('Game Records'!$L:$L,$H480)&amp;"")&lt;&gt;"yes",INDEX('Game Records'!$U:$U,$H480)&lt;&gt;"Subscription",INDEX('Game Records'!$U:$U,$H480)&lt;&gt;"Free Game",INDEX('Game Records'!$U:$U,$H480)&lt;&gt;"Disqualified — Free Game",INDEX('Game Records'!$K:$K,$H480)=""),"Final Payout; ","")&amp;IF(AND(LOWER(INDEX('Game Records'!$D:$D,$H480)&amp;"")="finalized",INDEX('Game Records'!$U:$U,$H480)&lt;&gt;"Subscription",INDEX('Game Records'!$U:$U,$H480)&lt;&gt;"Free Game",INDEX('Game Records'!$U:$U,$H480)&lt;&gt;"Disqualified — Free Game",OR(INDEX('Game Records'!$L:$L,$H480)="",LOWER(INDEX('Game Records'!$L:$L,$H480)&amp;"")="n/a")),"Disqualified Status; ",""))</f>
        <v/>
      </c>
      <c r="G480" s="23" t="str">
        <f t="array" ref="G480">IF($H480="","",IFERROR(INDEX('Game Records'!$M:$M,$H480),""))</f>
        <v/>
      </c>
      <c r="H480" s="3"/>
    </row>
    <row r="481" ht="24.0" customHeight="1">
      <c r="A481" s="18" t="str">
        <f t="shared" si="1"/>
        <v/>
      </c>
      <c r="B481" s="18" t="str">
        <f t="shared" si="2"/>
        <v/>
      </c>
      <c r="C481" s="23" t="str">
        <f t="array" ref="C481">IF($H481="","",IFERROR(INDEX('Game Records'!$A:$A,$H481),""))</f>
        <v/>
      </c>
      <c r="D481" s="23" t="str">
        <f t="array" ref="D481">IF($H481="","",IFERROR(INDEX('Game Records'!$U:$U,$H481),""))</f>
        <v/>
      </c>
      <c r="E481" s="23" t="str">
        <f t="array" ref="E481">IF($H481="","",LET(r,$H481,mode,LOWER(INDEX('Game Records'!$D:$D,r)&amp;""),endDate,INDEX('Game Records'!$C:$C,r),IF(mode="estimate",IF(endDate="","Estimate — End Date missing",IF(NOT(ISNUMBER(endDate)),"Estimate — Check End Date",IF(INT(endDate)&gt;=TODAY(),"In Progress — ends "&amp;TEXT(endDate,"mmm d, yyyy"),"Ready to Finalize"))),IF($F481="","No Highlighted Fields","Highlighted Fields Present"))))</f>
        <v/>
      </c>
      <c r="F481" s="23" t="str">
        <f t="array" ref="F481">IF($H481="","",IF(OR(NOT(_xlfn.ISFORMULA(INDEX('Game Records'!$N:$N,$H481))),NOT(_xlfn.ISFORMULA(INDEX('Game Records'!$O:$O,$H481))),NOT(_xlfn.ISFORMULA(INDEX('Game Records'!$P:$P,$H481))),NOT(_xlfn.ISFORMULA(INDEX('Game Records'!$Q:$Q,$H481))),NOT(_xlfn.ISFORMULA(INDEX('Game Records'!$R:$R,$H481))),NOT(_xlfn.ISFORMULA(INDEX('Game Records'!$S:$S,$H481))),NOT(_xlfn.ISFORMULA(INDEX('Game Records'!$T:$T,$H481))),NOT(_xlfn.ISFORMULA(INDEX('Game Records'!$U:$U,$H481))),NOT(_xlfn.ISFORMULA(INDEX('Game Records'!$V:$V,$H481))),NOT(_xlfn.ISFORMULA(INDEX('Game Records'!$W:$W,$H481))),NOT(_xlfn.ISFORMULA(INDEX('Game Records'!$X:$X,$H481))),NOT(_xlfn.ISFORMULA(INDEX('Game Records'!$Y:$Y,$H481))),NOT(_xlfn.ISFORMULA(INDEX('Game Records'!$Z:$Z,$H481)))),"","")&amp;IF(INDEX('Game Records'!$B:$B,$H481)="","Start Date; ","")&amp;IF(INDEX('Game Records'!$C:$C,$H481)="","End Date; ","")&amp;IF(AND(INDEX('Game Records'!$U:$U,$H481)&lt;&gt;"Subscription",INDEX('Game Records'!$U:$U,$H481)&lt;&gt;"Free Game",INDEX('Game Records'!$U:$U,$H481)&lt;&gt;"Disqualified — Free Game",OR(INDEX('Game Records'!$D:$D,$H481)="",LOWER(INDEX('Game Records'!$D:$D,$H481)&amp;"")="n/a")),"Entry Mode; ","")&amp;IF(AND(INDEX('Game Records'!$U:$U,$H481)&lt;&gt;"Subscription",INDEX('Game Records'!$U:$U,$H481)&lt;&gt;"Free Game",INDEX('Game Records'!$U:$U,$H481)&lt;&gt;"Disqualified — Free Game",OR(INDEX('Game Records'!$E:$E,$H481)="",LOWER(INDEX('Game Records'!$E:$E,$H481)&amp;"")="n/a")),"Game Type; ","")&amp;IF(INDEX('Game Records'!$F:$F,$H481)="","Payment Type; ","")&amp;IF(AND(INDEX('Game Records'!$U:$U,$H481)&lt;&gt;"Subscription",INDEX('Game Records'!$U:$U,$H481)&lt;&gt;"Free Game",INDEX('Game Records'!$U:$U,$H481)&lt;&gt;"Disqualified — Free Game",INDEX('Game Records'!$G:$G,$H481)=""),"Gross Pot; ","")&amp;IF(AND(INDEX('Game Records'!$U:$U,$H481)&lt;&gt;"Free Game",INDEX('Game Records'!$U:$U,$H481)&lt;&gt;"Disqualified — Free Game",INDEX('Game Records'!$H:$H,$H481)=""),"Entry Fee; ","")&amp;IF(AND(INDEX('Game Records'!$U:$U,$H481)&lt;&gt;"Subscription",INDEX('Game Records'!$U:$U,$H481)&lt;&gt;"Free Game",INDEX('Game Records'!$U:$U,$H481)&lt;&gt;"Disqualified — Free Game",INDEX('Game Records'!$I:$I,$H481)=""),"Eligible Players; ","")&amp;IF(AND(INDEX('Game Records'!$U:$U,$H481)&lt;&gt;"Subscription",INDEX('Game Records'!$U:$U,$H481)&lt;&gt;"Free Game",INDEX('Game Records'!$U:$U,$H481)&lt;&gt;"Disqualified — Free Game",INDEX('Game Records'!$J:$J,$H481)=""),"Total Players; ","")&amp;IF(AND(LOWER(INDEX('Game Records'!$D:$D,$H481)&amp;"")="finalized",LOWER(INDEX('Game Records'!$L:$L,$H481)&amp;"")&lt;&gt;"yes",INDEX('Game Records'!$U:$U,$H481)&lt;&gt;"Subscription",INDEX('Game Records'!$U:$U,$H481)&lt;&gt;"Free Game",INDEX('Game Records'!$U:$U,$H481)&lt;&gt;"Disqualified — Free Game",INDEX('Game Records'!$K:$K,$H481)=""),"Final Payout; ","")&amp;IF(AND(LOWER(INDEX('Game Records'!$D:$D,$H481)&amp;"")="finalized",INDEX('Game Records'!$U:$U,$H481)&lt;&gt;"Subscription",INDEX('Game Records'!$U:$U,$H481)&lt;&gt;"Free Game",INDEX('Game Records'!$U:$U,$H481)&lt;&gt;"Disqualified — Free Game",OR(INDEX('Game Records'!$L:$L,$H481)="",LOWER(INDEX('Game Records'!$L:$L,$H481)&amp;"")="n/a")),"Disqualified Status; ",""))</f>
        <v/>
      </c>
      <c r="G481" s="23" t="str">
        <f t="array" ref="G481">IF($H481="","",IFERROR(INDEX('Game Records'!$M:$M,$H481),""))</f>
        <v/>
      </c>
      <c r="H481" s="3"/>
    </row>
    <row r="482" ht="24.0" customHeight="1">
      <c r="A482" s="18" t="str">
        <f t="shared" si="1"/>
        <v/>
      </c>
      <c r="B482" s="18" t="str">
        <f t="shared" si="2"/>
        <v/>
      </c>
      <c r="C482" s="23" t="str">
        <f t="array" ref="C482">IF($H482="","",IFERROR(INDEX('Game Records'!$A:$A,$H482),""))</f>
        <v/>
      </c>
      <c r="D482" s="23" t="str">
        <f t="array" ref="D482">IF($H482="","",IFERROR(INDEX('Game Records'!$U:$U,$H482),""))</f>
        <v/>
      </c>
      <c r="E482" s="23" t="str">
        <f t="array" ref="E482">IF($H482="","",LET(r,$H482,mode,LOWER(INDEX('Game Records'!$D:$D,r)&amp;""),endDate,INDEX('Game Records'!$C:$C,r),IF(mode="estimate",IF(endDate="","Estimate — End Date missing",IF(NOT(ISNUMBER(endDate)),"Estimate — Check End Date",IF(INT(endDate)&gt;=TODAY(),"In Progress — ends "&amp;TEXT(endDate,"mmm d, yyyy"),"Ready to Finalize"))),IF($F482="","No Highlighted Fields","Highlighted Fields Present"))))</f>
        <v/>
      </c>
      <c r="F482" s="23" t="str">
        <f t="array" ref="F482">IF($H482="","",IF(OR(NOT(_xlfn.ISFORMULA(INDEX('Game Records'!$N:$N,$H482))),NOT(_xlfn.ISFORMULA(INDEX('Game Records'!$O:$O,$H482))),NOT(_xlfn.ISFORMULA(INDEX('Game Records'!$P:$P,$H482))),NOT(_xlfn.ISFORMULA(INDEX('Game Records'!$Q:$Q,$H482))),NOT(_xlfn.ISFORMULA(INDEX('Game Records'!$R:$R,$H482))),NOT(_xlfn.ISFORMULA(INDEX('Game Records'!$S:$S,$H482))),NOT(_xlfn.ISFORMULA(INDEX('Game Records'!$T:$T,$H482))),NOT(_xlfn.ISFORMULA(INDEX('Game Records'!$U:$U,$H482))),NOT(_xlfn.ISFORMULA(INDEX('Game Records'!$V:$V,$H482))),NOT(_xlfn.ISFORMULA(INDEX('Game Records'!$W:$W,$H482))),NOT(_xlfn.ISFORMULA(INDEX('Game Records'!$X:$X,$H482))),NOT(_xlfn.ISFORMULA(INDEX('Game Records'!$Y:$Y,$H482))),NOT(_xlfn.ISFORMULA(INDEX('Game Records'!$Z:$Z,$H482)))),"","")&amp;IF(INDEX('Game Records'!$B:$B,$H482)="","Start Date; ","")&amp;IF(INDEX('Game Records'!$C:$C,$H482)="","End Date; ","")&amp;IF(AND(INDEX('Game Records'!$U:$U,$H482)&lt;&gt;"Subscription",INDEX('Game Records'!$U:$U,$H482)&lt;&gt;"Free Game",INDEX('Game Records'!$U:$U,$H482)&lt;&gt;"Disqualified — Free Game",OR(INDEX('Game Records'!$D:$D,$H482)="",LOWER(INDEX('Game Records'!$D:$D,$H482)&amp;"")="n/a")),"Entry Mode; ","")&amp;IF(AND(INDEX('Game Records'!$U:$U,$H482)&lt;&gt;"Subscription",INDEX('Game Records'!$U:$U,$H482)&lt;&gt;"Free Game",INDEX('Game Records'!$U:$U,$H482)&lt;&gt;"Disqualified — Free Game",OR(INDEX('Game Records'!$E:$E,$H482)="",LOWER(INDEX('Game Records'!$E:$E,$H482)&amp;"")="n/a")),"Game Type; ","")&amp;IF(INDEX('Game Records'!$F:$F,$H482)="","Payment Type; ","")&amp;IF(AND(INDEX('Game Records'!$U:$U,$H482)&lt;&gt;"Subscription",INDEX('Game Records'!$U:$U,$H482)&lt;&gt;"Free Game",INDEX('Game Records'!$U:$U,$H482)&lt;&gt;"Disqualified — Free Game",INDEX('Game Records'!$G:$G,$H482)=""),"Gross Pot; ","")&amp;IF(AND(INDEX('Game Records'!$U:$U,$H482)&lt;&gt;"Free Game",INDEX('Game Records'!$U:$U,$H482)&lt;&gt;"Disqualified — Free Game",INDEX('Game Records'!$H:$H,$H482)=""),"Entry Fee; ","")&amp;IF(AND(INDEX('Game Records'!$U:$U,$H482)&lt;&gt;"Subscription",INDEX('Game Records'!$U:$U,$H482)&lt;&gt;"Free Game",INDEX('Game Records'!$U:$U,$H482)&lt;&gt;"Disqualified — Free Game",INDEX('Game Records'!$I:$I,$H482)=""),"Eligible Players; ","")&amp;IF(AND(INDEX('Game Records'!$U:$U,$H482)&lt;&gt;"Subscription",INDEX('Game Records'!$U:$U,$H482)&lt;&gt;"Free Game",INDEX('Game Records'!$U:$U,$H482)&lt;&gt;"Disqualified — Free Game",INDEX('Game Records'!$J:$J,$H482)=""),"Total Players; ","")&amp;IF(AND(LOWER(INDEX('Game Records'!$D:$D,$H482)&amp;"")="finalized",LOWER(INDEX('Game Records'!$L:$L,$H482)&amp;"")&lt;&gt;"yes",INDEX('Game Records'!$U:$U,$H482)&lt;&gt;"Subscription",INDEX('Game Records'!$U:$U,$H482)&lt;&gt;"Free Game",INDEX('Game Records'!$U:$U,$H482)&lt;&gt;"Disqualified — Free Game",INDEX('Game Records'!$K:$K,$H482)=""),"Final Payout; ","")&amp;IF(AND(LOWER(INDEX('Game Records'!$D:$D,$H482)&amp;"")="finalized",INDEX('Game Records'!$U:$U,$H482)&lt;&gt;"Subscription",INDEX('Game Records'!$U:$U,$H482)&lt;&gt;"Free Game",INDEX('Game Records'!$U:$U,$H482)&lt;&gt;"Disqualified — Free Game",OR(INDEX('Game Records'!$L:$L,$H482)="",LOWER(INDEX('Game Records'!$L:$L,$H482)&amp;"")="n/a")),"Disqualified Status; ",""))</f>
        <v/>
      </c>
      <c r="G482" s="23" t="str">
        <f t="array" ref="G482">IF($H482="","",IFERROR(INDEX('Game Records'!$M:$M,$H482),""))</f>
        <v/>
      </c>
      <c r="H482" s="3"/>
    </row>
    <row r="483" ht="24.0" customHeight="1">
      <c r="A483" s="18" t="str">
        <f t="shared" si="1"/>
        <v/>
      </c>
      <c r="B483" s="18" t="str">
        <f t="shared" si="2"/>
        <v/>
      </c>
      <c r="C483" s="23" t="str">
        <f t="array" ref="C483">IF($H483="","",IFERROR(INDEX('Game Records'!$A:$A,$H483),""))</f>
        <v/>
      </c>
      <c r="D483" s="23" t="str">
        <f t="array" ref="D483">IF($H483="","",IFERROR(INDEX('Game Records'!$U:$U,$H483),""))</f>
        <v/>
      </c>
      <c r="E483" s="23" t="str">
        <f t="array" ref="E483">IF($H483="","",LET(r,$H483,mode,LOWER(INDEX('Game Records'!$D:$D,r)&amp;""),endDate,INDEX('Game Records'!$C:$C,r),IF(mode="estimate",IF(endDate="","Estimate — End Date missing",IF(NOT(ISNUMBER(endDate)),"Estimate — Check End Date",IF(INT(endDate)&gt;=TODAY(),"In Progress — ends "&amp;TEXT(endDate,"mmm d, yyyy"),"Ready to Finalize"))),IF($F483="","No Highlighted Fields","Highlighted Fields Present"))))</f>
        <v/>
      </c>
      <c r="F483" s="23" t="str">
        <f t="array" ref="F483">IF($H483="","",IF(OR(NOT(_xlfn.ISFORMULA(INDEX('Game Records'!$N:$N,$H483))),NOT(_xlfn.ISFORMULA(INDEX('Game Records'!$O:$O,$H483))),NOT(_xlfn.ISFORMULA(INDEX('Game Records'!$P:$P,$H483))),NOT(_xlfn.ISFORMULA(INDEX('Game Records'!$Q:$Q,$H483))),NOT(_xlfn.ISFORMULA(INDEX('Game Records'!$R:$R,$H483))),NOT(_xlfn.ISFORMULA(INDEX('Game Records'!$S:$S,$H483))),NOT(_xlfn.ISFORMULA(INDEX('Game Records'!$T:$T,$H483))),NOT(_xlfn.ISFORMULA(INDEX('Game Records'!$U:$U,$H483))),NOT(_xlfn.ISFORMULA(INDEX('Game Records'!$V:$V,$H483))),NOT(_xlfn.ISFORMULA(INDEX('Game Records'!$W:$W,$H483))),NOT(_xlfn.ISFORMULA(INDEX('Game Records'!$X:$X,$H483))),NOT(_xlfn.ISFORMULA(INDEX('Game Records'!$Y:$Y,$H483))),NOT(_xlfn.ISFORMULA(INDEX('Game Records'!$Z:$Z,$H483)))),"","")&amp;IF(INDEX('Game Records'!$B:$B,$H483)="","Start Date; ","")&amp;IF(INDEX('Game Records'!$C:$C,$H483)="","End Date; ","")&amp;IF(AND(INDEX('Game Records'!$U:$U,$H483)&lt;&gt;"Subscription",INDEX('Game Records'!$U:$U,$H483)&lt;&gt;"Free Game",INDEX('Game Records'!$U:$U,$H483)&lt;&gt;"Disqualified — Free Game",OR(INDEX('Game Records'!$D:$D,$H483)="",LOWER(INDEX('Game Records'!$D:$D,$H483)&amp;"")="n/a")),"Entry Mode; ","")&amp;IF(AND(INDEX('Game Records'!$U:$U,$H483)&lt;&gt;"Subscription",INDEX('Game Records'!$U:$U,$H483)&lt;&gt;"Free Game",INDEX('Game Records'!$U:$U,$H483)&lt;&gt;"Disqualified — Free Game",OR(INDEX('Game Records'!$E:$E,$H483)="",LOWER(INDEX('Game Records'!$E:$E,$H483)&amp;"")="n/a")),"Game Type; ","")&amp;IF(INDEX('Game Records'!$F:$F,$H483)="","Payment Type; ","")&amp;IF(AND(INDEX('Game Records'!$U:$U,$H483)&lt;&gt;"Subscription",INDEX('Game Records'!$U:$U,$H483)&lt;&gt;"Free Game",INDEX('Game Records'!$U:$U,$H483)&lt;&gt;"Disqualified — Free Game",INDEX('Game Records'!$G:$G,$H483)=""),"Gross Pot; ","")&amp;IF(AND(INDEX('Game Records'!$U:$U,$H483)&lt;&gt;"Free Game",INDEX('Game Records'!$U:$U,$H483)&lt;&gt;"Disqualified — Free Game",INDEX('Game Records'!$H:$H,$H483)=""),"Entry Fee; ","")&amp;IF(AND(INDEX('Game Records'!$U:$U,$H483)&lt;&gt;"Subscription",INDEX('Game Records'!$U:$U,$H483)&lt;&gt;"Free Game",INDEX('Game Records'!$U:$U,$H483)&lt;&gt;"Disqualified — Free Game",INDEX('Game Records'!$I:$I,$H483)=""),"Eligible Players; ","")&amp;IF(AND(INDEX('Game Records'!$U:$U,$H483)&lt;&gt;"Subscription",INDEX('Game Records'!$U:$U,$H483)&lt;&gt;"Free Game",INDEX('Game Records'!$U:$U,$H483)&lt;&gt;"Disqualified — Free Game",INDEX('Game Records'!$J:$J,$H483)=""),"Total Players; ","")&amp;IF(AND(LOWER(INDEX('Game Records'!$D:$D,$H483)&amp;"")="finalized",LOWER(INDEX('Game Records'!$L:$L,$H483)&amp;"")&lt;&gt;"yes",INDEX('Game Records'!$U:$U,$H483)&lt;&gt;"Subscription",INDEX('Game Records'!$U:$U,$H483)&lt;&gt;"Free Game",INDEX('Game Records'!$U:$U,$H483)&lt;&gt;"Disqualified — Free Game",INDEX('Game Records'!$K:$K,$H483)=""),"Final Payout; ","")&amp;IF(AND(LOWER(INDEX('Game Records'!$D:$D,$H483)&amp;"")="finalized",INDEX('Game Records'!$U:$U,$H483)&lt;&gt;"Subscription",INDEX('Game Records'!$U:$U,$H483)&lt;&gt;"Free Game",INDEX('Game Records'!$U:$U,$H483)&lt;&gt;"Disqualified — Free Game",OR(INDEX('Game Records'!$L:$L,$H483)="",LOWER(INDEX('Game Records'!$L:$L,$H483)&amp;"")="n/a")),"Disqualified Status; ",""))</f>
        <v/>
      </c>
      <c r="G483" s="23" t="str">
        <f t="array" ref="G483">IF($H483="","",IFERROR(INDEX('Game Records'!$M:$M,$H483),""))</f>
        <v/>
      </c>
      <c r="H483" s="3"/>
    </row>
    <row r="484" ht="24.0" customHeight="1">
      <c r="A484" s="18" t="str">
        <f t="shared" si="1"/>
        <v/>
      </c>
      <c r="B484" s="18" t="str">
        <f t="shared" si="2"/>
        <v/>
      </c>
      <c r="C484" s="23" t="str">
        <f t="array" ref="C484">IF($H484="","",IFERROR(INDEX('Game Records'!$A:$A,$H484),""))</f>
        <v/>
      </c>
      <c r="D484" s="23" t="str">
        <f t="array" ref="D484">IF($H484="","",IFERROR(INDEX('Game Records'!$U:$U,$H484),""))</f>
        <v/>
      </c>
      <c r="E484" s="23" t="str">
        <f t="array" ref="E484">IF($H484="","",LET(r,$H484,mode,LOWER(INDEX('Game Records'!$D:$D,r)&amp;""),endDate,INDEX('Game Records'!$C:$C,r),IF(mode="estimate",IF(endDate="","Estimate — End Date missing",IF(NOT(ISNUMBER(endDate)),"Estimate — Check End Date",IF(INT(endDate)&gt;=TODAY(),"In Progress — ends "&amp;TEXT(endDate,"mmm d, yyyy"),"Ready to Finalize"))),IF($F484="","No Highlighted Fields","Highlighted Fields Present"))))</f>
        <v/>
      </c>
      <c r="F484" s="23" t="str">
        <f t="array" ref="F484">IF($H484="","",IF(OR(NOT(_xlfn.ISFORMULA(INDEX('Game Records'!$N:$N,$H484))),NOT(_xlfn.ISFORMULA(INDEX('Game Records'!$O:$O,$H484))),NOT(_xlfn.ISFORMULA(INDEX('Game Records'!$P:$P,$H484))),NOT(_xlfn.ISFORMULA(INDEX('Game Records'!$Q:$Q,$H484))),NOT(_xlfn.ISFORMULA(INDEX('Game Records'!$R:$R,$H484))),NOT(_xlfn.ISFORMULA(INDEX('Game Records'!$S:$S,$H484))),NOT(_xlfn.ISFORMULA(INDEX('Game Records'!$T:$T,$H484))),NOT(_xlfn.ISFORMULA(INDEX('Game Records'!$U:$U,$H484))),NOT(_xlfn.ISFORMULA(INDEX('Game Records'!$V:$V,$H484))),NOT(_xlfn.ISFORMULA(INDEX('Game Records'!$W:$W,$H484))),NOT(_xlfn.ISFORMULA(INDEX('Game Records'!$X:$X,$H484))),NOT(_xlfn.ISFORMULA(INDEX('Game Records'!$Y:$Y,$H484))),NOT(_xlfn.ISFORMULA(INDEX('Game Records'!$Z:$Z,$H484)))),"","")&amp;IF(INDEX('Game Records'!$B:$B,$H484)="","Start Date; ","")&amp;IF(INDEX('Game Records'!$C:$C,$H484)="","End Date; ","")&amp;IF(AND(INDEX('Game Records'!$U:$U,$H484)&lt;&gt;"Subscription",INDEX('Game Records'!$U:$U,$H484)&lt;&gt;"Free Game",INDEX('Game Records'!$U:$U,$H484)&lt;&gt;"Disqualified — Free Game",OR(INDEX('Game Records'!$D:$D,$H484)="",LOWER(INDEX('Game Records'!$D:$D,$H484)&amp;"")="n/a")),"Entry Mode; ","")&amp;IF(AND(INDEX('Game Records'!$U:$U,$H484)&lt;&gt;"Subscription",INDEX('Game Records'!$U:$U,$H484)&lt;&gt;"Free Game",INDEX('Game Records'!$U:$U,$H484)&lt;&gt;"Disqualified — Free Game",OR(INDEX('Game Records'!$E:$E,$H484)="",LOWER(INDEX('Game Records'!$E:$E,$H484)&amp;"")="n/a")),"Game Type; ","")&amp;IF(INDEX('Game Records'!$F:$F,$H484)="","Payment Type; ","")&amp;IF(AND(INDEX('Game Records'!$U:$U,$H484)&lt;&gt;"Subscription",INDEX('Game Records'!$U:$U,$H484)&lt;&gt;"Free Game",INDEX('Game Records'!$U:$U,$H484)&lt;&gt;"Disqualified — Free Game",INDEX('Game Records'!$G:$G,$H484)=""),"Gross Pot; ","")&amp;IF(AND(INDEX('Game Records'!$U:$U,$H484)&lt;&gt;"Free Game",INDEX('Game Records'!$U:$U,$H484)&lt;&gt;"Disqualified — Free Game",INDEX('Game Records'!$H:$H,$H484)=""),"Entry Fee; ","")&amp;IF(AND(INDEX('Game Records'!$U:$U,$H484)&lt;&gt;"Subscription",INDEX('Game Records'!$U:$U,$H484)&lt;&gt;"Free Game",INDEX('Game Records'!$U:$U,$H484)&lt;&gt;"Disqualified — Free Game",INDEX('Game Records'!$I:$I,$H484)=""),"Eligible Players; ","")&amp;IF(AND(INDEX('Game Records'!$U:$U,$H484)&lt;&gt;"Subscription",INDEX('Game Records'!$U:$U,$H484)&lt;&gt;"Free Game",INDEX('Game Records'!$U:$U,$H484)&lt;&gt;"Disqualified — Free Game",INDEX('Game Records'!$J:$J,$H484)=""),"Total Players; ","")&amp;IF(AND(LOWER(INDEX('Game Records'!$D:$D,$H484)&amp;"")="finalized",LOWER(INDEX('Game Records'!$L:$L,$H484)&amp;"")&lt;&gt;"yes",INDEX('Game Records'!$U:$U,$H484)&lt;&gt;"Subscription",INDEX('Game Records'!$U:$U,$H484)&lt;&gt;"Free Game",INDEX('Game Records'!$U:$U,$H484)&lt;&gt;"Disqualified — Free Game",INDEX('Game Records'!$K:$K,$H484)=""),"Final Payout; ","")&amp;IF(AND(LOWER(INDEX('Game Records'!$D:$D,$H484)&amp;"")="finalized",INDEX('Game Records'!$U:$U,$H484)&lt;&gt;"Subscription",INDEX('Game Records'!$U:$U,$H484)&lt;&gt;"Free Game",INDEX('Game Records'!$U:$U,$H484)&lt;&gt;"Disqualified — Free Game",OR(INDEX('Game Records'!$L:$L,$H484)="",LOWER(INDEX('Game Records'!$L:$L,$H484)&amp;"")="n/a")),"Disqualified Status; ",""))</f>
        <v/>
      </c>
      <c r="G484" s="23" t="str">
        <f t="array" ref="G484">IF($H484="","",IFERROR(INDEX('Game Records'!$M:$M,$H484),""))</f>
        <v/>
      </c>
      <c r="H484" s="3"/>
    </row>
    <row r="485" ht="24.0" customHeight="1">
      <c r="A485" s="18" t="str">
        <f t="shared" si="1"/>
        <v/>
      </c>
      <c r="B485" s="18" t="str">
        <f t="shared" si="2"/>
        <v/>
      </c>
      <c r="C485" s="23" t="str">
        <f t="array" ref="C485">IF($H485="","",IFERROR(INDEX('Game Records'!$A:$A,$H485),""))</f>
        <v/>
      </c>
      <c r="D485" s="23" t="str">
        <f t="array" ref="D485">IF($H485="","",IFERROR(INDEX('Game Records'!$U:$U,$H485),""))</f>
        <v/>
      </c>
      <c r="E485" s="23" t="str">
        <f t="array" ref="E485">IF($H485="","",LET(r,$H485,mode,LOWER(INDEX('Game Records'!$D:$D,r)&amp;""),endDate,INDEX('Game Records'!$C:$C,r),IF(mode="estimate",IF(endDate="","Estimate — End Date missing",IF(NOT(ISNUMBER(endDate)),"Estimate — Check End Date",IF(INT(endDate)&gt;=TODAY(),"In Progress — ends "&amp;TEXT(endDate,"mmm d, yyyy"),"Ready to Finalize"))),IF($F485="","No Highlighted Fields","Highlighted Fields Present"))))</f>
        <v/>
      </c>
      <c r="F485" s="23" t="str">
        <f t="array" ref="F485">IF($H485="","",IF(OR(NOT(_xlfn.ISFORMULA(INDEX('Game Records'!$N:$N,$H485))),NOT(_xlfn.ISFORMULA(INDEX('Game Records'!$O:$O,$H485))),NOT(_xlfn.ISFORMULA(INDEX('Game Records'!$P:$P,$H485))),NOT(_xlfn.ISFORMULA(INDEX('Game Records'!$Q:$Q,$H485))),NOT(_xlfn.ISFORMULA(INDEX('Game Records'!$R:$R,$H485))),NOT(_xlfn.ISFORMULA(INDEX('Game Records'!$S:$S,$H485))),NOT(_xlfn.ISFORMULA(INDEX('Game Records'!$T:$T,$H485))),NOT(_xlfn.ISFORMULA(INDEX('Game Records'!$U:$U,$H485))),NOT(_xlfn.ISFORMULA(INDEX('Game Records'!$V:$V,$H485))),NOT(_xlfn.ISFORMULA(INDEX('Game Records'!$W:$W,$H485))),NOT(_xlfn.ISFORMULA(INDEX('Game Records'!$X:$X,$H485))),NOT(_xlfn.ISFORMULA(INDEX('Game Records'!$Y:$Y,$H485))),NOT(_xlfn.ISFORMULA(INDEX('Game Records'!$Z:$Z,$H485)))),"","")&amp;IF(INDEX('Game Records'!$B:$B,$H485)="","Start Date; ","")&amp;IF(INDEX('Game Records'!$C:$C,$H485)="","End Date; ","")&amp;IF(AND(INDEX('Game Records'!$U:$U,$H485)&lt;&gt;"Subscription",INDEX('Game Records'!$U:$U,$H485)&lt;&gt;"Free Game",INDEX('Game Records'!$U:$U,$H485)&lt;&gt;"Disqualified — Free Game",OR(INDEX('Game Records'!$D:$D,$H485)="",LOWER(INDEX('Game Records'!$D:$D,$H485)&amp;"")="n/a")),"Entry Mode; ","")&amp;IF(AND(INDEX('Game Records'!$U:$U,$H485)&lt;&gt;"Subscription",INDEX('Game Records'!$U:$U,$H485)&lt;&gt;"Free Game",INDEX('Game Records'!$U:$U,$H485)&lt;&gt;"Disqualified — Free Game",OR(INDEX('Game Records'!$E:$E,$H485)="",LOWER(INDEX('Game Records'!$E:$E,$H485)&amp;"")="n/a")),"Game Type; ","")&amp;IF(INDEX('Game Records'!$F:$F,$H485)="","Payment Type; ","")&amp;IF(AND(INDEX('Game Records'!$U:$U,$H485)&lt;&gt;"Subscription",INDEX('Game Records'!$U:$U,$H485)&lt;&gt;"Free Game",INDEX('Game Records'!$U:$U,$H485)&lt;&gt;"Disqualified — Free Game",INDEX('Game Records'!$G:$G,$H485)=""),"Gross Pot; ","")&amp;IF(AND(INDEX('Game Records'!$U:$U,$H485)&lt;&gt;"Free Game",INDEX('Game Records'!$U:$U,$H485)&lt;&gt;"Disqualified — Free Game",INDEX('Game Records'!$H:$H,$H485)=""),"Entry Fee; ","")&amp;IF(AND(INDEX('Game Records'!$U:$U,$H485)&lt;&gt;"Subscription",INDEX('Game Records'!$U:$U,$H485)&lt;&gt;"Free Game",INDEX('Game Records'!$U:$U,$H485)&lt;&gt;"Disqualified — Free Game",INDEX('Game Records'!$I:$I,$H485)=""),"Eligible Players; ","")&amp;IF(AND(INDEX('Game Records'!$U:$U,$H485)&lt;&gt;"Subscription",INDEX('Game Records'!$U:$U,$H485)&lt;&gt;"Free Game",INDEX('Game Records'!$U:$U,$H485)&lt;&gt;"Disqualified — Free Game",INDEX('Game Records'!$J:$J,$H485)=""),"Total Players; ","")&amp;IF(AND(LOWER(INDEX('Game Records'!$D:$D,$H485)&amp;"")="finalized",LOWER(INDEX('Game Records'!$L:$L,$H485)&amp;"")&lt;&gt;"yes",INDEX('Game Records'!$U:$U,$H485)&lt;&gt;"Subscription",INDEX('Game Records'!$U:$U,$H485)&lt;&gt;"Free Game",INDEX('Game Records'!$U:$U,$H485)&lt;&gt;"Disqualified — Free Game",INDEX('Game Records'!$K:$K,$H485)=""),"Final Payout; ","")&amp;IF(AND(LOWER(INDEX('Game Records'!$D:$D,$H485)&amp;"")="finalized",INDEX('Game Records'!$U:$U,$H485)&lt;&gt;"Subscription",INDEX('Game Records'!$U:$U,$H485)&lt;&gt;"Free Game",INDEX('Game Records'!$U:$U,$H485)&lt;&gt;"Disqualified — Free Game",OR(INDEX('Game Records'!$L:$L,$H485)="",LOWER(INDEX('Game Records'!$L:$L,$H485)&amp;"")="n/a")),"Disqualified Status; ",""))</f>
        <v/>
      </c>
      <c r="G485" s="23" t="str">
        <f t="array" ref="G485">IF($H485="","",IFERROR(INDEX('Game Records'!$M:$M,$H485),""))</f>
        <v/>
      </c>
      <c r="H485" s="3"/>
    </row>
    <row r="486" ht="24.0" customHeight="1">
      <c r="A486" s="18" t="str">
        <f t="shared" si="1"/>
        <v/>
      </c>
      <c r="B486" s="18" t="str">
        <f t="shared" si="2"/>
        <v/>
      </c>
      <c r="C486" s="23" t="str">
        <f t="array" ref="C486">IF($H486="","",IFERROR(INDEX('Game Records'!$A:$A,$H486),""))</f>
        <v/>
      </c>
      <c r="D486" s="23" t="str">
        <f t="array" ref="D486">IF($H486="","",IFERROR(INDEX('Game Records'!$U:$U,$H486),""))</f>
        <v/>
      </c>
      <c r="E486" s="23" t="str">
        <f t="array" ref="E486">IF($H486="","",LET(r,$H486,mode,LOWER(INDEX('Game Records'!$D:$D,r)&amp;""),endDate,INDEX('Game Records'!$C:$C,r),IF(mode="estimate",IF(endDate="","Estimate — End Date missing",IF(NOT(ISNUMBER(endDate)),"Estimate — Check End Date",IF(INT(endDate)&gt;=TODAY(),"In Progress — ends "&amp;TEXT(endDate,"mmm d, yyyy"),"Ready to Finalize"))),IF($F486="","No Highlighted Fields","Highlighted Fields Present"))))</f>
        <v/>
      </c>
      <c r="F486" s="23" t="str">
        <f t="array" ref="F486">IF($H486="","",IF(OR(NOT(_xlfn.ISFORMULA(INDEX('Game Records'!$N:$N,$H486))),NOT(_xlfn.ISFORMULA(INDEX('Game Records'!$O:$O,$H486))),NOT(_xlfn.ISFORMULA(INDEX('Game Records'!$P:$P,$H486))),NOT(_xlfn.ISFORMULA(INDEX('Game Records'!$Q:$Q,$H486))),NOT(_xlfn.ISFORMULA(INDEX('Game Records'!$R:$R,$H486))),NOT(_xlfn.ISFORMULA(INDEX('Game Records'!$S:$S,$H486))),NOT(_xlfn.ISFORMULA(INDEX('Game Records'!$T:$T,$H486))),NOT(_xlfn.ISFORMULA(INDEX('Game Records'!$U:$U,$H486))),NOT(_xlfn.ISFORMULA(INDEX('Game Records'!$V:$V,$H486))),NOT(_xlfn.ISFORMULA(INDEX('Game Records'!$W:$W,$H486))),NOT(_xlfn.ISFORMULA(INDEX('Game Records'!$X:$X,$H486))),NOT(_xlfn.ISFORMULA(INDEX('Game Records'!$Y:$Y,$H486))),NOT(_xlfn.ISFORMULA(INDEX('Game Records'!$Z:$Z,$H486)))),"","")&amp;IF(INDEX('Game Records'!$B:$B,$H486)="","Start Date; ","")&amp;IF(INDEX('Game Records'!$C:$C,$H486)="","End Date; ","")&amp;IF(AND(INDEX('Game Records'!$U:$U,$H486)&lt;&gt;"Subscription",INDEX('Game Records'!$U:$U,$H486)&lt;&gt;"Free Game",INDEX('Game Records'!$U:$U,$H486)&lt;&gt;"Disqualified — Free Game",OR(INDEX('Game Records'!$D:$D,$H486)="",LOWER(INDEX('Game Records'!$D:$D,$H486)&amp;"")="n/a")),"Entry Mode; ","")&amp;IF(AND(INDEX('Game Records'!$U:$U,$H486)&lt;&gt;"Subscription",INDEX('Game Records'!$U:$U,$H486)&lt;&gt;"Free Game",INDEX('Game Records'!$U:$U,$H486)&lt;&gt;"Disqualified — Free Game",OR(INDEX('Game Records'!$E:$E,$H486)="",LOWER(INDEX('Game Records'!$E:$E,$H486)&amp;"")="n/a")),"Game Type; ","")&amp;IF(INDEX('Game Records'!$F:$F,$H486)="","Payment Type; ","")&amp;IF(AND(INDEX('Game Records'!$U:$U,$H486)&lt;&gt;"Subscription",INDEX('Game Records'!$U:$U,$H486)&lt;&gt;"Free Game",INDEX('Game Records'!$U:$U,$H486)&lt;&gt;"Disqualified — Free Game",INDEX('Game Records'!$G:$G,$H486)=""),"Gross Pot; ","")&amp;IF(AND(INDEX('Game Records'!$U:$U,$H486)&lt;&gt;"Free Game",INDEX('Game Records'!$U:$U,$H486)&lt;&gt;"Disqualified — Free Game",INDEX('Game Records'!$H:$H,$H486)=""),"Entry Fee; ","")&amp;IF(AND(INDEX('Game Records'!$U:$U,$H486)&lt;&gt;"Subscription",INDEX('Game Records'!$U:$U,$H486)&lt;&gt;"Free Game",INDEX('Game Records'!$U:$U,$H486)&lt;&gt;"Disqualified — Free Game",INDEX('Game Records'!$I:$I,$H486)=""),"Eligible Players; ","")&amp;IF(AND(INDEX('Game Records'!$U:$U,$H486)&lt;&gt;"Subscription",INDEX('Game Records'!$U:$U,$H486)&lt;&gt;"Free Game",INDEX('Game Records'!$U:$U,$H486)&lt;&gt;"Disqualified — Free Game",INDEX('Game Records'!$J:$J,$H486)=""),"Total Players; ","")&amp;IF(AND(LOWER(INDEX('Game Records'!$D:$D,$H486)&amp;"")="finalized",LOWER(INDEX('Game Records'!$L:$L,$H486)&amp;"")&lt;&gt;"yes",INDEX('Game Records'!$U:$U,$H486)&lt;&gt;"Subscription",INDEX('Game Records'!$U:$U,$H486)&lt;&gt;"Free Game",INDEX('Game Records'!$U:$U,$H486)&lt;&gt;"Disqualified — Free Game",INDEX('Game Records'!$K:$K,$H486)=""),"Final Payout; ","")&amp;IF(AND(LOWER(INDEX('Game Records'!$D:$D,$H486)&amp;"")="finalized",INDEX('Game Records'!$U:$U,$H486)&lt;&gt;"Subscription",INDEX('Game Records'!$U:$U,$H486)&lt;&gt;"Free Game",INDEX('Game Records'!$U:$U,$H486)&lt;&gt;"Disqualified — Free Game",OR(INDEX('Game Records'!$L:$L,$H486)="",LOWER(INDEX('Game Records'!$L:$L,$H486)&amp;"")="n/a")),"Disqualified Status; ",""))</f>
        <v/>
      </c>
      <c r="G486" s="23" t="str">
        <f t="array" ref="G486">IF($H486="","",IFERROR(INDEX('Game Records'!$M:$M,$H486),""))</f>
        <v/>
      </c>
      <c r="H486" s="3"/>
    </row>
    <row r="487" ht="24.0" customHeight="1">
      <c r="A487" s="18" t="str">
        <f t="shared" si="1"/>
        <v/>
      </c>
      <c r="B487" s="18" t="str">
        <f t="shared" si="2"/>
        <v/>
      </c>
      <c r="C487" s="23" t="str">
        <f t="array" ref="C487">IF($H487="","",IFERROR(INDEX('Game Records'!$A:$A,$H487),""))</f>
        <v/>
      </c>
      <c r="D487" s="23" t="str">
        <f t="array" ref="D487">IF($H487="","",IFERROR(INDEX('Game Records'!$U:$U,$H487),""))</f>
        <v/>
      </c>
      <c r="E487" s="23" t="str">
        <f t="array" ref="E487">IF($H487="","",LET(r,$H487,mode,LOWER(INDEX('Game Records'!$D:$D,r)&amp;""),endDate,INDEX('Game Records'!$C:$C,r),IF(mode="estimate",IF(endDate="","Estimate — End Date missing",IF(NOT(ISNUMBER(endDate)),"Estimate — Check End Date",IF(INT(endDate)&gt;=TODAY(),"In Progress — ends "&amp;TEXT(endDate,"mmm d, yyyy"),"Ready to Finalize"))),IF($F487="","No Highlighted Fields","Highlighted Fields Present"))))</f>
        <v/>
      </c>
      <c r="F487" s="23" t="str">
        <f t="array" ref="F487">IF($H487="","",IF(OR(NOT(_xlfn.ISFORMULA(INDEX('Game Records'!$N:$N,$H487))),NOT(_xlfn.ISFORMULA(INDEX('Game Records'!$O:$O,$H487))),NOT(_xlfn.ISFORMULA(INDEX('Game Records'!$P:$P,$H487))),NOT(_xlfn.ISFORMULA(INDEX('Game Records'!$Q:$Q,$H487))),NOT(_xlfn.ISFORMULA(INDEX('Game Records'!$R:$R,$H487))),NOT(_xlfn.ISFORMULA(INDEX('Game Records'!$S:$S,$H487))),NOT(_xlfn.ISFORMULA(INDEX('Game Records'!$T:$T,$H487))),NOT(_xlfn.ISFORMULA(INDEX('Game Records'!$U:$U,$H487))),NOT(_xlfn.ISFORMULA(INDEX('Game Records'!$V:$V,$H487))),NOT(_xlfn.ISFORMULA(INDEX('Game Records'!$W:$W,$H487))),NOT(_xlfn.ISFORMULA(INDEX('Game Records'!$X:$X,$H487))),NOT(_xlfn.ISFORMULA(INDEX('Game Records'!$Y:$Y,$H487))),NOT(_xlfn.ISFORMULA(INDEX('Game Records'!$Z:$Z,$H487)))),"","")&amp;IF(INDEX('Game Records'!$B:$B,$H487)="","Start Date; ","")&amp;IF(INDEX('Game Records'!$C:$C,$H487)="","End Date; ","")&amp;IF(AND(INDEX('Game Records'!$U:$U,$H487)&lt;&gt;"Subscription",INDEX('Game Records'!$U:$U,$H487)&lt;&gt;"Free Game",INDEX('Game Records'!$U:$U,$H487)&lt;&gt;"Disqualified — Free Game",OR(INDEX('Game Records'!$D:$D,$H487)="",LOWER(INDEX('Game Records'!$D:$D,$H487)&amp;"")="n/a")),"Entry Mode; ","")&amp;IF(AND(INDEX('Game Records'!$U:$U,$H487)&lt;&gt;"Subscription",INDEX('Game Records'!$U:$U,$H487)&lt;&gt;"Free Game",INDEX('Game Records'!$U:$U,$H487)&lt;&gt;"Disqualified — Free Game",OR(INDEX('Game Records'!$E:$E,$H487)="",LOWER(INDEX('Game Records'!$E:$E,$H487)&amp;"")="n/a")),"Game Type; ","")&amp;IF(INDEX('Game Records'!$F:$F,$H487)="","Payment Type; ","")&amp;IF(AND(INDEX('Game Records'!$U:$U,$H487)&lt;&gt;"Subscription",INDEX('Game Records'!$U:$U,$H487)&lt;&gt;"Free Game",INDEX('Game Records'!$U:$U,$H487)&lt;&gt;"Disqualified — Free Game",INDEX('Game Records'!$G:$G,$H487)=""),"Gross Pot; ","")&amp;IF(AND(INDEX('Game Records'!$U:$U,$H487)&lt;&gt;"Free Game",INDEX('Game Records'!$U:$U,$H487)&lt;&gt;"Disqualified — Free Game",INDEX('Game Records'!$H:$H,$H487)=""),"Entry Fee; ","")&amp;IF(AND(INDEX('Game Records'!$U:$U,$H487)&lt;&gt;"Subscription",INDEX('Game Records'!$U:$U,$H487)&lt;&gt;"Free Game",INDEX('Game Records'!$U:$U,$H487)&lt;&gt;"Disqualified — Free Game",INDEX('Game Records'!$I:$I,$H487)=""),"Eligible Players; ","")&amp;IF(AND(INDEX('Game Records'!$U:$U,$H487)&lt;&gt;"Subscription",INDEX('Game Records'!$U:$U,$H487)&lt;&gt;"Free Game",INDEX('Game Records'!$U:$U,$H487)&lt;&gt;"Disqualified — Free Game",INDEX('Game Records'!$J:$J,$H487)=""),"Total Players; ","")&amp;IF(AND(LOWER(INDEX('Game Records'!$D:$D,$H487)&amp;"")="finalized",LOWER(INDEX('Game Records'!$L:$L,$H487)&amp;"")&lt;&gt;"yes",INDEX('Game Records'!$U:$U,$H487)&lt;&gt;"Subscription",INDEX('Game Records'!$U:$U,$H487)&lt;&gt;"Free Game",INDEX('Game Records'!$U:$U,$H487)&lt;&gt;"Disqualified — Free Game",INDEX('Game Records'!$K:$K,$H487)=""),"Final Payout; ","")&amp;IF(AND(LOWER(INDEX('Game Records'!$D:$D,$H487)&amp;"")="finalized",INDEX('Game Records'!$U:$U,$H487)&lt;&gt;"Subscription",INDEX('Game Records'!$U:$U,$H487)&lt;&gt;"Free Game",INDEX('Game Records'!$U:$U,$H487)&lt;&gt;"Disqualified — Free Game",OR(INDEX('Game Records'!$L:$L,$H487)="",LOWER(INDEX('Game Records'!$L:$L,$H487)&amp;"")="n/a")),"Disqualified Status; ",""))</f>
        <v/>
      </c>
      <c r="G487" s="23" t="str">
        <f t="array" ref="G487">IF($H487="","",IFERROR(INDEX('Game Records'!$M:$M,$H487),""))</f>
        <v/>
      </c>
      <c r="H487" s="3"/>
    </row>
    <row r="488" ht="24.0" customHeight="1">
      <c r="A488" s="18" t="str">
        <f t="shared" si="1"/>
        <v/>
      </c>
      <c r="B488" s="18" t="str">
        <f t="shared" si="2"/>
        <v/>
      </c>
      <c r="C488" s="23" t="str">
        <f t="array" ref="C488">IF($H488="","",IFERROR(INDEX('Game Records'!$A:$A,$H488),""))</f>
        <v/>
      </c>
      <c r="D488" s="23" t="str">
        <f t="array" ref="D488">IF($H488="","",IFERROR(INDEX('Game Records'!$U:$U,$H488),""))</f>
        <v/>
      </c>
      <c r="E488" s="23" t="str">
        <f t="array" ref="E488">IF($H488="","",LET(r,$H488,mode,LOWER(INDEX('Game Records'!$D:$D,r)&amp;""),endDate,INDEX('Game Records'!$C:$C,r),IF(mode="estimate",IF(endDate="","Estimate — End Date missing",IF(NOT(ISNUMBER(endDate)),"Estimate — Check End Date",IF(INT(endDate)&gt;=TODAY(),"In Progress — ends "&amp;TEXT(endDate,"mmm d, yyyy"),"Ready to Finalize"))),IF($F488="","No Highlighted Fields","Highlighted Fields Present"))))</f>
        <v/>
      </c>
      <c r="F488" s="23" t="str">
        <f t="array" ref="F488">IF($H488="","",IF(OR(NOT(_xlfn.ISFORMULA(INDEX('Game Records'!$N:$N,$H488))),NOT(_xlfn.ISFORMULA(INDEX('Game Records'!$O:$O,$H488))),NOT(_xlfn.ISFORMULA(INDEX('Game Records'!$P:$P,$H488))),NOT(_xlfn.ISFORMULA(INDEX('Game Records'!$Q:$Q,$H488))),NOT(_xlfn.ISFORMULA(INDEX('Game Records'!$R:$R,$H488))),NOT(_xlfn.ISFORMULA(INDEX('Game Records'!$S:$S,$H488))),NOT(_xlfn.ISFORMULA(INDEX('Game Records'!$T:$T,$H488))),NOT(_xlfn.ISFORMULA(INDEX('Game Records'!$U:$U,$H488))),NOT(_xlfn.ISFORMULA(INDEX('Game Records'!$V:$V,$H488))),NOT(_xlfn.ISFORMULA(INDEX('Game Records'!$W:$W,$H488))),NOT(_xlfn.ISFORMULA(INDEX('Game Records'!$X:$X,$H488))),NOT(_xlfn.ISFORMULA(INDEX('Game Records'!$Y:$Y,$H488))),NOT(_xlfn.ISFORMULA(INDEX('Game Records'!$Z:$Z,$H488)))),"","")&amp;IF(INDEX('Game Records'!$B:$B,$H488)="","Start Date; ","")&amp;IF(INDEX('Game Records'!$C:$C,$H488)="","End Date; ","")&amp;IF(AND(INDEX('Game Records'!$U:$U,$H488)&lt;&gt;"Subscription",INDEX('Game Records'!$U:$U,$H488)&lt;&gt;"Free Game",INDEX('Game Records'!$U:$U,$H488)&lt;&gt;"Disqualified — Free Game",OR(INDEX('Game Records'!$D:$D,$H488)="",LOWER(INDEX('Game Records'!$D:$D,$H488)&amp;"")="n/a")),"Entry Mode; ","")&amp;IF(AND(INDEX('Game Records'!$U:$U,$H488)&lt;&gt;"Subscription",INDEX('Game Records'!$U:$U,$H488)&lt;&gt;"Free Game",INDEX('Game Records'!$U:$U,$H488)&lt;&gt;"Disqualified — Free Game",OR(INDEX('Game Records'!$E:$E,$H488)="",LOWER(INDEX('Game Records'!$E:$E,$H488)&amp;"")="n/a")),"Game Type; ","")&amp;IF(INDEX('Game Records'!$F:$F,$H488)="","Payment Type; ","")&amp;IF(AND(INDEX('Game Records'!$U:$U,$H488)&lt;&gt;"Subscription",INDEX('Game Records'!$U:$U,$H488)&lt;&gt;"Free Game",INDEX('Game Records'!$U:$U,$H488)&lt;&gt;"Disqualified — Free Game",INDEX('Game Records'!$G:$G,$H488)=""),"Gross Pot; ","")&amp;IF(AND(INDEX('Game Records'!$U:$U,$H488)&lt;&gt;"Free Game",INDEX('Game Records'!$U:$U,$H488)&lt;&gt;"Disqualified — Free Game",INDEX('Game Records'!$H:$H,$H488)=""),"Entry Fee; ","")&amp;IF(AND(INDEX('Game Records'!$U:$U,$H488)&lt;&gt;"Subscription",INDEX('Game Records'!$U:$U,$H488)&lt;&gt;"Free Game",INDEX('Game Records'!$U:$U,$H488)&lt;&gt;"Disqualified — Free Game",INDEX('Game Records'!$I:$I,$H488)=""),"Eligible Players; ","")&amp;IF(AND(INDEX('Game Records'!$U:$U,$H488)&lt;&gt;"Subscription",INDEX('Game Records'!$U:$U,$H488)&lt;&gt;"Free Game",INDEX('Game Records'!$U:$U,$H488)&lt;&gt;"Disqualified — Free Game",INDEX('Game Records'!$J:$J,$H488)=""),"Total Players; ","")&amp;IF(AND(LOWER(INDEX('Game Records'!$D:$D,$H488)&amp;"")="finalized",LOWER(INDEX('Game Records'!$L:$L,$H488)&amp;"")&lt;&gt;"yes",INDEX('Game Records'!$U:$U,$H488)&lt;&gt;"Subscription",INDEX('Game Records'!$U:$U,$H488)&lt;&gt;"Free Game",INDEX('Game Records'!$U:$U,$H488)&lt;&gt;"Disqualified — Free Game",INDEX('Game Records'!$K:$K,$H488)=""),"Final Payout; ","")&amp;IF(AND(LOWER(INDEX('Game Records'!$D:$D,$H488)&amp;"")="finalized",INDEX('Game Records'!$U:$U,$H488)&lt;&gt;"Subscription",INDEX('Game Records'!$U:$U,$H488)&lt;&gt;"Free Game",INDEX('Game Records'!$U:$U,$H488)&lt;&gt;"Disqualified — Free Game",OR(INDEX('Game Records'!$L:$L,$H488)="",LOWER(INDEX('Game Records'!$L:$L,$H488)&amp;"")="n/a")),"Disqualified Status; ",""))</f>
        <v/>
      </c>
      <c r="G488" s="23" t="str">
        <f t="array" ref="G488">IF($H488="","",IFERROR(INDEX('Game Records'!$M:$M,$H488),""))</f>
        <v/>
      </c>
      <c r="H488" s="3"/>
    </row>
    <row r="489" ht="24.0" customHeight="1">
      <c r="A489" s="18" t="str">
        <f t="shared" si="1"/>
        <v/>
      </c>
      <c r="B489" s="18" t="str">
        <f t="shared" si="2"/>
        <v/>
      </c>
      <c r="C489" s="23" t="str">
        <f t="array" ref="C489">IF($H489="","",IFERROR(INDEX('Game Records'!$A:$A,$H489),""))</f>
        <v/>
      </c>
      <c r="D489" s="23" t="str">
        <f t="array" ref="D489">IF($H489="","",IFERROR(INDEX('Game Records'!$U:$U,$H489),""))</f>
        <v/>
      </c>
      <c r="E489" s="23" t="str">
        <f t="array" ref="E489">IF($H489="","",LET(r,$H489,mode,LOWER(INDEX('Game Records'!$D:$D,r)&amp;""),endDate,INDEX('Game Records'!$C:$C,r),IF(mode="estimate",IF(endDate="","Estimate — End Date missing",IF(NOT(ISNUMBER(endDate)),"Estimate — Check End Date",IF(INT(endDate)&gt;=TODAY(),"In Progress — ends "&amp;TEXT(endDate,"mmm d, yyyy"),"Ready to Finalize"))),IF($F489="","No Highlighted Fields","Highlighted Fields Present"))))</f>
        <v/>
      </c>
      <c r="F489" s="23" t="str">
        <f t="array" ref="F489">IF($H489="","",IF(OR(NOT(_xlfn.ISFORMULA(INDEX('Game Records'!$N:$N,$H489))),NOT(_xlfn.ISFORMULA(INDEX('Game Records'!$O:$O,$H489))),NOT(_xlfn.ISFORMULA(INDEX('Game Records'!$P:$P,$H489))),NOT(_xlfn.ISFORMULA(INDEX('Game Records'!$Q:$Q,$H489))),NOT(_xlfn.ISFORMULA(INDEX('Game Records'!$R:$R,$H489))),NOT(_xlfn.ISFORMULA(INDEX('Game Records'!$S:$S,$H489))),NOT(_xlfn.ISFORMULA(INDEX('Game Records'!$T:$T,$H489))),NOT(_xlfn.ISFORMULA(INDEX('Game Records'!$U:$U,$H489))),NOT(_xlfn.ISFORMULA(INDEX('Game Records'!$V:$V,$H489))),NOT(_xlfn.ISFORMULA(INDEX('Game Records'!$W:$W,$H489))),NOT(_xlfn.ISFORMULA(INDEX('Game Records'!$X:$X,$H489))),NOT(_xlfn.ISFORMULA(INDEX('Game Records'!$Y:$Y,$H489))),NOT(_xlfn.ISFORMULA(INDEX('Game Records'!$Z:$Z,$H489)))),"","")&amp;IF(INDEX('Game Records'!$B:$B,$H489)="","Start Date; ","")&amp;IF(INDEX('Game Records'!$C:$C,$H489)="","End Date; ","")&amp;IF(AND(INDEX('Game Records'!$U:$U,$H489)&lt;&gt;"Subscription",INDEX('Game Records'!$U:$U,$H489)&lt;&gt;"Free Game",INDEX('Game Records'!$U:$U,$H489)&lt;&gt;"Disqualified — Free Game",OR(INDEX('Game Records'!$D:$D,$H489)="",LOWER(INDEX('Game Records'!$D:$D,$H489)&amp;"")="n/a")),"Entry Mode; ","")&amp;IF(AND(INDEX('Game Records'!$U:$U,$H489)&lt;&gt;"Subscription",INDEX('Game Records'!$U:$U,$H489)&lt;&gt;"Free Game",INDEX('Game Records'!$U:$U,$H489)&lt;&gt;"Disqualified — Free Game",OR(INDEX('Game Records'!$E:$E,$H489)="",LOWER(INDEX('Game Records'!$E:$E,$H489)&amp;"")="n/a")),"Game Type; ","")&amp;IF(INDEX('Game Records'!$F:$F,$H489)="","Payment Type; ","")&amp;IF(AND(INDEX('Game Records'!$U:$U,$H489)&lt;&gt;"Subscription",INDEX('Game Records'!$U:$U,$H489)&lt;&gt;"Free Game",INDEX('Game Records'!$U:$U,$H489)&lt;&gt;"Disqualified — Free Game",INDEX('Game Records'!$G:$G,$H489)=""),"Gross Pot; ","")&amp;IF(AND(INDEX('Game Records'!$U:$U,$H489)&lt;&gt;"Free Game",INDEX('Game Records'!$U:$U,$H489)&lt;&gt;"Disqualified — Free Game",INDEX('Game Records'!$H:$H,$H489)=""),"Entry Fee; ","")&amp;IF(AND(INDEX('Game Records'!$U:$U,$H489)&lt;&gt;"Subscription",INDEX('Game Records'!$U:$U,$H489)&lt;&gt;"Free Game",INDEX('Game Records'!$U:$U,$H489)&lt;&gt;"Disqualified — Free Game",INDEX('Game Records'!$I:$I,$H489)=""),"Eligible Players; ","")&amp;IF(AND(INDEX('Game Records'!$U:$U,$H489)&lt;&gt;"Subscription",INDEX('Game Records'!$U:$U,$H489)&lt;&gt;"Free Game",INDEX('Game Records'!$U:$U,$H489)&lt;&gt;"Disqualified — Free Game",INDEX('Game Records'!$J:$J,$H489)=""),"Total Players; ","")&amp;IF(AND(LOWER(INDEX('Game Records'!$D:$D,$H489)&amp;"")="finalized",LOWER(INDEX('Game Records'!$L:$L,$H489)&amp;"")&lt;&gt;"yes",INDEX('Game Records'!$U:$U,$H489)&lt;&gt;"Subscription",INDEX('Game Records'!$U:$U,$H489)&lt;&gt;"Free Game",INDEX('Game Records'!$U:$U,$H489)&lt;&gt;"Disqualified — Free Game",INDEX('Game Records'!$K:$K,$H489)=""),"Final Payout; ","")&amp;IF(AND(LOWER(INDEX('Game Records'!$D:$D,$H489)&amp;"")="finalized",INDEX('Game Records'!$U:$U,$H489)&lt;&gt;"Subscription",INDEX('Game Records'!$U:$U,$H489)&lt;&gt;"Free Game",INDEX('Game Records'!$U:$U,$H489)&lt;&gt;"Disqualified — Free Game",OR(INDEX('Game Records'!$L:$L,$H489)="",LOWER(INDEX('Game Records'!$L:$L,$H489)&amp;"")="n/a")),"Disqualified Status; ",""))</f>
        <v/>
      </c>
      <c r="G489" s="23" t="str">
        <f t="array" ref="G489">IF($H489="","",IFERROR(INDEX('Game Records'!$M:$M,$H489),""))</f>
        <v/>
      </c>
      <c r="H489" s="3"/>
    </row>
    <row r="490" ht="24.0" customHeight="1">
      <c r="A490" s="18" t="str">
        <f t="shared" si="1"/>
        <v/>
      </c>
      <c r="B490" s="18" t="str">
        <f t="shared" si="2"/>
        <v/>
      </c>
      <c r="C490" s="23" t="str">
        <f t="array" ref="C490">IF($H490="","",IFERROR(INDEX('Game Records'!$A:$A,$H490),""))</f>
        <v/>
      </c>
      <c r="D490" s="23" t="str">
        <f t="array" ref="D490">IF($H490="","",IFERROR(INDEX('Game Records'!$U:$U,$H490),""))</f>
        <v/>
      </c>
      <c r="E490" s="23" t="str">
        <f t="array" ref="E490">IF($H490="","",LET(r,$H490,mode,LOWER(INDEX('Game Records'!$D:$D,r)&amp;""),endDate,INDEX('Game Records'!$C:$C,r),IF(mode="estimate",IF(endDate="","Estimate — End Date missing",IF(NOT(ISNUMBER(endDate)),"Estimate — Check End Date",IF(INT(endDate)&gt;=TODAY(),"In Progress — ends "&amp;TEXT(endDate,"mmm d, yyyy"),"Ready to Finalize"))),IF($F490="","No Highlighted Fields","Highlighted Fields Present"))))</f>
        <v/>
      </c>
      <c r="F490" s="23" t="str">
        <f t="array" ref="F490">IF($H490="","",IF(OR(NOT(_xlfn.ISFORMULA(INDEX('Game Records'!$N:$N,$H490))),NOT(_xlfn.ISFORMULA(INDEX('Game Records'!$O:$O,$H490))),NOT(_xlfn.ISFORMULA(INDEX('Game Records'!$P:$P,$H490))),NOT(_xlfn.ISFORMULA(INDEX('Game Records'!$Q:$Q,$H490))),NOT(_xlfn.ISFORMULA(INDEX('Game Records'!$R:$R,$H490))),NOT(_xlfn.ISFORMULA(INDEX('Game Records'!$S:$S,$H490))),NOT(_xlfn.ISFORMULA(INDEX('Game Records'!$T:$T,$H490))),NOT(_xlfn.ISFORMULA(INDEX('Game Records'!$U:$U,$H490))),NOT(_xlfn.ISFORMULA(INDEX('Game Records'!$V:$V,$H490))),NOT(_xlfn.ISFORMULA(INDEX('Game Records'!$W:$W,$H490))),NOT(_xlfn.ISFORMULA(INDEX('Game Records'!$X:$X,$H490))),NOT(_xlfn.ISFORMULA(INDEX('Game Records'!$Y:$Y,$H490))),NOT(_xlfn.ISFORMULA(INDEX('Game Records'!$Z:$Z,$H490)))),"","")&amp;IF(INDEX('Game Records'!$B:$B,$H490)="","Start Date; ","")&amp;IF(INDEX('Game Records'!$C:$C,$H490)="","End Date; ","")&amp;IF(AND(INDEX('Game Records'!$U:$U,$H490)&lt;&gt;"Subscription",INDEX('Game Records'!$U:$U,$H490)&lt;&gt;"Free Game",INDEX('Game Records'!$U:$U,$H490)&lt;&gt;"Disqualified — Free Game",OR(INDEX('Game Records'!$D:$D,$H490)="",LOWER(INDEX('Game Records'!$D:$D,$H490)&amp;"")="n/a")),"Entry Mode; ","")&amp;IF(AND(INDEX('Game Records'!$U:$U,$H490)&lt;&gt;"Subscription",INDEX('Game Records'!$U:$U,$H490)&lt;&gt;"Free Game",INDEX('Game Records'!$U:$U,$H490)&lt;&gt;"Disqualified — Free Game",OR(INDEX('Game Records'!$E:$E,$H490)="",LOWER(INDEX('Game Records'!$E:$E,$H490)&amp;"")="n/a")),"Game Type; ","")&amp;IF(INDEX('Game Records'!$F:$F,$H490)="","Payment Type; ","")&amp;IF(AND(INDEX('Game Records'!$U:$U,$H490)&lt;&gt;"Subscription",INDEX('Game Records'!$U:$U,$H490)&lt;&gt;"Free Game",INDEX('Game Records'!$U:$U,$H490)&lt;&gt;"Disqualified — Free Game",INDEX('Game Records'!$G:$G,$H490)=""),"Gross Pot; ","")&amp;IF(AND(INDEX('Game Records'!$U:$U,$H490)&lt;&gt;"Free Game",INDEX('Game Records'!$U:$U,$H490)&lt;&gt;"Disqualified — Free Game",INDEX('Game Records'!$H:$H,$H490)=""),"Entry Fee; ","")&amp;IF(AND(INDEX('Game Records'!$U:$U,$H490)&lt;&gt;"Subscription",INDEX('Game Records'!$U:$U,$H490)&lt;&gt;"Free Game",INDEX('Game Records'!$U:$U,$H490)&lt;&gt;"Disqualified — Free Game",INDEX('Game Records'!$I:$I,$H490)=""),"Eligible Players; ","")&amp;IF(AND(INDEX('Game Records'!$U:$U,$H490)&lt;&gt;"Subscription",INDEX('Game Records'!$U:$U,$H490)&lt;&gt;"Free Game",INDEX('Game Records'!$U:$U,$H490)&lt;&gt;"Disqualified — Free Game",INDEX('Game Records'!$J:$J,$H490)=""),"Total Players; ","")&amp;IF(AND(LOWER(INDEX('Game Records'!$D:$D,$H490)&amp;"")="finalized",LOWER(INDEX('Game Records'!$L:$L,$H490)&amp;"")&lt;&gt;"yes",INDEX('Game Records'!$U:$U,$H490)&lt;&gt;"Subscription",INDEX('Game Records'!$U:$U,$H490)&lt;&gt;"Free Game",INDEX('Game Records'!$U:$U,$H490)&lt;&gt;"Disqualified — Free Game",INDEX('Game Records'!$K:$K,$H490)=""),"Final Payout; ","")&amp;IF(AND(LOWER(INDEX('Game Records'!$D:$D,$H490)&amp;"")="finalized",INDEX('Game Records'!$U:$U,$H490)&lt;&gt;"Subscription",INDEX('Game Records'!$U:$U,$H490)&lt;&gt;"Free Game",INDEX('Game Records'!$U:$U,$H490)&lt;&gt;"Disqualified — Free Game",OR(INDEX('Game Records'!$L:$L,$H490)="",LOWER(INDEX('Game Records'!$L:$L,$H490)&amp;"")="n/a")),"Disqualified Status; ",""))</f>
        <v/>
      </c>
      <c r="G490" s="23" t="str">
        <f t="array" ref="G490">IF($H490="","",IFERROR(INDEX('Game Records'!$M:$M,$H490),""))</f>
        <v/>
      </c>
      <c r="H490" s="3"/>
    </row>
    <row r="491" ht="24.0" customHeight="1">
      <c r="A491" s="18" t="str">
        <f t="shared" si="1"/>
        <v/>
      </c>
      <c r="B491" s="18" t="str">
        <f t="shared" si="2"/>
        <v/>
      </c>
      <c r="C491" s="23" t="str">
        <f t="array" ref="C491">IF($H491="","",IFERROR(INDEX('Game Records'!$A:$A,$H491),""))</f>
        <v/>
      </c>
      <c r="D491" s="23" t="str">
        <f t="array" ref="D491">IF($H491="","",IFERROR(INDEX('Game Records'!$U:$U,$H491),""))</f>
        <v/>
      </c>
      <c r="E491" s="23" t="str">
        <f t="array" ref="E491">IF($H491="","",LET(r,$H491,mode,LOWER(INDEX('Game Records'!$D:$D,r)&amp;""),endDate,INDEX('Game Records'!$C:$C,r),IF(mode="estimate",IF(endDate="","Estimate — End Date missing",IF(NOT(ISNUMBER(endDate)),"Estimate — Check End Date",IF(INT(endDate)&gt;=TODAY(),"In Progress — ends "&amp;TEXT(endDate,"mmm d, yyyy"),"Ready to Finalize"))),IF($F491="","No Highlighted Fields","Highlighted Fields Present"))))</f>
        <v/>
      </c>
      <c r="F491" s="23" t="str">
        <f t="array" ref="F491">IF($H491="","",IF(OR(NOT(_xlfn.ISFORMULA(INDEX('Game Records'!$N:$N,$H491))),NOT(_xlfn.ISFORMULA(INDEX('Game Records'!$O:$O,$H491))),NOT(_xlfn.ISFORMULA(INDEX('Game Records'!$P:$P,$H491))),NOT(_xlfn.ISFORMULA(INDEX('Game Records'!$Q:$Q,$H491))),NOT(_xlfn.ISFORMULA(INDEX('Game Records'!$R:$R,$H491))),NOT(_xlfn.ISFORMULA(INDEX('Game Records'!$S:$S,$H491))),NOT(_xlfn.ISFORMULA(INDEX('Game Records'!$T:$T,$H491))),NOT(_xlfn.ISFORMULA(INDEX('Game Records'!$U:$U,$H491))),NOT(_xlfn.ISFORMULA(INDEX('Game Records'!$V:$V,$H491))),NOT(_xlfn.ISFORMULA(INDEX('Game Records'!$W:$W,$H491))),NOT(_xlfn.ISFORMULA(INDEX('Game Records'!$X:$X,$H491))),NOT(_xlfn.ISFORMULA(INDEX('Game Records'!$Y:$Y,$H491))),NOT(_xlfn.ISFORMULA(INDEX('Game Records'!$Z:$Z,$H491)))),"","")&amp;IF(INDEX('Game Records'!$B:$B,$H491)="","Start Date; ","")&amp;IF(INDEX('Game Records'!$C:$C,$H491)="","End Date; ","")&amp;IF(AND(INDEX('Game Records'!$U:$U,$H491)&lt;&gt;"Subscription",INDEX('Game Records'!$U:$U,$H491)&lt;&gt;"Free Game",INDEX('Game Records'!$U:$U,$H491)&lt;&gt;"Disqualified — Free Game",OR(INDEX('Game Records'!$D:$D,$H491)="",LOWER(INDEX('Game Records'!$D:$D,$H491)&amp;"")="n/a")),"Entry Mode; ","")&amp;IF(AND(INDEX('Game Records'!$U:$U,$H491)&lt;&gt;"Subscription",INDEX('Game Records'!$U:$U,$H491)&lt;&gt;"Free Game",INDEX('Game Records'!$U:$U,$H491)&lt;&gt;"Disqualified — Free Game",OR(INDEX('Game Records'!$E:$E,$H491)="",LOWER(INDEX('Game Records'!$E:$E,$H491)&amp;"")="n/a")),"Game Type; ","")&amp;IF(INDEX('Game Records'!$F:$F,$H491)="","Payment Type; ","")&amp;IF(AND(INDEX('Game Records'!$U:$U,$H491)&lt;&gt;"Subscription",INDEX('Game Records'!$U:$U,$H491)&lt;&gt;"Free Game",INDEX('Game Records'!$U:$U,$H491)&lt;&gt;"Disqualified — Free Game",INDEX('Game Records'!$G:$G,$H491)=""),"Gross Pot; ","")&amp;IF(AND(INDEX('Game Records'!$U:$U,$H491)&lt;&gt;"Free Game",INDEX('Game Records'!$U:$U,$H491)&lt;&gt;"Disqualified — Free Game",INDEX('Game Records'!$H:$H,$H491)=""),"Entry Fee; ","")&amp;IF(AND(INDEX('Game Records'!$U:$U,$H491)&lt;&gt;"Subscription",INDEX('Game Records'!$U:$U,$H491)&lt;&gt;"Free Game",INDEX('Game Records'!$U:$U,$H491)&lt;&gt;"Disqualified — Free Game",INDEX('Game Records'!$I:$I,$H491)=""),"Eligible Players; ","")&amp;IF(AND(INDEX('Game Records'!$U:$U,$H491)&lt;&gt;"Subscription",INDEX('Game Records'!$U:$U,$H491)&lt;&gt;"Free Game",INDEX('Game Records'!$U:$U,$H491)&lt;&gt;"Disqualified — Free Game",INDEX('Game Records'!$J:$J,$H491)=""),"Total Players; ","")&amp;IF(AND(LOWER(INDEX('Game Records'!$D:$D,$H491)&amp;"")="finalized",LOWER(INDEX('Game Records'!$L:$L,$H491)&amp;"")&lt;&gt;"yes",INDEX('Game Records'!$U:$U,$H491)&lt;&gt;"Subscription",INDEX('Game Records'!$U:$U,$H491)&lt;&gt;"Free Game",INDEX('Game Records'!$U:$U,$H491)&lt;&gt;"Disqualified — Free Game",INDEX('Game Records'!$K:$K,$H491)=""),"Final Payout; ","")&amp;IF(AND(LOWER(INDEX('Game Records'!$D:$D,$H491)&amp;"")="finalized",INDEX('Game Records'!$U:$U,$H491)&lt;&gt;"Subscription",INDEX('Game Records'!$U:$U,$H491)&lt;&gt;"Free Game",INDEX('Game Records'!$U:$U,$H491)&lt;&gt;"Disqualified — Free Game",OR(INDEX('Game Records'!$L:$L,$H491)="",LOWER(INDEX('Game Records'!$L:$L,$H491)&amp;"")="n/a")),"Disqualified Status; ",""))</f>
        <v/>
      </c>
      <c r="G491" s="23" t="str">
        <f t="array" ref="G491">IF($H491="","",IFERROR(INDEX('Game Records'!$M:$M,$H491),""))</f>
        <v/>
      </c>
      <c r="H491" s="3"/>
    </row>
    <row r="492" ht="24.0" customHeight="1">
      <c r="A492" s="18" t="str">
        <f t="shared" si="1"/>
        <v/>
      </c>
      <c r="B492" s="18" t="str">
        <f t="shared" si="2"/>
        <v/>
      </c>
      <c r="C492" s="23" t="str">
        <f t="array" ref="C492">IF($H492="","",IFERROR(INDEX('Game Records'!$A:$A,$H492),""))</f>
        <v/>
      </c>
      <c r="D492" s="23" t="str">
        <f t="array" ref="D492">IF($H492="","",IFERROR(INDEX('Game Records'!$U:$U,$H492),""))</f>
        <v/>
      </c>
      <c r="E492" s="23" t="str">
        <f t="array" ref="E492">IF($H492="","",LET(r,$H492,mode,LOWER(INDEX('Game Records'!$D:$D,r)&amp;""),endDate,INDEX('Game Records'!$C:$C,r),IF(mode="estimate",IF(endDate="","Estimate — End Date missing",IF(NOT(ISNUMBER(endDate)),"Estimate — Check End Date",IF(INT(endDate)&gt;=TODAY(),"In Progress — ends "&amp;TEXT(endDate,"mmm d, yyyy"),"Ready to Finalize"))),IF($F492="","No Highlighted Fields","Highlighted Fields Present"))))</f>
        <v/>
      </c>
      <c r="F492" s="23" t="str">
        <f t="array" ref="F492">IF($H492="","",IF(OR(NOT(_xlfn.ISFORMULA(INDEX('Game Records'!$N:$N,$H492))),NOT(_xlfn.ISFORMULA(INDEX('Game Records'!$O:$O,$H492))),NOT(_xlfn.ISFORMULA(INDEX('Game Records'!$P:$P,$H492))),NOT(_xlfn.ISFORMULA(INDEX('Game Records'!$Q:$Q,$H492))),NOT(_xlfn.ISFORMULA(INDEX('Game Records'!$R:$R,$H492))),NOT(_xlfn.ISFORMULA(INDEX('Game Records'!$S:$S,$H492))),NOT(_xlfn.ISFORMULA(INDEX('Game Records'!$T:$T,$H492))),NOT(_xlfn.ISFORMULA(INDEX('Game Records'!$U:$U,$H492))),NOT(_xlfn.ISFORMULA(INDEX('Game Records'!$V:$V,$H492))),NOT(_xlfn.ISFORMULA(INDEX('Game Records'!$W:$W,$H492))),NOT(_xlfn.ISFORMULA(INDEX('Game Records'!$X:$X,$H492))),NOT(_xlfn.ISFORMULA(INDEX('Game Records'!$Y:$Y,$H492))),NOT(_xlfn.ISFORMULA(INDEX('Game Records'!$Z:$Z,$H492)))),"","")&amp;IF(INDEX('Game Records'!$B:$B,$H492)="","Start Date; ","")&amp;IF(INDEX('Game Records'!$C:$C,$H492)="","End Date; ","")&amp;IF(AND(INDEX('Game Records'!$U:$U,$H492)&lt;&gt;"Subscription",INDEX('Game Records'!$U:$U,$H492)&lt;&gt;"Free Game",INDEX('Game Records'!$U:$U,$H492)&lt;&gt;"Disqualified — Free Game",OR(INDEX('Game Records'!$D:$D,$H492)="",LOWER(INDEX('Game Records'!$D:$D,$H492)&amp;"")="n/a")),"Entry Mode; ","")&amp;IF(AND(INDEX('Game Records'!$U:$U,$H492)&lt;&gt;"Subscription",INDEX('Game Records'!$U:$U,$H492)&lt;&gt;"Free Game",INDEX('Game Records'!$U:$U,$H492)&lt;&gt;"Disqualified — Free Game",OR(INDEX('Game Records'!$E:$E,$H492)="",LOWER(INDEX('Game Records'!$E:$E,$H492)&amp;"")="n/a")),"Game Type; ","")&amp;IF(INDEX('Game Records'!$F:$F,$H492)="","Payment Type; ","")&amp;IF(AND(INDEX('Game Records'!$U:$U,$H492)&lt;&gt;"Subscription",INDEX('Game Records'!$U:$U,$H492)&lt;&gt;"Free Game",INDEX('Game Records'!$U:$U,$H492)&lt;&gt;"Disqualified — Free Game",INDEX('Game Records'!$G:$G,$H492)=""),"Gross Pot; ","")&amp;IF(AND(INDEX('Game Records'!$U:$U,$H492)&lt;&gt;"Free Game",INDEX('Game Records'!$U:$U,$H492)&lt;&gt;"Disqualified — Free Game",INDEX('Game Records'!$H:$H,$H492)=""),"Entry Fee; ","")&amp;IF(AND(INDEX('Game Records'!$U:$U,$H492)&lt;&gt;"Subscription",INDEX('Game Records'!$U:$U,$H492)&lt;&gt;"Free Game",INDEX('Game Records'!$U:$U,$H492)&lt;&gt;"Disqualified — Free Game",INDEX('Game Records'!$I:$I,$H492)=""),"Eligible Players; ","")&amp;IF(AND(INDEX('Game Records'!$U:$U,$H492)&lt;&gt;"Subscription",INDEX('Game Records'!$U:$U,$H492)&lt;&gt;"Free Game",INDEX('Game Records'!$U:$U,$H492)&lt;&gt;"Disqualified — Free Game",INDEX('Game Records'!$J:$J,$H492)=""),"Total Players; ","")&amp;IF(AND(LOWER(INDEX('Game Records'!$D:$D,$H492)&amp;"")="finalized",LOWER(INDEX('Game Records'!$L:$L,$H492)&amp;"")&lt;&gt;"yes",INDEX('Game Records'!$U:$U,$H492)&lt;&gt;"Subscription",INDEX('Game Records'!$U:$U,$H492)&lt;&gt;"Free Game",INDEX('Game Records'!$U:$U,$H492)&lt;&gt;"Disqualified — Free Game",INDEX('Game Records'!$K:$K,$H492)=""),"Final Payout; ","")&amp;IF(AND(LOWER(INDEX('Game Records'!$D:$D,$H492)&amp;"")="finalized",INDEX('Game Records'!$U:$U,$H492)&lt;&gt;"Subscription",INDEX('Game Records'!$U:$U,$H492)&lt;&gt;"Free Game",INDEX('Game Records'!$U:$U,$H492)&lt;&gt;"Disqualified — Free Game",OR(INDEX('Game Records'!$L:$L,$H492)="",LOWER(INDEX('Game Records'!$L:$L,$H492)&amp;"")="n/a")),"Disqualified Status; ",""))</f>
        <v/>
      </c>
      <c r="G492" s="23" t="str">
        <f t="array" ref="G492">IF($H492="","",IFERROR(INDEX('Game Records'!$M:$M,$H492),""))</f>
        <v/>
      </c>
      <c r="H492" s="3"/>
    </row>
    <row r="493" ht="24.0" customHeight="1">
      <c r="A493" s="18" t="str">
        <f t="shared" si="1"/>
        <v/>
      </c>
      <c r="B493" s="18" t="str">
        <f t="shared" si="2"/>
        <v/>
      </c>
      <c r="C493" s="23" t="str">
        <f t="array" ref="C493">IF($H493="","",IFERROR(INDEX('Game Records'!$A:$A,$H493),""))</f>
        <v/>
      </c>
      <c r="D493" s="23" t="str">
        <f t="array" ref="D493">IF($H493="","",IFERROR(INDEX('Game Records'!$U:$U,$H493),""))</f>
        <v/>
      </c>
      <c r="E493" s="23" t="str">
        <f t="array" ref="E493">IF($H493="","",LET(r,$H493,mode,LOWER(INDEX('Game Records'!$D:$D,r)&amp;""),endDate,INDEX('Game Records'!$C:$C,r),IF(mode="estimate",IF(endDate="","Estimate — End Date missing",IF(NOT(ISNUMBER(endDate)),"Estimate — Check End Date",IF(INT(endDate)&gt;=TODAY(),"In Progress — ends "&amp;TEXT(endDate,"mmm d, yyyy"),"Ready to Finalize"))),IF($F493="","No Highlighted Fields","Highlighted Fields Present"))))</f>
        <v/>
      </c>
      <c r="F493" s="23" t="str">
        <f t="array" ref="F493">IF($H493="","",IF(OR(NOT(_xlfn.ISFORMULA(INDEX('Game Records'!$N:$N,$H493))),NOT(_xlfn.ISFORMULA(INDEX('Game Records'!$O:$O,$H493))),NOT(_xlfn.ISFORMULA(INDEX('Game Records'!$P:$P,$H493))),NOT(_xlfn.ISFORMULA(INDEX('Game Records'!$Q:$Q,$H493))),NOT(_xlfn.ISFORMULA(INDEX('Game Records'!$R:$R,$H493))),NOT(_xlfn.ISFORMULA(INDEX('Game Records'!$S:$S,$H493))),NOT(_xlfn.ISFORMULA(INDEX('Game Records'!$T:$T,$H493))),NOT(_xlfn.ISFORMULA(INDEX('Game Records'!$U:$U,$H493))),NOT(_xlfn.ISFORMULA(INDEX('Game Records'!$V:$V,$H493))),NOT(_xlfn.ISFORMULA(INDEX('Game Records'!$W:$W,$H493))),NOT(_xlfn.ISFORMULA(INDEX('Game Records'!$X:$X,$H493))),NOT(_xlfn.ISFORMULA(INDEX('Game Records'!$Y:$Y,$H493))),NOT(_xlfn.ISFORMULA(INDEX('Game Records'!$Z:$Z,$H493)))),"","")&amp;IF(INDEX('Game Records'!$B:$B,$H493)="","Start Date; ","")&amp;IF(INDEX('Game Records'!$C:$C,$H493)="","End Date; ","")&amp;IF(AND(INDEX('Game Records'!$U:$U,$H493)&lt;&gt;"Subscription",INDEX('Game Records'!$U:$U,$H493)&lt;&gt;"Free Game",INDEX('Game Records'!$U:$U,$H493)&lt;&gt;"Disqualified — Free Game",OR(INDEX('Game Records'!$D:$D,$H493)="",LOWER(INDEX('Game Records'!$D:$D,$H493)&amp;"")="n/a")),"Entry Mode; ","")&amp;IF(AND(INDEX('Game Records'!$U:$U,$H493)&lt;&gt;"Subscription",INDEX('Game Records'!$U:$U,$H493)&lt;&gt;"Free Game",INDEX('Game Records'!$U:$U,$H493)&lt;&gt;"Disqualified — Free Game",OR(INDEX('Game Records'!$E:$E,$H493)="",LOWER(INDEX('Game Records'!$E:$E,$H493)&amp;"")="n/a")),"Game Type; ","")&amp;IF(INDEX('Game Records'!$F:$F,$H493)="","Payment Type; ","")&amp;IF(AND(INDEX('Game Records'!$U:$U,$H493)&lt;&gt;"Subscription",INDEX('Game Records'!$U:$U,$H493)&lt;&gt;"Free Game",INDEX('Game Records'!$U:$U,$H493)&lt;&gt;"Disqualified — Free Game",INDEX('Game Records'!$G:$G,$H493)=""),"Gross Pot; ","")&amp;IF(AND(INDEX('Game Records'!$U:$U,$H493)&lt;&gt;"Free Game",INDEX('Game Records'!$U:$U,$H493)&lt;&gt;"Disqualified — Free Game",INDEX('Game Records'!$H:$H,$H493)=""),"Entry Fee; ","")&amp;IF(AND(INDEX('Game Records'!$U:$U,$H493)&lt;&gt;"Subscription",INDEX('Game Records'!$U:$U,$H493)&lt;&gt;"Free Game",INDEX('Game Records'!$U:$U,$H493)&lt;&gt;"Disqualified — Free Game",INDEX('Game Records'!$I:$I,$H493)=""),"Eligible Players; ","")&amp;IF(AND(INDEX('Game Records'!$U:$U,$H493)&lt;&gt;"Subscription",INDEX('Game Records'!$U:$U,$H493)&lt;&gt;"Free Game",INDEX('Game Records'!$U:$U,$H493)&lt;&gt;"Disqualified — Free Game",INDEX('Game Records'!$J:$J,$H493)=""),"Total Players; ","")&amp;IF(AND(LOWER(INDEX('Game Records'!$D:$D,$H493)&amp;"")="finalized",LOWER(INDEX('Game Records'!$L:$L,$H493)&amp;"")&lt;&gt;"yes",INDEX('Game Records'!$U:$U,$H493)&lt;&gt;"Subscription",INDEX('Game Records'!$U:$U,$H493)&lt;&gt;"Free Game",INDEX('Game Records'!$U:$U,$H493)&lt;&gt;"Disqualified — Free Game",INDEX('Game Records'!$K:$K,$H493)=""),"Final Payout; ","")&amp;IF(AND(LOWER(INDEX('Game Records'!$D:$D,$H493)&amp;"")="finalized",INDEX('Game Records'!$U:$U,$H493)&lt;&gt;"Subscription",INDEX('Game Records'!$U:$U,$H493)&lt;&gt;"Free Game",INDEX('Game Records'!$U:$U,$H493)&lt;&gt;"Disqualified — Free Game",OR(INDEX('Game Records'!$L:$L,$H493)="",LOWER(INDEX('Game Records'!$L:$L,$H493)&amp;"")="n/a")),"Disqualified Status; ",""))</f>
        <v/>
      </c>
      <c r="G493" s="23" t="str">
        <f t="array" ref="G493">IF($H493="","",IFERROR(INDEX('Game Records'!$M:$M,$H493),""))</f>
        <v/>
      </c>
      <c r="H493" s="3"/>
    </row>
    <row r="494" ht="24.0" customHeight="1">
      <c r="A494" s="18" t="str">
        <f t="shared" si="1"/>
        <v/>
      </c>
      <c r="B494" s="18" t="str">
        <f t="shared" si="2"/>
        <v/>
      </c>
      <c r="C494" s="23" t="str">
        <f t="array" ref="C494">IF($H494="","",IFERROR(INDEX('Game Records'!$A:$A,$H494),""))</f>
        <v/>
      </c>
      <c r="D494" s="23" t="str">
        <f t="array" ref="D494">IF($H494="","",IFERROR(INDEX('Game Records'!$U:$U,$H494),""))</f>
        <v/>
      </c>
      <c r="E494" s="23" t="str">
        <f t="array" ref="E494">IF($H494="","",LET(r,$H494,mode,LOWER(INDEX('Game Records'!$D:$D,r)&amp;""),endDate,INDEX('Game Records'!$C:$C,r),IF(mode="estimate",IF(endDate="","Estimate — End Date missing",IF(NOT(ISNUMBER(endDate)),"Estimate — Check End Date",IF(INT(endDate)&gt;=TODAY(),"In Progress — ends "&amp;TEXT(endDate,"mmm d, yyyy"),"Ready to Finalize"))),IF($F494="","No Highlighted Fields","Highlighted Fields Present"))))</f>
        <v/>
      </c>
      <c r="F494" s="23" t="str">
        <f t="array" ref="F494">IF($H494="","",IF(OR(NOT(_xlfn.ISFORMULA(INDEX('Game Records'!$N:$N,$H494))),NOT(_xlfn.ISFORMULA(INDEX('Game Records'!$O:$O,$H494))),NOT(_xlfn.ISFORMULA(INDEX('Game Records'!$P:$P,$H494))),NOT(_xlfn.ISFORMULA(INDEX('Game Records'!$Q:$Q,$H494))),NOT(_xlfn.ISFORMULA(INDEX('Game Records'!$R:$R,$H494))),NOT(_xlfn.ISFORMULA(INDEX('Game Records'!$S:$S,$H494))),NOT(_xlfn.ISFORMULA(INDEX('Game Records'!$T:$T,$H494))),NOT(_xlfn.ISFORMULA(INDEX('Game Records'!$U:$U,$H494))),NOT(_xlfn.ISFORMULA(INDEX('Game Records'!$V:$V,$H494))),NOT(_xlfn.ISFORMULA(INDEX('Game Records'!$W:$W,$H494))),NOT(_xlfn.ISFORMULA(INDEX('Game Records'!$X:$X,$H494))),NOT(_xlfn.ISFORMULA(INDEX('Game Records'!$Y:$Y,$H494))),NOT(_xlfn.ISFORMULA(INDEX('Game Records'!$Z:$Z,$H494)))),"","")&amp;IF(INDEX('Game Records'!$B:$B,$H494)="","Start Date; ","")&amp;IF(INDEX('Game Records'!$C:$C,$H494)="","End Date; ","")&amp;IF(AND(INDEX('Game Records'!$U:$U,$H494)&lt;&gt;"Subscription",INDEX('Game Records'!$U:$U,$H494)&lt;&gt;"Free Game",INDEX('Game Records'!$U:$U,$H494)&lt;&gt;"Disqualified — Free Game",OR(INDEX('Game Records'!$D:$D,$H494)="",LOWER(INDEX('Game Records'!$D:$D,$H494)&amp;"")="n/a")),"Entry Mode; ","")&amp;IF(AND(INDEX('Game Records'!$U:$U,$H494)&lt;&gt;"Subscription",INDEX('Game Records'!$U:$U,$H494)&lt;&gt;"Free Game",INDEX('Game Records'!$U:$U,$H494)&lt;&gt;"Disqualified — Free Game",OR(INDEX('Game Records'!$E:$E,$H494)="",LOWER(INDEX('Game Records'!$E:$E,$H494)&amp;"")="n/a")),"Game Type; ","")&amp;IF(INDEX('Game Records'!$F:$F,$H494)="","Payment Type; ","")&amp;IF(AND(INDEX('Game Records'!$U:$U,$H494)&lt;&gt;"Subscription",INDEX('Game Records'!$U:$U,$H494)&lt;&gt;"Free Game",INDEX('Game Records'!$U:$U,$H494)&lt;&gt;"Disqualified — Free Game",INDEX('Game Records'!$G:$G,$H494)=""),"Gross Pot; ","")&amp;IF(AND(INDEX('Game Records'!$U:$U,$H494)&lt;&gt;"Free Game",INDEX('Game Records'!$U:$U,$H494)&lt;&gt;"Disqualified — Free Game",INDEX('Game Records'!$H:$H,$H494)=""),"Entry Fee; ","")&amp;IF(AND(INDEX('Game Records'!$U:$U,$H494)&lt;&gt;"Subscription",INDEX('Game Records'!$U:$U,$H494)&lt;&gt;"Free Game",INDEX('Game Records'!$U:$U,$H494)&lt;&gt;"Disqualified — Free Game",INDEX('Game Records'!$I:$I,$H494)=""),"Eligible Players; ","")&amp;IF(AND(INDEX('Game Records'!$U:$U,$H494)&lt;&gt;"Subscription",INDEX('Game Records'!$U:$U,$H494)&lt;&gt;"Free Game",INDEX('Game Records'!$U:$U,$H494)&lt;&gt;"Disqualified — Free Game",INDEX('Game Records'!$J:$J,$H494)=""),"Total Players; ","")&amp;IF(AND(LOWER(INDEX('Game Records'!$D:$D,$H494)&amp;"")="finalized",LOWER(INDEX('Game Records'!$L:$L,$H494)&amp;"")&lt;&gt;"yes",INDEX('Game Records'!$U:$U,$H494)&lt;&gt;"Subscription",INDEX('Game Records'!$U:$U,$H494)&lt;&gt;"Free Game",INDEX('Game Records'!$U:$U,$H494)&lt;&gt;"Disqualified — Free Game",INDEX('Game Records'!$K:$K,$H494)=""),"Final Payout; ","")&amp;IF(AND(LOWER(INDEX('Game Records'!$D:$D,$H494)&amp;"")="finalized",INDEX('Game Records'!$U:$U,$H494)&lt;&gt;"Subscription",INDEX('Game Records'!$U:$U,$H494)&lt;&gt;"Free Game",INDEX('Game Records'!$U:$U,$H494)&lt;&gt;"Disqualified — Free Game",OR(INDEX('Game Records'!$L:$L,$H494)="",LOWER(INDEX('Game Records'!$L:$L,$H494)&amp;"")="n/a")),"Disqualified Status; ",""))</f>
        <v/>
      </c>
      <c r="G494" s="23" t="str">
        <f t="array" ref="G494">IF($H494="","",IFERROR(INDEX('Game Records'!$M:$M,$H494),""))</f>
        <v/>
      </c>
      <c r="H494" s="3"/>
    </row>
    <row r="495" ht="24.0" customHeight="1">
      <c r="A495" s="18" t="str">
        <f t="shared" si="1"/>
        <v/>
      </c>
      <c r="B495" s="18" t="str">
        <f t="shared" si="2"/>
        <v/>
      </c>
      <c r="C495" s="23" t="str">
        <f t="array" ref="C495">IF($H495="","",IFERROR(INDEX('Game Records'!$A:$A,$H495),""))</f>
        <v/>
      </c>
      <c r="D495" s="23" t="str">
        <f t="array" ref="D495">IF($H495="","",IFERROR(INDEX('Game Records'!$U:$U,$H495),""))</f>
        <v/>
      </c>
      <c r="E495" s="23" t="str">
        <f t="array" ref="E495">IF($H495="","",LET(r,$H495,mode,LOWER(INDEX('Game Records'!$D:$D,r)&amp;""),endDate,INDEX('Game Records'!$C:$C,r),IF(mode="estimate",IF(endDate="","Estimate — End Date missing",IF(NOT(ISNUMBER(endDate)),"Estimate — Check End Date",IF(INT(endDate)&gt;=TODAY(),"In Progress — ends "&amp;TEXT(endDate,"mmm d, yyyy"),"Ready to Finalize"))),IF($F495="","No Highlighted Fields","Highlighted Fields Present"))))</f>
        <v/>
      </c>
      <c r="F495" s="23" t="str">
        <f t="array" ref="F495">IF($H495="","",IF(OR(NOT(_xlfn.ISFORMULA(INDEX('Game Records'!$N:$N,$H495))),NOT(_xlfn.ISFORMULA(INDEX('Game Records'!$O:$O,$H495))),NOT(_xlfn.ISFORMULA(INDEX('Game Records'!$P:$P,$H495))),NOT(_xlfn.ISFORMULA(INDEX('Game Records'!$Q:$Q,$H495))),NOT(_xlfn.ISFORMULA(INDEX('Game Records'!$R:$R,$H495))),NOT(_xlfn.ISFORMULA(INDEX('Game Records'!$S:$S,$H495))),NOT(_xlfn.ISFORMULA(INDEX('Game Records'!$T:$T,$H495))),NOT(_xlfn.ISFORMULA(INDEX('Game Records'!$U:$U,$H495))),NOT(_xlfn.ISFORMULA(INDEX('Game Records'!$V:$V,$H495))),NOT(_xlfn.ISFORMULA(INDEX('Game Records'!$W:$W,$H495))),NOT(_xlfn.ISFORMULA(INDEX('Game Records'!$X:$X,$H495))),NOT(_xlfn.ISFORMULA(INDEX('Game Records'!$Y:$Y,$H495))),NOT(_xlfn.ISFORMULA(INDEX('Game Records'!$Z:$Z,$H495)))),"","")&amp;IF(INDEX('Game Records'!$B:$B,$H495)="","Start Date; ","")&amp;IF(INDEX('Game Records'!$C:$C,$H495)="","End Date; ","")&amp;IF(AND(INDEX('Game Records'!$U:$U,$H495)&lt;&gt;"Subscription",INDEX('Game Records'!$U:$U,$H495)&lt;&gt;"Free Game",INDEX('Game Records'!$U:$U,$H495)&lt;&gt;"Disqualified — Free Game",OR(INDEX('Game Records'!$D:$D,$H495)="",LOWER(INDEX('Game Records'!$D:$D,$H495)&amp;"")="n/a")),"Entry Mode; ","")&amp;IF(AND(INDEX('Game Records'!$U:$U,$H495)&lt;&gt;"Subscription",INDEX('Game Records'!$U:$U,$H495)&lt;&gt;"Free Game",INDEX('Game Records'!$U:$U,$H495)&lt;&gt;"Disqualified — Free Game",OR(INDEX('Game Records'!$E:$E,$H495)="",LOWER(INDEX('Game Records'!$E:$E,$H495)&amp;"")="n/a")),"Game Type; ","")&amp;IF(INDEX('Game Records'!$F:$F,$H495)="","Payment Type; ","")&amp;IF(AND(INDEX('Game Records'!$U:$U,$H495)&lt;&gt;"Subscription",INDEX('Game Records'!$U:$U,$H495)&lt;&gt;"Free Game",INDEX('Game Records'!$U:$U,$H495)&lt;&gt;"Disqualified — Free Game",INDEX('Game Records'!$G:$G,$H495)=""),"Gross Pot; ","")&amp;IF(AND(INDEX('Game Records'!$U:$U,$H495)&lt;&gt;"Free Game",INDEX('Game Records'!$U:$U,$H495)&lt;&gt;"Disqualified — Free Game",INDEX('Game Records'!$H:$H,$H495)=""),"Entry Fee; ","")&amp;IF(AND(INDEX('Game Records'!$U:$U,$H495)&lt;&gt;"Subscription",INDEX('Game Records'!$U:$U,$H495)&lt;&gt;"Free Game",INDEX('Game Records'!$U:$U,$H495)&lt;&gt;"Disqualified — Free Game",INDEX('Game Records'!$I:$I,$H495)=""),"Eligible Players; ","")&amp;IF(AND(INDEX('Game Records'!$U:$U,$H495)&lt;&gt;"Subscription",INDEX('Game Records'!$U:$U,$H495)&lt;&gt;"Free Game",INDEX('Game Records'!$U:$U,$H495)&lt;&gt;"Disqualified — Free Game",INDEX('Game Records'!$J:$J,$H495)=""),"Total Players; ","")&amp;IF(AND(LOWER(INDEX('Game Records'!$D:$D,$H495)&amp;"")="finalized",LOWER(INDEX('Game Records'!$L:$L,$H495)&amp;"")&lt;&gt;"yes",INDEX('Game Records'!$U:$U,$H495)&lt;&gt;"Subscription",INDEX('Game Records'!$U:$U,$H495)&lt;&gt;"Free Game",INDEX('Game Records'!$U:$U,$H495)&lt;&gt;"Disqualified — Free Game",INDEX('Game Records'!$K:$K,$H495)=""),"Final Payout; ","")&amp;IF(AND(LOWER(INDEX('Game Records'!$D:$D,$H495)&amp;"")="finalized",INDEX('Game Records'!$U:$U,$H495)&lt;&gt;"Subscription",INDEX('Game Records'!$U:$U,$H495)&lt;&gt;"Free Game",INDEX('Game Records'!$U:$U,$H495)&lt;&gt;"Disqualified — Free Game",OR(INDEX('Game Records'!$L:$L,$H495)="",LOWER(INDEX('Game Records'!$L:$L,$H495)&amp;"")="n/a")),"Disqualified Status; ",""))</f>
        <v/>
      </c>
      <c r="G495" s="23" t="str">
        <f t="array" ref="G495">IF($H495="","",IFERROR(INDEX('Game Records'!$M:$M,$H495),""))</f>
        <v/>
      </c>
      <c r="H495" s="3"/>
    </row>
    <row r="496" ht="24.0" customHeight="1">
      <c r="A496" s="18" t="str">
        <f t="shared" si="1"/>
        <v/>
      </c>
      <c r="B496" s="18" t="str">
        <f t="shared" si="2"/>
        <v/>
      </c>
      <c r="C496" s="23" t="str">
        <f t="array" ref="C496">IF($H496="","",IFERROR(INDEX('Game Records'!$A:$A,$H496),""))</f>
        <v/>
      </c>
      <c r="D496" s="23" t="str">
        <f t="array" ref="D496">IF($H496="","",IFERROR(INDEX('Game Records'!$U:$U,$H496),""))</f>
        <v/>
      </c>
      <c r="E496" s="23" t="str">
        <f t="array" ref="E496">IF($H496="","",LET(r,$H496,mode,LOWER(INDEX('Game Records'!$D:$D,r)&amp;""),endDate,INDEX('Game Records'!$C:$C,r),IF(mode="estimate",IF(endDate="","Estimate — End Date missing",IF(NOT(ISNUMBER(endDate)),"Estimate — Check End Date",IF(INT(endDate)&gt;=TODAY(),"In Progress — ends "&amp;TEXT(endDate,"mmm d, yyyy"),"Ready to Finalize"))),IF($F496="","No Highlighted Fields","Highlighted Fields Present"))))</f>
        <v/>
      </c>
      <c r="F496" s="23" t="str">
        <f t="array" ref="F496">IF($H496="","",IF(OR(NOT(_xlfn.ISFORMULA(INDEX('Game Records'!$N:$N,$H496))),NOT(_xlfn.ISFORMULA(INDEX('Game Records'!$O:$O,$H496))),NOT(_xlfn.ISFORMULA(INDEX('Game Records'!$P:$P,$H496))),NOT(_xlfn.ISFORMULA(INDEX('Game Records'!$Q:$Q,$H496))),NOT(_xlfn.ISFORMULA(INDEX('Game Records'!$R:$R,$H496))),NOT(_xlfn.ISFORMULA(INDEX('Game Records'!$S:$S,$H496))),NOT(_xlfn.ISFORMULA(INDEX('Game Records'!$T:$T,$H496))),NOT(_xlfn.ISFORMULA(INDEX('Game Records'!$U:$U,$H496))),NOT(_xlfn.ISFORMULA(INDEX('Game Records'!$V:$V,$H496))),NOT(_xlfn.ISFORMULA(INDEX('Game Records'!$W:$W,$H496))),NOT(_xlfn.ISFORMULA(INDEX('Game Records'!$X:$X,$H496))),NOT(_xlfn.ISFORMULA(INDEX('Game Records'!$Y:$Y,$H496))),NOT(_xlfn.ISFORMULA(INDEX('Game Records'!$Z:$Z,$H496)))),"","")&amp;IF(INDEX('Game Records'!$B:$B,$H496)="","Start Date; ","")&amp;IF(INDEX('Game Records'!$C:$C,$H496)="","End Date; ","")&amp;IF(AND(INDEX('Game Records'!$U:$U,$H496)&lt;&gt;"Subscription",INDEX('Game Records'!$U:$U,$H496)&lt;&gt;"Free Game",INDEX('Game Records'!$U:$U,$H496)&lt;&gt;"Disqualified — Free Game",OR(INDEX('Game Records'!$D:$D,$H496)="",LOWER(INDEX('Game Records'!$D:$D,$H496)&amp;"")="n/a")),"Entry Mode; ","")&amp;IF(AND(INDEX('Game Records'!$U:$U,$H496)&lt;&gt;"Subscription",INDEX('Game Records'!$U:$U,$H496)&lt;&gt;"Free Game",INDEX('Game Records'!$U:$U,$H496)&lt;&gt;"Disqualified — Free Game",OR(INDEX('Game Records'!$E:$E,$H496)="",LOWER(INDEX('Game Records'!$E:$E,$H496)&amp;"")="n/a")),"Game Type; ","")&amp;IF(INDEX('Game Records'!$F:$F,$H496)="","Payment Type; ","")&amp;IF(AND(INDEX('Game Records'!$U:$U,$H496)&lt;&gt;"Subscription",INDEX('Game Records'!$U:$U,$H496)&lt;&gt;"Free Game",INDEX('Game Records'!$U:$U,$H496)&lt;&gt;"Disqualified — Free Game",INDEX('Game Records'!$G:$G,$H496)=""),"Gross Pot; ","")&amp;IF(AND(INDEX('Game Records'!$U:$U,$H496)&lt;&gt;"Free Game",INDEX('Game Records'!$U:$U,$H496)&lt;&gt;"Disqualified — Free Game",INDEX('Game Records'!$H:$H,$H496)=""),"Entry Fee; ","")&amp;IF(AND(INDEX('Game Records'!$U:$U,$H496)&lt;&gt;"Subscription",INDEX('Game Records'!$U:$U,$H496)&lt;&gt;"Free Game",INDEX('Game Records'!$U:$U,$H496)&lt;&gt;"Disqualified — Free Game",INDEX('Game Records'!$I:$I,$H496)=""),"Eligible Players; ","")&amp;IF(AND(INDEX('Game Records'!$U:$U,$H496)&lt;&gt;"Subscription",INDEX('Game Records'!$U:$U,$H496)&lt;&gt;"Free Game",INDEX('Game Records'!$U:$U,$H496)&lt;&gt;"Disqualified — Free Game",INDEX('Game Records'!$J:$J,$H496)=""),"Total Players; ","")&amp;IF(AND(LOWER(INDEX('Game Records'!$D:$D,$H496)&amp;"")="finalized",LOWER(INDEX('Game Records'!$L:$L,$H496)&amp;"")&lt;&gt;"yes",INDEX('Game Records'!$U:$U,$H496)&lt;&gt;"Subscription",INDEX('Game Records'!$U:$U,$H496)&lt;&gt;"Free Game",INDEX('Game Records'!$U:$U,$H496)&lt;&gt;"Disqualified — Free Game",INDEX('Game Records'!$K:$K,$H496)=""),"Final Payout; ","")&amp;IF(AND(LOWER(INDEX('Game Records'!$D:$D,$H496)&amp;"")="finalized",INDEX('Game Records'!$U:$U,$H496)&lt;&gt;"Subscription",INDEX('Game Records'!$U:$U,$H496)&lt;&gt;"Free Game",INDEX('Game Records'!$U:$U,$H496)&lt;&gt;"Disqualified — Free Game",OR(INDEX('Game Records'!$L:$L,$H496)="",LOWER(INDEX('Game Records'!$L:$L,$H496)&amp;"")="n/a")),"Disqualified Status; ",""))</f>
        <v/>
      </c>
      <c r="G496" s="23" t="str">
        <f t="array" ref="G496">IF($H496="","",IFERROR(INDEX('Game Records'!$M:$M,$H496),""))</f>
        <v/>
      </c>
      <c r="H496" s="3"/>
    </row>
    <row r="497" ht="24.0" customHeight="1">
      <c r="A497" s="18" t="str">
        <f t="shared" si="1"/>
        <v/>
      </c>
      <c r="B497" s="18" t="str">
        <f t="shared" si="2"/>
        <v/>
      </c>
      <c r="C497" s="23" t="str">
        <f t="array" ref="C497">IF($H497="","",IFERROR(INDEX('Game Records'!$A:$A,$H497),""))</f>
        <v/>
      </c>
      <c r="D497" s="23" t="str">
        <f t="array" ref="D497">IF($H497="","",IFERROR(INDEX('Game Records'!$U:$U,$H497),""))</f>
        <v/>
      </c>
      <c r="E497" s="23" t="str">
        <f t="array" ref="E497">IF($H497="","",LET(r,$H497,mode,LOWER(INDEX('Game Records'!$D:$D,r)&amp;""),endDate,INDEX('Game Records'!$C:$C,r),IF(mode="estimate",IF(endDate="","Estimate — End Date missing",IF(NOT(ISNUMBER(endDate)),"Estimate — Check End Date",IF(INT(endDate)&gt;=TODAY(),"In Progress — ends "&amp;TEXT(endDate,"mmm d, yyyy"),"Ready to Finalize"))),IF($F497="","No Highlighted Fields","Highlighted Fields Present"))))</f>
        <v/>
      </c>
      <c r="F497" s="23" t="str">
        <f t="array" ref="F497">IF($H497="","",IF(OR(NOT(_xlfn.ISFORMULA(INDEX('Game Records'!$N:$N,$H497))),NOT(_xlfn.ISFORMULA(INDEX('Game Records'!$O:$O,$H497))),NOT(_xlfn.ISFORMULA(INDEX('Game Records'!$P:$P,$H497))),NOT(_xlfn.ISFORMULA(INDEX('Game Records'!$Q:$Q,$H497))),NOT(_xlfn.ISFORMULA(INDEX('Game Records'!$R:$R,$H497))),NOT(_xlfn.ISFORMULA(INDEX('Game Records'!$S:$S,$H497))),NOT(_xlfn.ISFORMULA(INDEX('Game Records'!$T:$T,$H497))),NOT(_xlfn.ISFORMULA(INDEX('Game Records'!$U:$U,$H497))),NOT(_xlfn.ISFORMULA(INDEX('Game Records'!$V:$V,$H497))),NOT(_xlfn.ISFORMULA(INDEX('Game Records'!$W:$W,$H497))),NOT(_xlfn.ISFORMULA(INDEX('Game Records'!$X:$X,$H497))),NOT(_xlfn.ISFORMULA(INDEX('Game Records'!$Y:$Y,$H497))),NOT(_xlfn.ISFORMULA(INDEX('Game Records'!$Z:$Z,$H497)))),"","")&amp;IF(INDEX('Game Records'!$B:$B,$H497)="","Start Date; ","")&amp;IF(INDEX('Game Records'!$C:$C,$H497)="","End Date; ","")&amp;IF(AND(INDEX('Game Records'!$U:$U,$H497)&lt;&gt;"Subscription",INDEX('Game Records'!$U:$U,$H497)&lt;&gt;"Free Game",INDEX('Game Records'!$U:$U,$H497)&lt;&gt;"Disqualified — Free Game",OR(INDEX('Game Records'!$D:$D,$H497)="",LOWER(INDEX('Game Records'!$D:$D,$H497)&amp;"")="n/a")),"Entry Mode; ","")&amp;IF(AND(INDEX('Game Records'!$U:$U,$H497)&lt;&gt;"Subscription",INDEX('Game Records'!$U:$U,$H497)&lt;&gt;"Free Game",INDEX('Game Records'!$U:$U,$H497)&lt;&gt;"Disqualified — Free Game",OR(INDEX('Game Records'!$E:$E,$H497)="",LOWER(INDEX('Game Records'!$E:$E,$H497)&amp;"")="n/a")),"Game Type; ","")&amp;IF(INDEX('Game Records'!$F:$F,$H497)="","Payment Type; ","")&amp;IF(AND(INDEX('Game Records'!$U:$U,$H497)&lt;&gt;"Subscription",INDEX('Game Records'!$U:$U,$H497)&lt;&gt;"Free Game",INDEX('Game Records'!$U:$U,$H497)&lt;&gt;"Disqualified — Free Game",INDEX('Game Records'!$G:$G,$H497)=""),"Gross Pot; ","")&amp;IF(AND(INDEX('Game Records'!$U:$U,$H497)&lt;&gt;"Free Game",INDEX('Game Records'!$U:$U,$H497)&lt;&gt;"Disqualified — Free Game",INDEX('Game Records'!$H:$H,$H497)=""),"Entry Fee; ","")&amp;IF(AND(INDEX('Game Records'!$U:$U,$H497)&lt;&gt;"Subscription",INDEX('Game Records'!$U:$U,$H497)&lt;&gt;"Free Game",INDEX('Game Records'!$U:$U,$H497)&lt;&gt;"Disqualified — Free Game",INDEX('Game Records'!$I:$I,$H497)=""),"Eligible Players; ","")&amp;IF(AND(INDEX('Game Records'!$U:$U,$H497)&lt;&gt;"Subscription",INDEX('Game Records'!$U:$U,$H497)&lt;&gt;"Free Game",INDEX('Game Records'!$U:$U,$H497)&lt;&gt;"Disqualified — Free Game",INDEX('Game Records'!$J:$J,$H497)=""),"Total Players; ","")&amp;IF(AND(LOWER(INDEX('Game Records'!$D:$D,$H497)&amp;"")="finalized",LOWER(INDEX('Game Records'!$L:$L,$H497)&amp;"")&lt;&gt;"yes",INDEX('Game Records'!$U:$U,$H497)&lt;&gt;"Subscription",INDEX('Game Records'!$U:$U,$H497)&lt;&gt;"Free Game",INDEX('Game Records'!$U:$U,$H497)&lt;&gt;"Disqualified — Free Game",INDEX('Game Records'!$K:$K,$H497)=""),"Final Payout; ","")&amp;IF(AND(LOWER(INDEX('Game Records'!$D:$D,$H497)&amp;"")="finalized",INDEX('Game Records'!$U:$U,$H497)&lt;&gt;"Subscription",INDEX('Game Records'!$U:$U,$H497)&lt;&gt;"Free Game",INDEX('Game Records'!$U:$U,$H497)&lt;&gt;"Disqualified — Free Game",OR(INDEX('Game Records'!$L:$L,$H497)="",LOWER(INDEX('Game Records'!$L:$L,$H497)&amp;"")="n/a")),"Disqualified Status; ",""))</f>
        <v/>
      </c>
      <c r="G497" s="23" t="str">
        <f t="array" ref="G497">IF($H497="","",IFERROR(INDEX('Game Records'!$M:$M,$H497),""))</f>
        <v/>
      </c>
      <c r="H497" s="3"/>
    </row>
    <row r="498" ht="24.0" customHeight="1">
      <c r="A498" s="18" t="str">
        <f t="shared" si="1"/>
        <v/>
      </c>
      <c r="B498" s="18" t="str">
        <f t="shared" si="2"/>
        <v/>
      </c>
      <c r="C498" s="23" t="str">
        <f t="array" ref="C498">IF($H498="","",IFERROR(INDEX('Game Records'!$A:$A,$H498),""))</f>
        <v/>
      </c>
      <c r="D498" s="23" t="str">
        <f t="array" ref="D498">IF($H498="","",IFERROR(INDEX('Game Records'!$U:$U,$H498),""))</f>
        <v/>
      </c>
      <c r="E498" s="23" t="str">
        <f t="array" ref="E498">IF($H498="","",LET(r,$H498,mode,LOWER(INDEX('Game Records'!$D:$D,r)&amp;""),endDate,INDEX('Game Records'!$C:$C,r),IF(mode="estimate",IF(endDate="","Estimate — End Date missing",IF(NOT(ISNUMBER(endDate)),"Estimate — Check End Date",IF(INT(endDate)&gt;=TODAY(),"In Progress — ends "&amp;TEXT(endDate,"mmm d, yyyy"),"Ready to Finalize"))),IF($F498="","No Highlighted Fields","Highlighted Fields Present"))))</f>
        <v/>
      </c>
      <c r="F498" s="23" t="str">
        <f t="array" ref="F498">IF($H498="","",IF(OR(NOT(_xlfn.ISFORMULA(INDEX('Game Records'!$N:$N,$H498))),NOT(_xlfn.ISFORMULA(INDEX('Game Records'!$O:$O,$H498))),NOT(_xlfn.ISFORMULA(INDEX('Game Records'!$P:$P,$H498))),NOT(_xlfn.ISFORMULA(INDEX('Game Records'!$Q:$Q,$H498))),NOT(_xlfn.ISFORMULA(INDEX('Game Records'!$R:$R,$H498))),NOT(_xlfn.ISFORMULA(INDEX('Game Records'!$S:$S,$H498))),NOT(_xlfn.ISFORMULA(INDEX('Game Records'!$T:$T,$H498))),NOT(_xlfn.ISFORMULA(INDEX('Game Records'!$U:$U,$H498))),NOT(_xlfn.ISFORMULA(INDEX('Game Records'!$V:$V,$H498))),NOT(_xlfn.ISFORMULA(INDEX('Game Records'!$W:$W,$H498))),NOT(_xlfn.ISFORMULA(INDEX('Game Records'!$X:$X,$H498))),NOT(_xlfn.ISFORMULA(INDEX('Game Records'!$Y:$Y,$H498))),NOT(_xlfn.ISFORMULA(INDEX('Game Records'!$Z:$Z,$H498)))),"","")&amp;IF(INDEX('Game Records'!$B:$B,$H498)="","Start Date; ","")&amp;IF(INDEX('Game Records'!$C:$C,$H498)="","End Date; ","")&amp;IF(AND(INDEX('Game Records'!$U:$U,$H498)&lt;&gt;"Subscription",INDEX('Game Records'!$U:$U,$H498)&lt;&gt;"Free Game",INDEX('Game Records'!$U:$U,$H498)&lt;&gt;"Disqualified — Free Game",OR(INDEX('Game Records'!$D:$D,$H498)="",LOWER(INDEX('Game Records'!$D:$D,$H498)&amp;"")="n/a")),"Entry Mode; ","")&amp;IF(AND(INDEX('Game Records'!$U:$U,$H498)&lt;&gt;"Subscription",INDEX('Game Records'!$U:$U,$H498)&lt;&gt;"Free Game",INDEX('Game Records'!$U:$U,$H498)&lt;&gt;"Disqualified — Free Game",OR(INDEX('Game Records'!$E:$E,$H498)="",LOWER(INDEX('Game Records'!$E:$E,$H498)&amp;"")="n/a")),"Game Type; ","")&amp;IF(INDEX('Game Records'!$F:$F,$H498)="","Payment Type; ","")&amp;IF(AND(INDEX('Game Records'!$U:$U,$H498)&lt;&gt;"Subscription",INDEX('Game Records'!$U:$U,$H498)&lt;&gt;"Free Game",INDEX('Game Records'!$U:$U,$H498)&lt;&gt;"Disqualified — Free Game",INDEX('Game Records'!$G:$G,$H498)=""),"Gross Pot; ","")&amp;IF(AND(INDEX('Game Records'!$U:$U,$H498)&lt;&gt;"Free Game",INDEX('Game Records'!$U:$U,$H498)&lt;&gt;"Disqualified — Free Game",INDEX('Game Records'!$H:$H,$H498)=""),"Entry Fee; ","")&amp;IF(AND(INDEX('Game Records'!$U:$U,$H498)&lt;&gt;"Subscription",INDEX('Game Records'!$U:$U,$H498)&lt;&gt;"Free Game",INDEX('Game Records'!$U:$U,$H498)&lt;&gt;"Disqualified — Free Game",INDEX('Game Records'!$I:$I,$H498)=""),"Eligible Players; ","")&amp;IF(AND(INDEX('Game Records'!$U:$U,$H498)&lt;&gt;"Subscription",INDEX('Game Records'!$U:$U,$H498)&lt;&gt;"Free Game",INDEX('Game Records'!$U:$U,$H498)&lt;&gt;"Disqualified — Free Game",INDEX('Game Records'!$J:$J,$H498)=""),"Total Players; ","")&amp;IF(AND(LOWER(INDEX('Game Records'!$D:$D,$H498)&amp;"")="finalized",LOWER(INDEX('Game Records'!$L:$L,$H498)&amp;"")&lt;&gt;"yes",INDEX('Game Records'!$U:$U,$H498)&lt;&gt;"Subscription",INDEX('Game Records'!$U:$U,$H498)&lt;&gt;"Free Game",INDEX('Game Records'!$U:$U,$H498)&lt;&gt;"Disqualified — Free Game",INDEX('Game Records'!$K:$K,$H498)=""),"Final Payout; ","")&amp;IF(AND(LOWER(INDEX('Game Records'!$D:$D,$H498)&amp;"")="finalized",INDEX('Game Records'!$U:$U,$H498)&lt;&gt;"Subscription",INDEX('Game Records'!$U:$U,$H498)&lt;&gt;"Free Game",INDEX('Game Records'!$U:$U,$H498)&lt;&gt;"Disqualified — Free Game",OR(INDEX('Game Records'!$L:$L,$H498)="",LOWER(INDEX('Game Records'!$L:$L,$H498)&amp;"")="n/a")),"Disqualified Status; ",""))</f>
        <v/>
      </c>
      <c r="G498" s="23" t="str">
        <f t="array" ref="G498">IF($H498="","",IFERROR(INDEX('Game Records'!$M:$M,$H498),""))</f>
        <v/>
      </c>
      <c r="H498" s="3"/>
    </row>
    <row r="499" ht="24.0" customHeight="1">
      <c r="A499" s="18" t="str">
        <f t="shared" si="1"/>
        <v/>
      </c>
      <c r="B499" s="18" t="str">
        <f t="shared" si="2"/>
        <v/>
      </c>
      <c r="C499" s="23" t="str">
        <f t="array" ref="C499">IF($H499="","",IFERROR(INDEX('Game Records'!$A:$A,$H499),""))</f>
        <v/>
      </c>
      <c r="D499" s="23" t="str">
        <f t="array" ref="D499">IF($H499="","",IFERROR(INDEX('Game Records'!$U:$U,$H499),""))</f>
        <v/>
      </c>
      <c r="E499" s="23" t="str">
        <f t="array" ref="E499">IF($H499="","",LET(r,$H499,mode,LOWER(INDEX('Game Records'!$D:$D,r)&amp;""),endDate,INDEX('Game Records'!$C:$C,r),IF(mode="estimate",IF(endDate="","Estimate — End Date missing",IF(NOT(ISNUMBER(endDate)),"Estimate — Check End Date",IF(INT(endDate)&gt;=TODAY(),"In Progress — ends "&amp;TEXT(endDate,"mmm d, yyyy"),"Ready to Finalize"))),IF($F499="","No Highlighted Fields","Highlighted Fields Present"))))</f>
        <v/>
      </c>
      <c r="F499" s="23" t="str">
        <f t="array" ref="F499">IF($H499="","",IF(OR(NOT(_xlfn.ISFORMULA(INDEX('Game Records'!$N:$N,$H499))),NOT(_xlfn.ISFORMULA(INDEX('Game Records'!$O:$O,$H499))),NOT(_xlfn.ISFORMULA(INDEX('Game Records'!$P:$P,$H499))),NOT(_xlfn.ISFORMULA(INDEX('Game Records'!$Q:$Q,$H499))),NOT(_xlfn.ISFORMULA(INDEX('Game Records'!$R:$R,$H499))),NOT(_xlfn.ISFORMULA(INDEX('Game Records'!$S:$S,$H499))),NOT(_xlfn.ISFORMULA(INDEX('Game Records'!$T:$T,$H499))),NOT(_xlfn.ISFORMULA(INDEX('Game Records'!$U:$U,$H499))),NOT(_xlfn.ISFORMULA(INDEX('Game Records'!$V:$V,$H499))),NOT(_xlfn.ISFORMULA(INDEX('Game Records'!$W:$W,$H499))),NOT(_xlfn.ISFORMULA(INDEX('Game Records'!$X:$X,$H499))),NOT(_xlfn.ISFORMULA(INDEX('Game Records'!$Y:$Y,$H499))),NOT(_xlfn.ISFORMULA(INDEX('Game Records'!$Z:$Z,$H499)))),"","")&amp;IF(INDEX('Game Records'!$B:$B,$H499)="","Start Date; ","")&amp;IF(INDEX('Game Records'!$C:$C,$H499)="","End Date; ","")&amp;IF(AND(INDEX('Game Records'!$U:$U,$H499)&lt;&gt;"Subscription",INDEX('Game Records'!$U:$U,$H499)&lt;&gt;"Free Game",INDEX('Game Records'!$U:$U,$H499)&lt;&gt;"Disqualified — Free Game",OR(INDEX('Game Records'!$D:$D,$H499)="",LOWER(INDEX('Game Records'!$D:$D,$H499)&amp;"")="n/a")),"Entry Mode; ","")&amp;IF(AND(INDEX('Game Records'!$U:$U,$H499)&lt;&gt;"Subscription",INDEX('Game Records'!$U:$U,$H499)&lt;&gt;"Free Game",INDEX('Game Records'!$U:$U,$H499)&lt;&gt;"Disqualified — Free Game",OR(INDEX('Game Records'!$E:$E,$H499)="",LOWER(INDEX('Game Records'!$E:$E,$H499)&amp;"")="n/a")),"Game Type; ","")&amp;IF(INDEX('Game Records'!$F:$F,$H499)="","Payment Type; ","")&amp;IF(AND(INDEX('Game Records'!$U:$U,$H499)&lt;&gt;"Subscription",INDEX('Game Records'!$U:$U,$H499)&lt;&gt;"Free Game",INDEX('Game Records'!$U:$U,$H499)&lt;&gt;"Disqualified — Free Game",INDEX('Game Records'!$G:$G,$H499)=""),"Gross Pot; ","")&amp;IF(AND(INDEX('Game Records'!$U:$U,$H499)&lt;&gt;"Free Game",INDEX('Game Records'!$U:$U,$H499)&lt;&gt;"Disqualified — Free Game",INDEX('Game Records'!$H:$H,$H499)=""),"Entry Fee; ","")&amp;IF(AND(INDEX('Game Records'!$U:$U,$H499)&lt;&gt;"Subscription",INDEX('Game Records'!$U:$U,$H499)&lt;&gt;"Free Game",INDEX('Game Records'!$U:$U,$H499)&lt;&gt;"Disqualified — Free Game",INDEX('Game Records'!$I:$I,$H499)=""),"Eligible Players; ","")&amp;IF(AND(INDEX('Game Records'!$U:$U,$H499)&lt;&gt;"Subscription",INDEX('Game Records'!$U:$U,$H499)&lt;&gt;"Free Game",INDEX('Game Records'!$U:$U,$H499)&lt;&gt;"Disqualified — Free Game",INDEX('Game Records'!$J:$J,$H499)=""),"Total Players; ","")&amp;IF(AND(LOWER(INDEX('Game Records'!$D:$D,$H499)&amp;"")="finalized",LOWER(INDEX('Game Records'!$L:$L,$H499)&amp;"")&lt;&gt;"yes",INDEX('Game Records'!$U:$U,$H499)&lt;&gt;"Subscription",INDEX('Game Records'!$U:$U,$H499)&lt;&gt;"Free Game",INDEX('Game Records'!$U:$U,$H499)&lt;&gt;"Disqualified — Free Game",INDEX('Game Records'!$K:$K,$H499)=""),"Final Payout; ","")&amp;IF(AND(LOWER(INDEX('Game Records'!$D:$D,$H499)&amp;"")="finalized",INDEX('Game Records'!$U:$U,$H499)&lt;&gt;"Subscription",INDEX('Game Records'!$U:$U,$H499)&lt;&gt;"Free Game",INDEX('Game Records'!$U:$U,$H499)&lt;&gt;"Disqualified — Free Game",OR(INDEX('Game Records'!$L:$L,$H499)="",LOWER(INDEX('Game Records'!$L:$L,$H499)&amp;"")="n/a")),"Disqualified Status; ",""))</f>
        <v/>
      </c>
      <c r="G499" s="23" t="str">
        <f t="array" ref="G499">IF($H499="","",IFERROR(INDEX('Game Records'!$M:$M,$H499),""))</f>
        <v/>
      </c>
      <c r="H499" s="3"/>
    </row>
    <row r="500" ht="24.0" customHeight="1">
      <c r="A500" s="18" t="str">
        <f t="shared" si="1"/>
        <v/>
      </c>
      <c r="B500" s="18" t="str">
        <f t="shared" si="2"/>
        <v/>
      </c>
      <c r="C500" s="23" t="str">
        <f t="array" ref="C500">IF($H500="","",IFERROR(INDEX('Game Records'!$A:$A,$H500),""))</f>
        <v/>
      </c>
      <c r="D500" s="23" t="str">
        <f t="array" ref="D500">IF($H500="","",IFERROR(INDEX('Game Records'!$U:$U,$H500),""))</f>
        <v/>
      </c>
      <c r="E500" s="23" t="str">
        <f t="array" ref="E500">IF($H500="","",LET(r,$H500,mode,LOWER(INDEX('Game Records'!$D:$D,r)&amp;""),endDate,INDEX('Game Records'!$C:$C,r),IF(mode="estimate",IF(endDate="","Estimate — End Date missing",IF(NOT(ISNUMBER(endDate)),"Estimate — Check End Date",IF(INT(endDate)&gt;=TODAY(),"In Progress — ends "&amp;TEXT(endDate,"mmm d, yyyy"),"Ready to Finalize"))),IF($F500="","No Highlighted Fields","Highlighted Fields Present"))))</f>
        <v/>
      </c>
      <c r="F500" s="23" t="str">
        <f t="array" ref="F500">IF($H500="","",IF(OR(NOT(_xlfn.ISFORMULA(INDEX('Game Records'!$N:$N,$H500))),NOT(_xlfn.ISFORMULA(INDEX('Game Records'!$O:$O,$H500))),NOT(_xlfn.ISFORMULA(INDEX('Game Records'!$P:$P,$H500))),NOT(_xlfn.ISFORMULA(INDEX('Game Records'!$Q:$Q,$H500))),NOT(_xlfn.ISFORMULA(INDEX('Game Records'!$R:$R,$H500))),NOT(_xlfn.ISFORMULA(INDEX('Game Records'!$S:$S,$H500))),NOT(_xlfn.ISFORMULA(INDEX('Game Records'!$T:$T,$H500))),NOT(_xlfn.ISFORMULA(INDEX('Game Records'!$U:$U,$H500))),NOT(_xlfn.ISFORMULA(INDEX('Game Records'!$V:$V,$H500))),NOT(_xlfn.ISFORMULA(INDEX('Game Records'!$W:$W,$H500))),NOT(_xlfn.ISFORMULA(INDEX('Game Records'!$X:$X,$H500))),NOT(_xlfn.ISFORMULA(INDEX('Game Records'!$Y:$Y,$H500))),NOT(_xlfn.ISFORMULA(INDEX('Game Records'!$Z:$Z,$H500)))),"","")&amp;IF(INDEX('Game Records'!$B:$B,$H500)="","Start Date; ","")&amp;IF(INDEX('Game Records'!$C:$C,$H500)="","End Date; ","")&amp;IF(AND(INDEX('Game Records'!$U:$U,$H500)&lt;&gt;"Subscription",INDEX('Game Records'!$U:$U,$H500)&lt;&gt;"Free Game",INDEX('Game Records'!$U:$U,$H500)&lt;&gt;"Disqualified — Free Game",OR(INDEX('Game Records'!$D:$D,$H500)="",LOWER(INDEX('Game Records'!$D:$D,$H500)&amp;"")="n/a")),"Entry Mode; ","")&amp;IF(AND(INDEX('Game Records'!$U:$U,$H500)&lt;&gt;"Subscription",INDEX('Game Records'!$U:$U,$H500)&lt;&gt;"Free Game",INDEX('Game Records'!$U:$U,$H500)&lt;&gt;"Disqualified — Free Game",OR(INDEX('Game Records'!$E:$E,$H500)="",LOWER(INDEX('Game Records'!$E:$E,$H500)&amp;"")="n/a")),"Game Type; ","")&amp;IF(INDEX('Game Records'!$F:$F,$H500)="","Payment Type; ","")&amp;IF(AND(INDEX('Game Records'!$U:$U,$H500)&lt;&gt;"Subscription",INDEX('Game Records'!$U:$U,$H500)&lt;&gt;"Free Game",INDEX('Game Records'!$U:$U,$H500)&lt;&gt;"Disqualified — Free Game",INDEX('Game Records'!$G:$G,$H500)=""),"Gross Pot; ","")&amp;IF(AND(INDEX('Game Records'!$U:$U,$H500)&lt;&gt;"Free Game",INDEX('Game Records'!$U:$U,$H500)&lt;&gt;"Disqualified — Free Game",INDEX('Game Records'!$H:$H,$H500)=""),"Entry Fee; ","")&amp;IF(AND(INDEX('Game Records'!$U:$U,$H500)&lt;&gt;"Subscription",INDEX('Game Records'!$U:$U,$H500)&lt;&gt;"Free Game",INDEX('Game Records'!$U:$U,$H500)&lt;&gt;"Disqualified — Free Game",INDEX('Game Records'!$I:$I,$H500)=""),"Eligible Players; ","")&amp;IF(AND(INDEX('Game Records'!$U:$U,$H500)&lt;&gt;"Subscription",INDEX('Game Records'!$U:$U,$H500)&lt;&gt;"Free Game",INDEX('Game Records'!$U:$U,$H500)&lt;&gt;"Disqualified — Free Game",INDEX('Game Records'!$J:$J,$H500)=""),"Total Players; ","")&amp;IF(AND(LOWER(INDEX('Game Records'!$D:$D,$H500)&amp;"")="finalized",LOWER(INDEX('Game Records'!$L:$L,$H500)&amp;"")&lt;&gt;"yes",INDEX('Game Records'!$U:$U,$H500)&lt;&gt;"Subscription",INDEX('Game Records'!$U:$U,$H500)&lt;&gt;"Free Game",INDEX('Game Records'!$U:$U,$H500)&lt;&gt;"Disqualified — Free Game",INDEX('Game Records'!$K:$K,$H500)=""),"Final Payout; ","")&amp;IF(AND(LOWER(INDEX('Game Records'!$D:$D,$H500)&amp;"")="finalized",INDEX('Game Records'!$U:$U,$H500)&lt;&gt;"Subscription",INDEX('Game Records'!$U:$U,$H500)&lt;&gt;"Free Game",INDEX('Game Records'!$U:$U,$H500)&lt;&gt;"Disqualified — Free Game",OR(INDEX('Game Records'!$L:$L,$H500)="",LOWER(INDEX('Game Records'!$L:$L,$H500)&amp;"")="n/a")),"Disqualified Status; ",""))</f>
        <v/>
      </c>
      <c r="G500" s="23" t="str">
        <f t="array" ref="G500">IF($H500="","",IFERROR(INDEX('Game Records'!$M:$M,$H500),""))</f>
        <v/>
      </c>
      <c r="H500" s="3"/>
    </row>
    <row r="501" ht="24.0" customHeight="1">
      <c r="A501" s="18" t="str">
        <f t="shared" si="1"/>
        <v/>
      </c>
      <c r="B501" s="18" t="str">
        <f t="shared" si="2"/>
        <v/>
      </c>
      <c r="C501" s="23" t="str">
        <f t="array" ref="C501">IF($H501="","",IFERROR(INDEX('Game Records'!$A:$A,$H501),""))</f>
        <v/>
      </c>
      <c r="D501" s="23" t="str">
        <f t="array" ref="D501">IF($H501="","",IFERROR(INDEX('Game Records'!$U:$U,$H501),""))</f>
        <v/>
      </c>
      <c r="E501" s="23" t="str">
        <f t="array" ref="E501">IF($H501="","",LET(r,$H501,mode,LOWER(INDEX('Game Records'!$D:$D,r)&amp;""),endDate,INDEX('Game Records'!$C:$C,r),IF(mode="estimate",IF(endDate="","Estimate — End Date missing",IF(NOT(ISNUMBER(endDate)),"Estimate — Check End Date",IF(INT(endDate)&gt;=TODAY(),"In Progress — ends "&amp;TEXT(endDate,"mmm d, yyyy"),"Ready to Finalize"))),IF($F501="","No Highlighted Fields","Highlighted Fields Present"))))</f>
        <v/>
      </c>
      <c r="F501" s="23" t="str">
        <f t="array" ref="F501">IF($H501="","",IF(OR(NOT(_xlfn.ISFORMULA(INDEX('Game Records'!$N:$N,$H501))),NOT(_xlfn.ISFORMULA(INDEX('Game Records'!$O:$O,$H501))),NOT(_xlfn.ISFORMULA(INDEX('Game Records'!$P:$P,$H501))),NOT(_xlfn.ISFORMULA(INDEX('Game Records'!$Q:$Q,$H501))),NOT(_xlfn.ISFORMULA(INDEX('Game Records'!$R:$R,$H501))),NOT(_xlfn.ISFORMULA(INDEX('Game Records'!$S:$S,$H501))),NOT(_xlfn.ISFORMULA(INDEX('Game Records'!$T:$T,$H501))),NOT(_xlfn.ISFORMULA(INDEX('Game Records'!$U:$U,$H501))),NOT(_xlfn.ISFORMULA(INDEX('Game Records'!$V:$V,$H501))),NOT(_xlfn.ISFORMULA(INDEX('Game Records'!$W:$W,$H501))),NOT(_xlfn.ISFORMULA(INDEX('Game Records'!$X:$X,$H501))),NOT(_xlfn.ISFORMULA(INDEX('Game Records'!$Y:$Y,$H501))),NOT(_xlfn.ISFORMULA(INDEX('Game Records'!$Z:$Z,$H501)))),"","")&amp;IF(INDEX('Game Records'!$B:$B,$H501)="","Start Date; ","")&amp;IF(INDEX('Game Records'!$C:$C,$H501)="","End Date; ","")&amp;IF(AND(INDEX('Game Records'!$U:$U,$H501)&lt;&gt;"Subscription",INDEX('Game Records'!$U:$U,$H501)&lt;&gt;"Free Game",INDEX('Game Records'!$U:$U,$H501)&lt;&gt;"Disqualified — Free Game",OR(INDEX('Game Records'!$D:$D,$H501)="",LOWER(INDEX('Game Records'!$D:$D,$H501)&amp;"")="n/a")),"Entry Mode; ","")&amp;IF(AND(INDEX('Game Records'!$U:$U,$H501)&lt;&gt;"Subscription",INDEX('Game Records'!$U:$U,$H501)&lt;&gt;"Free Game",INDEX('Game Records'!$U:$U,$H501)&lt;&gt;"Disqualified — Free Game",OR(INDEX('Game Records'!$E:$E,$H501)="",LOWER(INDEX('Game Records'!$E:$E,$H501)&amp;"")="n/a")),"Game Type; ","")&amp;IF(INDEX('Game Records'!$F:$F,$H501)="","Payment Type; ","")&amp;IF(AND(INDEX('Game Records'!$U:$U,$H501)&lt;&gt;"Subscription",INDEX('Game Records'!$U:$U,$H501)&lt;&gt;"Free Game",INDEX('Game Records'!$U:$U,$H501)&lt;&gt;"Disqualified — Free Game",INDEX('Game Records'!$G:$G,$H501)=""),"Gross Pot; ","")&amp;IF(AND(INDEX('Game Records'!$U:$U,$H501)&lt;&gt;"Free Game",INDEX('Game Records'!$U:$U,$H501)&lt;&gt;"Disqualified — Free Game",INDEX('Game Records'!$H:$H,$H501)=""),"Entry Fee; ","")&amp;IF(AND(INDEX('Game Records'!$U:$U,$H501)&lt;&gt;"Subscription",INDEX('Game Records'!$U:$U,$H501)&lt;&gt;"Free Game",INDEX('Game Records'!$U:$U,$H501)&lt;&gt;"Disqualified — Free Game",INDEX('Game Records'!$I:$I,$H501)=""),"Eligible Players; ","")&amp;IF(AND(INDEX('Game Records'!$U:$U,$H501)&lt;&gt;"Subscription",INDEX('Game Records'!$U:$U,$H501)&lt;&gt;"Free Game",INDEX('Game Records'!$U:$U,$H501)&lt;&gt;"Disqualified — Free Game",INDEX('Game Records'!$J:$J,$H501)=""),"Total Players; ","")&amp;IF(AND(LOWER(INDEX('Game Records'!$D:$D,$H501)&amp;"")="finalized",LOWER(INDEX('Game Records'!$L:$L,$H501)&amp;"")&lt;&gt;"yes",INDEX('Game Records'!$U:$U,$H501)&lt;&gt;"Subscription",INDEX('Game Records'!$U:$U,$H501)&lt;&gt;"Free Game",INDEX('Game Records'!$U:$U,$H501)&lt;&gt;"Disqualified — Free Game",INDEX('Game Records'!$K:$K,$H501)=""),"Final Payout; ","")&amp;IF(AND(LOWER(INDEX('Game Records'!$D:$D,$H501)&amp;"")="finalized",INDEX('Game Records'!$U:$U,$H501)&lt;&gt;"Subscription",INDEX('Game Records'!$U:$U,$H501)&lt;&gt;"Free Game",INDEX('Game Records'!$U:$U,$H501)&lt;&gt;"Disqualified — Free Game",OR(INDEX('Game Records'!$L:$L,$H501)="",LOWER(INDEX('Game Records'!$L:$L,$H501)&amp;"")="n/a")),"Disqualified Status; ",""))</f>
        <v/>
      </c>
      <c r="G501" s="23" t="str">
        <f t="array" ref="G501">IF($H501="","",IFERROR(INDEX('Game Records'!$M:$M,$H501),""))</f>
        <v/>
      </c>
      <c r="H501" s="3"/>
    </row>
    <row r="502" ht="24.0" customHeight="1">
      <c r="A502" s="18" t="str">
        <f t="shared" si="1"/>
        <v/>
      </c>
      <c r="B502" s="18" t="str">
        <f t="shared" si="2"/>
        <v/>
      </c>
      <c r="C502" s="23" t="str">
        <f t="array" ref="C502">IF($H502="","",IFERROR(INDEX('Game Records'!$A:$A,$H502),""))</f>
        <v/>
      </c>
      <c r="D502" s="23" t="str">
        <f t="array" ref="D502">IF($H502="","",IFERROR(INDEX('Game Records'!$U:$U,$H502),""))</f>
        <v/>
      </c>
      <c r="E502" s="23" t="str">
        <f t="array" ref="E502">IF($H502="","",LET(r,$H502,mode,LOWER(INDEX('Game Records'!$D:$D,r)&amp;""),endDate,INDEX('Game Records'!$C:$C,r),IF(mode="estimate",IF(endDate="","Estimate — End Date missing",IF(NOT(ISNUMBER(endDate)),"Estimate — Check End Date",IF(INT(endDate)&gt;=TODAY(),"In Progress — ends "&amp;TEXT(endDate,"mmm d, yyyy"),"Ready to Finalize"))),IF($F502="","No Highlighted Fields","Highlighted Fields Present"))))</f>
        <v/>
      </c>
      <c r="F502" s="23" t="str">
        <f t="array" ref="F502">IF($H502="","",IF(OR(NOT(_xlfn.ISFORMULA(INDEX('Game Records'!$N:$N,$H502))),NOT(_xlfn.ISFORMULA(INDEX('Game Records'!$O:$O,$H502))),NOT(_xlfn.ISFORMULA(INDEX('Game Records'!$P:$P,$H502))),NOT(_xlfn.ISFORMULA(INDEX('Game Records'!$Q:$Q,$H502))),NOT(_xlfn.ISFORMULA(INDEX('Game Records'!$R:$R,$H502))),NOT(_xlfn.ISFORMULA(INDEX('Game Records'!$S:$S,$H502))),NOT(_xlfn.ISFORMULA(INDEX('Game Records'!$T:$T,$H502))),NOT(_xlfn.ISFORMULA(INDEX('Game Records'!$U:$U,$H502))),NOT(_xlfn.ISFORMULA(INDEX('Game Records'!$V:$V,$H502))),NOT(_xlfn.ISFORMULA(INDEX('Game Records'!$W:$W,$H502))),NOT(_xlfn.ISFORMULA(INDEX('Game Records'!$X:$X,$H502))),NOT(_xlfn.ISFORMULA(INDEX('Game Records'!$Y:$Y,$H502))),NOT(_xlfn.ISFORMULA(INDEX('Game Records'!$Z:$Z,$H502)))),"","")&amp;IF(INDEX('Game Records'!$B:$B,$H502)="","Start Date; ","")&amp;IF(INDEX('Game Records'!$C:$C,$H502)="","End Date; ","")&amp;IF(AND(INDEX('Game Records'!$U:$U,$H502)&lt;&gt;"Subscription",INDEX('Game Records'!$U:$U,$H502)&lt;&gt;"Free Game",INDEX('Game Records'!$U:$U,$H502)&lt;&gt;"Disqualified — Free Game",OR(INDEX('Game Records'!$D:$D,$H502)="",LOWER(INDEX('Game Records'!$D:$D,$H502)&amp;"")="n/a")),"Entry Mode; ","")&amp;IF(AND(INDEX('Game Records'!$U:$U,$H502)&lt;&gt;"Subscription",INDEX('Game Records'!$U:$U,$H502)&lt;&gt;"Free Game",INDEX('Game Records'!$U:$U,$H502)&lt;&gt;"Disqualified — Free Game",OR(INDEX('Game Records'!$E:$E,$H502)="",LOWER(INDEX('Game Records'!$E:$E,$H502)&amp;"")="n/a")),"Game Type; ","")&amp;IF(INDEX('Game Records'!$F:$F,$H502)="","Payment Type; ","")&amp;IF(AND(INDEX('Game Records'!$U:$U,$H502)&lt;&gt;"Subscription",INDEX('Game Records'!$U:$U,$H502)&lt;&gt;"Free Game",INDEX('Game Records'!$U:$U,$H502)&lt;&gt;"Disqualified — Free Game",INDEX('Game Records'!$G:$G,$H502)=""),"Gross Pot; ","")&amp;IF(AND(INDEX('Game Records'!$U:$U,$H502)&lt;&gt;"Free Game",INDEX('Game Records'!$U:$U,$H502)&lt;&gt;"Disqualified — Free Game",INDEX('Game Records'!$H:$H,$H502)=""),"Entry Fee; ","")&amp;IF(AND(INDEX('Game Records'!$U:$U,$H502)&lt;&gt;"Subscription",INDEX('Game Records'!$U:$U,$H502)&lt;&gt;"Free Game",INDEX('Game Records'!$U:$U,$H502)&lt;&gt;"Disqualified — Free Game",INDEX('Game Records'!$I:$I,$H502)=""),"Eligible Players; ","")&amp;IF(AND(INDEX('Game Records'!$U:$U,$H502)&lt;&gt;"Subscription",INDEX('Game Records'!$U:$U,$H502)&lt;&gt;"Free Game",INDEX('Game Records'!$U:$U,$H502)&lt;&gt;"Disqualified — Free Game",INDEX('Game Records'!$J:$J,$H502)=""),"Total Players; ","")&amp;IF(AND(LOWER(INDEX('Game Records'!$D:$D,$H502)&amp;"")="finalized",LOWER(INDEX('Game Records'!$L:$L,$H502)&amp;"")&lt;&gt;"yes",INDEX('Game Records'!$U:$U,$H502)&lt;&gt;"Subscription",INDEX('Game Records'!$U:$U,$H502)&lt;&gt;"Free Game",INDEX('Game Records'!$U:$U,$H502)&lt;&gt;"Disqualified — Free Game",INDEX('Game Records'!$K:$K,$H502)=""),"Final Payout; ","")&amp;IF(AND(LOWER(INDEX('Game Records'!$D:$D,$H502)&amp;"")="finalized",INDEX('Game Records'!$U:$U,$H502)&lt;&gt;"Subscription",INDEX('Game Records'!$U:$U,$H502)&lt;&gt;"Free Game",INDEX('Game Records'!$U:$U,$H502)&lt;&gt;"Disqualified — Free Game",OR(INDEX('Game Records'!$L:$L,$H502)="",LOWER(INDEX('Game Records'!$L:$L,$H502)&amp;"")="n/a")),"Disqualified Status; ",""))</f>
        <v/>
      </c>
      <c r="G502" s="23" t="str">
        <f t="array" ref="G502">IF($H502="","",IFERROR(INDEX('Game Records'!$M:$M,$H502),""))</f>
        <v/>
      </c>
      <c r="H502" s="3"/>
    </row>
    <row r="503" ht="24.0" customHeight="1">
      <c r="A503" s="18" t="str">
        <f t="shared" si="1"/>
        <v/>
      </c>
      <c r="B503" s="18" t="str">
        <f t="shared" si="2"/>
        <v/>
      </c>
      <c r="C503" s="23" t="str">
        <f t="array" ref="C503">IF($H503="","",IFERROR(INDEX('Game Records'!$A:$A,$H503),""))</f>
        <v/>
      </c>
      <c r="D503" s="23" t="str">
        <f t="array" ref="D503">IF($H503="","",IFERROR(INDEX('Game Records'!$U:$U,$H503),""))</f>
        <v/>
      </c>
      <c r="E503" s="23" t="str">
        <f t="array" ref="E503">IF($H503="","",LET(r,$H503,mode,LOWER(INDEX('Game Records'!$D:$D,r)&amp;""),endDate,INDEX('Game Records'!$C:$C,r),IF(mode="estimate",IF(endDate="","Estimate — End Date missing",IF(NOT(ISNUMBER(endDate)),"Estimate — Check End Date",IF(INT(endDate)&gt;=TODAY(),"In Progress — ends "&amp;TEXT(endDate,"mmm d, yyyy"),"Ready to Finalize"))),IF($F503="","No Highlighted Fields","Highlighted Fields Present"))))</f>
        <v/>
      </c>
      <c r="F503" s="23" t="str">
        <f t="array" ref="F503">IF($H503="","",IF(OR(NOT(_xlfn.ISFORMULA(INDEX('Game Records'!$N:$N,$H503))),NOT(_xlfn.ISFORMULA(INDEX('Game Records'!$O:$O,$H503))),NOT(_xlfn.ISFORMULA(INDEX('Game Records'!$P:$P,$H503))),NOT(_xlfn.ISFORMULA(INDEX('Game Records'!$Q:$Q,$H503))),NOT(_xlfn.ISFORMULA(INDEX('Game Records'!$R:$R,$H503))),NOT(_xlfn.ISFORMULA(INDEX('Game Records'!$S:$S,$H503))),NOT(_xlfn.ISFORMULA(INDEX('Game Records'!$T:$T,$H503))),NOT(_xlfn.ISFORMULA(INDEX('Game Records'!$U:$U,$H503))),NOT(_xlfn.ISFORMULA(INDEX('Game Records'!$V:$V,$H503))),NOT(_xlfn.ISFORMULA(INDEX('Game Records'!$W:$W,$H503))),NOT(_xlfn.ISFORMULA(INDEX('Game Records'!$X:$X,$H503))),NOT(_xlfn.ISFORMULA(INDEX('Game Records'!$Y:$Y,$H503))),NOT(_xlfn.ISFORMULA(INDEX('Game Records'!$Z:$Z,$H503)))),"","")&amp;IF(INDEX('Game Records'!$B:$B,$H503)="","Start Date; ","")&amp;IF(INDEX('Game Records'!$C:$C,$H503)="","End Date; ","")&amp;IF(AND(INDEX('Game Records'!$U:$U,$H503)&lt;&gt;"Subscription",INDEX('Game Records'!$U:$U,$H503)&lt;&gt;"Free Game",INDEX('Game Records'!$U:$U,$H503)&lt;&gt;"Disqualified — Free Game",OR(INDEX('Game Records'!$D:$D,$H503)="",LOWER(INDEX('Game Records'!$D:$D,$H503)&amp;"")="n/a")),"Entry Mode; ","")&amp;IF(AND(INDEX('Game Records'!$U:$U,$H503)&lt;&gt;"Subscription",INDEX('Game Records'!$U:$U,$H503)&lt;&gt;"Free Game",INDEX('Game Records'!$U:$U,$H503)&lt;&gt;"Disqualified — Free Game",OR(INDEX('Game Records'!$E:$E,$H503)="",LOWER(INDEX('Game Records'!$E:$E,$H503)&amp;"")="n/a")),"Game Type; ","")&amp;IF(INDEX('Game Records'!$F:$F,$H503)="","Payment Type; ","")&amp;IF(AND(INDEX('Game Records'!$U:$U,$H503)&lt;&gt;"Subscription",INDEX('Game Records'!$U:$U,$H503)&lt;&gt;"Free Game",INDEX('Game Records'!$U:$U,$H503)&lt;&gt;"Disqualified — Free Game",INDEX('Game Records'!$G:$G,$H503)=""),"Gross Pot; ","")&amp;IF(AND(INDEX('Game Records'!$U:$U,$H503)&lt;&gt;"Free Game",INDEX('Game Records'!$U:$U,$H503)&lt;&gt;"Disqualified — Free Game",INDEX('Game Records'!$H:$H,$H503)=""),"Entry Fee; ","")&amp;IF(AND(INDEX('Game Records'!$U:$U,$H503)&lt;&gt;"Subscription",INDEX('Game Records'!$U:$U,$H503)&lt;&gt;"Free Game",INDEX('Game Records'!$U:$U,$H503)&lt;&gt;"Disqualified — Free Game",INDEX('Game Records'!$I:$I,$H503)=""),"Eligible Players; ","")&amp;IF(AND(INDEX('Game Records'!$U:$U,$H503)&lt;&gt;"Subscription",INDEX('Game Records'!$U:$U,$H503)&lt;&gt;"Free Game",INDEX('Game Records'!$U:$U,$H503)&lt;&gt;"Disqualified — Free Game",INDEX('Game Records'!$J:$J,$H503)=""),"Total Players; ","")&amp;IF(AND(LOWER(INDEX('Game Records'!$D:$D,$H503)&amp;"")="finalized",LOWER(INDEX('Game Records'!$L:$L,$H503)&amp;"")&lt;&gt;"yes",INDEX('Game Records'!$U:$U,$H503)&lt;&gt;"Subscription",INDEX('Game Records'!$U:$U,$H503)&lt;&gt;"Free Game",INDEX('Game Records'!$U:$U,$H503)&lt;&gt;"Disqualified — Free Game",INDEX('Game Records'!$K:$K,$H503)=""),"Final Payout; ","")&amp;IF(AND(LOWER(INDEX('Game Records'!$D:$D,$H503)&amp;"")="finalized",INDEX('Game Records'!$U:$U,$H503)&lt;&gt;"Subscription",INDEX('Game Records'!$U:$U,$H503)&lt;&gt;"Free Game",INDEX('Game Records'!$U:$U,$H503)&lt;&gt;"Disqualified — Free Game",OR(INDEX('Game Records'!$L:$L,$H503)="",LOWER(INDEX('Game Records'!$L:$L,$H503)&amp;"")="n/a")),"Disqualified Status; ",""))</f>
        <v/>
      </c>
      <c r="G503" s="23" t="str">
        <f t="array" ref="G503">IF($H503="","",IFERROR(INDEX('Game Records'!$M:$M,$H503),""))</f>
        <v/>
      </c>
      <c r="H503" s="3"/>
    </row>
    <row r="504" ht="24.0" customHeight="1">
      <c r="A504" s="18" t="str">
        <f t="shared" si="1"/>
        <v/>
      </c>
      <c r="B504" s="18" t="str">
        <f t="shared" si="2"/>
        <v/>
      </c>
      <c r="C504" s="23" t="str">
        <f t="array" ref="C504">IF($H504="","",IFERROR(INDEX('Game Records'!$A:$A,$H504),""))</f>
        <v/>
      </c>
      <c r="D504" s="23" t="str">
        <f t="array" ref="D504">IF($H504="","",IFERROR(INDEX('Game Records'!$U:$U,$H504),""))</f>
        <v/>
      </c>
      <c r="E504" s="23" t="str">
        <f t="array" ref="E504">IF($H504="","",LET(r,$H504,mode,LOWER(INDEX('Game Records'!$D:$D,r)&amp;""),endDate,INDEX('Game Records'!$C:$C,r),IF(mode="estimate",IF(endDate="","Estimate — End Date missing",IF(NOT(ISNUMBER(endDate)),"Estimate — Check End Date",IF(INT(endDate)&gt;=TODAY(),"In Progress — ends "&amp;TEXT(endDate,"mmm d, yyyy"),"Ready to Finalize"))),IF($F504="","No Highlighted Fields","Highlighted Fields Present"))))</f>
        <v/>
      </c>
      <c r="F504" s="23" t="str">
        <f t="array" ref="F504">IF($H504="","",IF(OR(NOT(_xlfn.ISFORMULA(INDEX('Game Records'!$N:$N,$H504))),NOT(_xlfn.ISFORMULA(INDEX('Game Records'!$O:$O,$H504))),NOT(_xlfn.ISFORMULA(INDEX('Game Records'!$P:$P,$H504))),NOT(_xlfn.ISFORMULA(INDEX('Game Records'!$Q:$Q,$H504))),NOT(_xlfn.ISFORMULA(INDEX('Game Records'!$R:$R,$H504))),NOT(_xlfn.ISFORMULA(INDEX('Game Records'!$S:$S,$H504))),NOT(_xlfn.ISFORMULA(INDEX('Game Records'!$T:$T,$H504))),NOT(_xlfn.ISFORMULA(INDEX('Game Records'!$U:$U,$H504))),NOT(_xlfn.ISFORMULA(INDEX('Game Records'!$V:$V,$H504))),NOT(_xlfn.ISFORMULA(INDEX('Game Records'!$W:$W,$H504))),NOT(_xlfn.ISFORMULA(INDEX('Game Records'!$X:$X,$H504))),NOT(_xlfn.ISFORMULA(INDEX('Game Records'!$Y:$Y,$H504))),NOT(_xlfn.ISFORMULA(INDEX('Game Records'!$Z:$Z,$H504)))),"","")&amp;IF(INDEX('Game Records'!$B:$B,$H504)="","Start Date; ","")&amp;IF(INDEX('Game Records'!$C:$C,$H504)="","End Date; ","")&amp;IF(AND(INDEX('Game Records'!$U:$U,$H504)&lt;&gt;"Subscription",INDEX('Game Records'!$U:$U,$H504)&lt;&gt;"Free Game",INDEX('Game Records'!$U:$U,$H504)&lt;&gt;"Disqualified — Free Game",OR(INDEX('Game Records'!$D:$D,$H504)="",LOWER(INDEX('Game Records'!$D:$D,$H504)&amp;"")="n/a")),"Entry Mode; ","")&amp;IF(AND(INDEX('Game Records'!$U:$U,$H504)&lt;&gt;"Subscription",INDEX('Game Records'!$U:$U,$H504)&lt;&gt;"Free Game",INDEX('Game Records'!$U:$U,$H504)&lt;&gt;"Disqualified — Free Game",OR(INDEX('Game Records'!$E:$E,$H504)="",LOWER(INDEX('Game Records'!$E:$E,$H504)&amp;"")="n/a")),"Game Type; ","")&amp;IF(INDEX('Game Records'!$F:$F,$H504)="","Payment Type; ","")&amp;IF(AND(INDEX('Game Records'!$U:$U,$H504)&lt;&gt;"Subscription",INDEX('Game Records'!$U:$U,$H504)&lt;&gt;"Free Game",INDEX('Game Records'!$U:$U,$H504)&lt;&gt;"Disqualified — Free Game",INDEX('Game Records'!$G:$G,$H504)=""),"Gross Pot; ","")&amp;IF(AND(INDEX('Game Records'!$U:$U,$H504)&lt;&gt;"Free Game",INDEX('Game Records'!$U:$U,$H504)&lt;&gt;"Disqualified — Free Game",INDEX('Game Records'!$H:$H,$H504)=""),"Entry Fee; ","")&amp;IF(AND(INDEX('Game Records'!$U:$U,$H504)&lt;&gt;"Subscription",INDEX('Game Records'!$U:$U,$H504)&lt;&gt;"Free Game",INDEX('Game Records'!$U:$U,$H504)&lt;&gt;"Disqualified — Free Game",INDEX('Game Records'!$I:$I,$H504)=""),"Eligible Players; ","")&amp;IF(AND(INDEX('Game Records'!$U:$U,$H504)&lt;&gt;"Subscription",INDEX('Game Records'!$U:$U,$H504)&lt;&gt;"Free Game",INDEX('Game Records'!$U:$U,$H504)&lt;&gt;"Disqualified — Free Game",INDEX('Game Records'!$J:$J,$H504)=""),"Total Players; ","")&amp;IF(AND(LOWER(INDEX('Game Records'!$D:$D,$H504)&amp;"")="finalized",LOWER(INDEX('Game Records'!$L:$L,$H504)&amp;"")&lt;&gt;"yes",INDEX('Game Records'!$U:$U,$H504)&lt;&gt;"Subscription",INDEX('Game Records'!$U:$U,$H504)&lt;&gt;"Free Game",INDEX('Game Records'!$U:$U,$H504)&lt;&gt;"Disqualified — Free Game",INDEX('Game Records'!$K:$K,$H504)=""),"Final Payout; ","")&amp;IF(AND(LOWER(INDEX('Game Records'!$D:$D,$H504)&amp;"")="finalized",INDEX('Game Records'!$U:$U,$H504)&lt;&gt;"Subscription",INDEX('Game Records'!$U:$U,$H504)&lt;&gt;"Free Game",INDEX('Game Records'!$U:$U,$H504)&lt;&gt;"Disqualified — Free Game",OR(INDEX('Game Records'!$L:$L,$H504)="",LOWER(INDEX('Game Records'!$L:$L,$H504)&amp;"")="n/a")),"Disqualified Status; ",""))</f>
        <v/>
      </c>
      <c r="G504" s="23" t="str">
        <f t="array" ref="G504">IF($H504="","",IFERROR(INDEX('Game Records'!$M:$M,$H504),""))</f>
        <v/>
      </c>
      <c r="H504" s="3"/>
    </row>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conditionalFormatting sqref="E5:E504">
    <cfRule type="expression" dxfId="7" priority="1" stopIfTrue="1">
      <formula>$E5="No Highlighted Fields"</formula>
    </cfRule>
  </conditionalFormatting>
  <conditionalFormatting sqref="E5:E504">
    <cfRule type="expression" dxfId="8" priority="2" stopIfTrue="1">
      <formula>$E5="Highlighted Fields Present"</formula>
    </cfRule>
  </conditionalFormatting>
  <conditionalFormatting sqref="E5:E504">
    <cfRule type="expression" dxfId="4" priority="3" stopIfTrue="1">
      <formula>LEFT($E5,10)="Estimate —"</formula>
    </cfRule>
  </conditionalFormatting>
  <conditionalFormatting sqref="E5:E504">
    <cfRule type="expression" dxfId="5" priority="4" stopIfTrue="1">
      <formula>$E5="Ready to Finalize"</formula>
    </cfRule>
  </conditionalFormatting>
  <conditionalFormatting sqref="E5:E504">
    <cfRule type="expression" dxfId="3" priority="5" stopIfTrue="1">
      <formula>LEFT($E5,11)="In Progress"</formula>
    </cfRule>
  </conditionalFormatting>
  <conditionalFormatting sqref="D5:D500">
    <cfRule type="expression" dxfId="8" priority="6">
      <formula>$D5="Highlighted Fields Present"</formula>
    </cfRule>
  </conditionalFormatting>
  <conditionalFormatting sqref="D5:D500">
    <cfRule type="expression" dxfId="7" priority="7">
      <formula>$D5="No Highlighted Fields"</formula>
    </cfRule>
  </conditionalFormatting>
  <conditionalFormatting sqref="A5:G504">
    <cfRule type="expression" dxfId="9" priority="8">
      <formula>AND($A5&lt;&gt;"",MOD($A5,2)=1)</formula>
    </cfRule>
  </conditionalFormatting>
  <conditionalFormatting sqref="A5:G504">
    <cfRule type="expression" dxfId="10" priority="9">
      <formula>AND($A5&lt;&gt;"",MOD($A5,2)=0)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13.0"/>
    <col customWidth="1" min="3" max="3" width="24.0"/>
    <col customWidth="1" min="4" max="4" width="27.0"/>
    <col customWidth="1" min="5" max="5" width="15.0"/>
    <col customWidth="1" min="6" max="6" width="42.0"/>
  </cols>
  <sheetData>
    <row r="1">
      <c r="A1" s="2" t="s">
        <v>1</v>
      </c>
    </row>
    <row r="2">
      <c r="A2" s="3"/>
      <c r="B2" s="3"/>
      <c r="C2" s="3"/>
      <c r="D2" s="3"/>
      <c r="E2" s="3"/>
      <c r="F2" s="3"/>
    </row>
    <row r="3">
      <c r="A3" s="6" t="s">
        <v>4</v>
      </c>
      <c r="B3" s="6" t="s">
        <v>5</v>
      </c>
      <c r="C3" s="6" t="s">
        <v>6</v>
      </c>
      <c r="D3" s="6" t="s">
        <v>7</v>
      </c>
      <c r="E3" s="6" t="s">
        <v>8</v>
      </c>
      <c r="F3" s="6" t="s">
        <v>9</v>
      </c>
    </row>
    <row r="4">
      <c r="A4" s="8" t="s">
        <v>11</v>
      </c>
      <c r="B4" s="8">
        <f>COUNTIF('Game Records'!$U:$U,"Profit")</f>
        <v>0</v>
      </c>
      <c r="C4" s="15">
        <f t="shared" ref="C4:C6" si="1">IF($B$7=0,0,B4/$B$7)</f>
        <v>0</v>
      </c>
      <c r="D4" s="8" t="s">
        <v>28</v>
      </c>
      <c r="E4" s="17">
        <f>Instructions!$B$32+SUM('Game Records'!$W:$W)</f>
        <v>0</v>
      </c>
      <c r="F4" s="8" t="s">
        <v>39</v>
      </c>
    </row>
    <row r="5">
      <c r="A5" s="8" t="s">
        <v>41</v>
      </c>
      <c r="B5" s="8">
        <f>COUNTIF('Game Records'!$U:$U,"Draw")</f>
        <v>0</v>
      </c>
      <c r="C5" s="15">
        <f t="shared" si="1"/>
        <v>0</v>
      </c>
      <c r="D5" s="8" t="s">
        <v>45</v>
      </c>
      <c r="E5" s="17">
        <f>SUM('Game Records'!$Q:$Q)</f>
        <v>0</v>
      </c>
      <c r="F5" s="8" t="s">
        <v>48</v>
      </c>
    </row>
    <row r="6">
      <c r="A6" s="8" t="s">
        <v>52</v>
      </c>
      <c r="B6" s="8">
        <f>COUNTIF('Game Records'!$U:$U,"Disqualified")</f>
        <v>0</v>
      </c>
      <c r="C6" s="15">
        <f t="shared" si="1"/>
        <v>0</v>
      </c>
      <c r="D6" s="8" t="s">
        <v>57</v>
      </c>
      <c r="E6" s="17">
        <f>SUM('Game Records'!$S:$S)</f>
        <v>0</v>
      </c>
      <c r="F6" s="8" t="s">
        <v>59</v>
      </c>
    </row>
    <row r="7">
      <c r="A7" s="8" t="s">
        <v>60</v>
      </c>
      <c r="B7" s="8">
        <f>SUM(B4:B6)</f>
        <v>0</v>
      </c>
      <c r="C7" s="15">
        <f>IF(B7=0,0,1)</f>
        <v>0</v>
      </c>
      <c r="D7" s="8" t="s">
        <v>65</v>
      </c>
      <c r="E7" s="17">
        <f>Instructions!$B$33+SUMIFS('Game Records'!$H:$H,'Game Records'!$U:$U,"Subscription")</f>
        <v>0</v>
      </c>
      <c r="F7" s="8" t="s">
        <v>68</v>
      </c>
    </row>
    <row r="8">
      <c r="A8" s="8" t="s">
        <v>70</v>
      </c>
      <c r="B8" s="19">
        <f>Instructions!$B$34</f>
        <v>0</v>
      </c>
      <c r="C8" s="8"/>
      <c r="D8" s="8" t="s">
        <v>75</v>
      </c>
      <c r="E8" s="17">
        <f>E4-E7</f>
        <v>0</v>
      </c>
      <c r="F8" s="8" t="s">
        <v>77</v>
      </c>
    </row>
    <row r="9">
      <c r="A9" s="8" t="s">
        <v>78</v>
      </c>
      <c r="B9" s="20">
        <f>COUNTIFS('Game Records'!$D:$D,"Finalized",'Game Records'!$U:$U,"Free Game")+COUNTIFS('Game Records'!$D:$D,"Finalized",'Game Records'!$U:$U,"Disqualified — Free Game")</f>
        <v>0</v>
      </c>
      <c r="C9" s="21" t="s">
        <v>82</v>
      </c>
      <c r="D9" s="8" t="s">
        <v>84</v>
      </c>
      <c r="E9" s="25">
        <f>SUMIFS('Game Records'!$K:$K,'Game Records'!$D:$D,"Finalized",'Game Records'!$U:$U,"Free Game",'Game Records'!$K:$K,"&lt;&gt;",'Game Records'!$K:$K,"&gt;=0")</f>
        <v>0</v>
      </c>
      <c r="F9" s="8" t="s">
        <v>87</v>
      </c>
    </row>
    <row r="10">
      <c r="A10" s="3"/>
      <c r="B10" s="3"/>
      <c r="C10" s="3"/>
      <c r="D10" s="3"/>
      <c r="E10" s="3"/>
      <c r="F10" s="3"/>
    </row>
    <row r="11">
      <c r="A11" s="3"/>
      <c r="B11" s="3"/>
      <c r="C11" s="3"/>
      <c r="D11" s="3"/>
      <c r="E11" s="3"/>
      <c r="F11" s="3"/>
    </row>
    <row r="12">
      <c r="A12" s="3"/>
      <c r="B12" s="3"/>
      <c r="C12" s="3"/>
      <c r="D12" s="3"/>
      <c r="E12" s="3"/>
      <c r="F12" s="3"/>
    </row>
    <row r="13">
      <c r="A13" s="3"/>
      <c r="B13" s="3"/>
      <c r="C13" s="3"/>
      <c r="D13" s="3"/>
      <c r="E13" s="3"/>
      <c r="F13" s="3"/>
    </row>
    <row r="14">
      <c r="A14" s="3"/>
      <c r="B14" s="3"/>
      <c r="C14" s="3"/>
      <c r="D14" s="3"/>
      <c r="E14" s="3"/>
      <c r="F14" s="3"/>
    </row>
    <row r="15">
      <c r="A15" s="3"/>
      <c r="B15" s="3"/>
      <c r="C15" s="3"/>
      <c r="D15" s="3"/>
      <c r="E15" s="3"/>
      <c r="F15" s="3"/>
    </row>
    <row r="16">
      <c r="A16" s="3"/>
      <c r="B16" s="3"/>
      <c r="C16" s="3"/>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row r="21" ht="15.75" customHeight="1">
      <c r="A21" s="3"/>
      <c r="B21" s="3"/>
      <c r="C21" s="3"/>
      <c r="D21" s="3"/>
      <c r="E21" s="3"/>
      <c r="F21" s="3"/>
    </row>
    <row r="22" ht="15.75" customHeight="1">
      <c r="A22" s="3"/>
      <c r="B22" s="3"/>
      <c r="C22" s="3"/>
      <c r="D22" s="3"/>
      <c r="E22" s="3"/>
      <c r="F22" s="3"/>
    </row>
    <row r="23" ht="15.75" customHeight="1">
      <c r="A23" s="3"/>
      <c r="B23" s="3"/>
      <c r="C23" s="3"/>
      <c r="D23" s="3"/>
      <c r="E23" s="3"/>
      <c r="F23" s="3"/>
    </row>
    <row r="24" ht="15.75" customHeight="1">
      <c r="A24" s="3"/>
      <c r="B24" s="3"/>
      <c r="C24" s="3"/>
      <c r="D24" s="3"/>
      <c r="E24" s="3"/>
      <c r="F24" s="3"/>
    </row>
    <row r="25" ht="15.75" customHeight="1">
      <c r="A25" s="3"/>
      <c r="B25" s="3"/>
      <c r="C25" s="3"/>
      <c r="D25" s="3"/>
      <c r="E25" s="3"/>
      <c r="F25" s="3"/>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6" t="s">
        <v>106</v>
      </c>
      <c r="B31" s="6" t="s">
        <v>107</v>
      </c>
      <c r="C31" s="6" t="s">
        <v>108</v>
      </c>
      <c r="D31" s="3"/>
      <c r="E31" s="3"/>
      <c r="F31" s="3"/>
    </row>
    <row r="32" ht="15.75" customHeight="1">
      <c r="A32" s="8" t="s">
        <v>83</v>
      </c>
      <c r="B32" s="8">
        <f t="shared" ref="B32:C32" si="2">B4</f>
        <v>0</v>
      </c>
      <c r="C32" s="15">
        <f t="shared" si="2"/>
        <v>0</v>
      </c>
      <c r="D32" s="3"/>
      <c r="E32" s="3"/>
      <c r="F32" s="3"/>
    </row>
    <row r="33" ht="15.75" customHeight="1">
      <c r="A33" s="8" t="s">
        <v>86</v>
      </c>
      <c r="B33" s="8">
        <f t="shared" ref="B33:C33" si="3">B5</f>
        <v>0</v>
      </c>
      <c r="C33" s="15">
        <f t="shared" si="3"/>
        <v>0</v>
      </c>
      <c r="D33" s="3"/>
      <c r="E33" s="3"/>
      <c r="F33" s="3"/>
    </row>
    <row r="34" ht="15.75" customHeight="1">
      <c r="A34" s="8" t="s">
        <v>37</v>
      </c>
      <c r="B34" s="8">
        <f t="shared" ref="B34:C34" si="4">B6</f>
        <v>0</v>
      </c>
      <c r="C34" s="15">
        <f t="shared" si="4"/>
        <v>0</v>
      </c>
      <c r="D34" s="3"/>
      <c r="E34" s="3"/>
      <c r="F34" s="3"/>
    </row>
    <row r="35" ht="15.75" customHeight="1">
      <c r="A35" s="8" t="s">
        <v>114</v>
      </c>
      <c r="B35" s="20">
        <f>B9</f>
        <v>0</v>
      </c>
      <c r="C35" s="37" t="s">
        <v>82</v>
      </c>
      <c r="D35" s="3"/>
      <c r="E35" s="3"/>
      <c r="F35" s="3"/>
    </row>
    <row r="36" ht="15.0" customHeight="1">
      <c r="A36" s="8" t="s">
        <v>118</v>
      </c>
      <c r="B36" s="20">
        <f t="shared" ref="B36:C36" si="5">B7</f>
        <v>0</v>
      </c>
      <c r="C36" s="38">
        <f t="shared" si="5"/>
        <v>0</v>
      </c>
      <c r="D36" s="3"/>
      <c r="E36" s="3"/>
      <c r="F36" s="3"/>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E4 E8">
    <cfRule type="cellIs" dxfId="0" priority="1" stopIfTrue="1" operator="greaterThan">
      <formula>0</formula>
    </cfRule>
  </conditionalFormatting>
  <conditionalFormatting sqref="E4 E8">
    <cfRule type="cellIs" dxfId="0" priority="2" stopIfTrue="1" operator="greaterThan">
      <formula>0</formula>
    </cfRule>
  </conditionalFormatting>
  <conditionalFormatting sqref="E4 E8">
    <cfRule type="cellIs" dxfId="1" priority="3" stopIfTrue="1" operator="lessThan">
      <formula>0</formula>
    </cfRule>
  </conditionalFormatting>
  <conditionalFormatting sqref="E4 E8">
    <cfRule type="cellIs" dxfId="0" priority="4" stopIfTrue="1" operator="greaterThan">
      <formula>0</formula>
    </cfRule>
  </conditionalFormatting>
  <conditionalFormatting sqref="E4 E8">
    <cfRule type="cellIs" dxfId="1" priority="5" stopIfTrue="1" operator="lessThan">
      <formula>0</formula>
    </cfRule>
  </conditionalFormatting>
  <conditionalFormatting sqref="E4 E8">
    <cfRule type="cellIs" dxfId="0" priority="6" stopIfTrue="1" operator="greaterThan">
      <formula>0</formula>
    </cfRule>
  </conditionalFormatting>
  <conditionalFormatting sqref="E4 E8">
    <cfRule type="cellIs" dxfId="1" priority="7" stopIfTrue="1" operator="lessThan">
      <formula>0</formula>
    </cfRule>
  </conditionalFormatting>
  <conditionalFormatting sqref="A4:C4">
    <cfRule type="expression" dxfId="2" priority="8">
      <formula>$B4&gt;0</formula>
    </cfRule>
  </conditionalFormatting>
  <conditionalFormatting sqref="A5:C5">
    <cfRule type="expression" dxfId="3" priority="9">
      <formula>$B5&gt;0</formula>
    </cfRule>
  </conditionalFormatting>
  <conditionalFormatting sqref="A6:C6">
    <cfRule type="expression" dxfId="4" priority="10">
      <formula>$B6&gt;0</formula>
    </cfRule>
  </conditionalFormatting>
  <conditionalFormatting sqref="A9:C9">
    <cfRule type="expression" dxfId="5" priority="11">
      <formula>$B9&gt;0</formula>
    </cfRule>
  </conditionalFormatting>
  <conditionalFormatting sqref="A32:C32">
    <cfRule type="expression" dxfId="2" priority="12">
      <formula>$B32&gt;0</formula>
    </cfRule>
  </conditionalFormatting>
  <conditionalFormatting sqref="A33:C33">
    <cfRule type="expression" dxfId="3" priority="13">
      <formula>$B33&gt;0</formula>
    </cfRule>
  </conditionalFormatting>
  <conditionalFormatting sqref="A34:C34">
    <cfRule type="expression" dxfId="4" priority="14">
      <formula>$B34&gt;0</formula>
    </cfRule>
  </conditionalFormatting>
  <conditionalFormatting sqref="A35:C35">
    <cfRule type="expression" dxfId="5" priority="15">
      <formula>$B35&gt;0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0"/>
    <col customWidth="1" min="2" max="2" width="18.0"/>
    <col customWidth="1" min="3" max="3" width="24.0"/>
    <col customWidth="1" min="4" max="5" width="15.0"/>
    <col customWidth="1" min="6" max="6" width="8.63"/>
  </cols>
  <sheetData>
    <row r="1">
      <c r="A1" s="53" t="s">
        <v>155</v>
      </c>
    </row>
    <row r="2">
      <c r="A2" s="54" t="s">
        <v>156</v>
      </c>
    </row>
    <row r="3">
      <c r="A3" s="6" t="s">
        <v>157</v>
      </c>
      <c r="B3" s="6" t="s">
        <v>158</v>
      </c>
      <c r="C3" s="6" t="s">
        <v>159</v>
      </c>
      <c r="D3" s="6" t="s">
        <v>160</v>
      </c>
      <c r="E3" s="6" t="s">
        <v>161</v>
      </c>
    </row>
    <row r="4">
      <c r="A4" s="8" t="s">
        <v>162</v>
      </c>
      <c r="B4" s="8">
        <f>COUNTIFS('Game Records'!$E:$E,"Member",'Game Records'!$U:$U,"Profit")+COUNTIFS('Game Records'!$E:$E,"Member",'Game Records'!$U:$U,"Draw")+COUNTIFS('Game Records'!$E:$E,"Member",'Game Records'!$U:$U,"Disqualified")</f>
        <v>0</v>
      </c>
      <c r="C4" s="8">
        <f>COUNTIFS('Game Records'!$E:$E,"Non-Member",'Game Records'!$U:$U,"Profit")+COUNTIFS('Game Records'!$E:$E,"Non-Member",'Game Records'!$U:$U,"Draw")+COUNTIFS('Game Records'!$E:$E,"Non-Member",'Game Records'!$U:$U,"Disqualified")</f>
        <v>0</v>
      </c>
      <c r="D4" s="8">
        <f>COUNTIFS('Game Records'!$E:$E,"&lt;&gt;Member",'Game Records'!$E:$E,"&lt;&gt;Non-Member",'Game Records'!$U:$U,"Profit")+COUNTIFS('Game Records'!$E:$E,"&lt;&gt;Member",'Game Records'!$E:$E,"&lt;&gt;Non-Member",'Game Records'!$U:$U,"Draw")+COUNTIFS('Game Records'!$E:$E,"&lt;&gt;Member",'Game Records'!$E:$E,"&lt;&gt;Non-Member",'Game Records'!$U:$U,"Disqualified")</f>
        <v>0</v>
      </c>
      <c r="E4" s="8">
        <f t="shared" ref="E4:E5" si="1">SUM(B4:D4)</f>
        <v>0</v>
      </c>
    </row>
    <row r="5">
      <c r="A5" s="8" t="s">
        <v>11</v>
      </c>
      <c r="B5" s="8">
        <f>COUNTIFS('Game Records'!$E:$E,"Member",'Game Records'!$U:$U,"Profit")</f>
        <v>0</v>
      </c>
      <c r="C5" s="8">
        <f>COUNTIFS('Game Records'!$E:$E,"Non-Member",'Game Records'!$U:$U,"Profit")</f>
        <v>0</v>
      </c>
      <c r="D5" s="8">
        <f>COUNTIFS('Game Records'!$E:$E,"&lt;&gt;Member",'Game Records'!$E:$E,"&lt;&gt;Non-Member",'Game Records'!$U:$U,"Profit")</f>
        <v>0</v>
      </c>
      <c r="E5" s="8">
        <f t="shared" si="1"/>
        <v>0</v>
      </c>
    </row>
    <row r="6">
      <c r="A6" s="8" t="s">
        <v>163</v>
      </c>
      <c r="B6" s="15">
        <f t="shared" ref="B6:E6" si="2">IF(B4=0,0,B5/B4)</f>
        <v>0</v>
      </c>
      <c r="C6" s="15">
        <f t="shared" si="2"/>
        <v>0</v>
      </c>
      <c r="D6" s="15">
        <f t="shared" si="2"/>
        <v>0</v>
      </c>
      <c r="E6" s="15">
        <f t="shared" si="2"/>
        <v>0</v>
      </c>
    </row>
    <row r="7">
      <c r="A7" s="8" t="s">
        <v>164</v>
      </c>
      <c r="B7" s="15">
        <f>IF(B4=0,0,COUNTIFS('Game Records'!$E:$E,"Member",'Game Records'!$U:$U,"Draw")/B4)</f>
        <v>0</v>
      </c>
      <c r="C7" s="15">
        <f>IF(C4=0,0,COUNTIFS('Game Records'!$E:$E,"Non-Member",'Game Records'!$U:$U,"Draw")/C4)</f>
        <v>0</v>
      </c>
      <c r="D7" s="15">
        <f>IF(D4=0,0,SUMPRODUCT(('Game Records'!$U:$U="Draw")*('Game Records'!$E:$E&lt;&gt;"Member")*('Game Records'!$E:$E&lt;&gt;"Non-Member"))/D4)</f>
        <v>0</v>
      </c>
      <c r="E7" s="15">
        <f>IF(E4=0,0,COUNTIF('Game Records'!$U:$U,"Draw")/E4)</f>
        <v>0</v>
      </c>
    </row>
    <row r="8">
      <c r="A8" s="8" t="s">
        <v>165</v>
      </c>
      <c r="B8" s="15">
        <f>IF(B4=0,0,COUNTIFS('Game Records'!$E:$E,"Member",'Game Records'!$U:$U,"Disqualified")/B4)</f>
        <v>0</v>
      </c>
      <c r="C8" s="15">
        <f>IF(C4=0,0,COUNTIFS('Game Records'!$E:$E,"Non-Member",'Game Records'!$U:$U,"Disqualified")/C4)</f>
        <v>0</v>
      </c>
      <c r="D8" s="15">
        <f>IF(D4=0,0,SUMPRODUCT(('Game Records'!$U:$U="Disqualified")*('Game Records'!$E:$E&lt;&gt;"Member")*('Game Records'!$E:$E&lt;&gt;"Non-Member"))/D4)</f>
        <v>0</v>
      </c>
      <c r="E8" s="15">
        <f>IF(E4=0,0,COUNTIF('Game Records'!$U:$U,"Disqualified")/E4)</f>
        <v>0</v>
      </c>
    </row>
    <row r="9">
      <c r="A9" s="8" t="s">
        <v>174</v>
      </c>
      <c r="B9" s="17">
        <f t="shared" ref="B9:E9" si="3">IF(B4=0,0,B11/B4)</f>
        <v>0</v>
      </c>
      <c r="C9" s="17">
        <f t="shared" si="3"/>
        <v>0</v>
      </c>
      <c r="D9" s="17">
        <f t="shared" si="3"/>
        <v>0</v>
      </c>
      <c r="E9" s="17">
        <f t="shared" si="3"/>
        <v>0</v>
      </c>
    </row>
    <row r="10">
      <c r="A10" s="8" t="s">
        <v>177</v>
      </c>
      <c r="B10" s="15">
        <f>IF(B4=0,0,SUMIFS('Game Records'!$T:$T,'Game Records'!$E:$E,"Member",'Game Records'!$U:$U,"&lt;&gt;Subscription",'Game Records'!$U:$U,"&lt;&gt;Free Game",'Game Records'!$U:$U,"&lt;&gt;Disqualified — Free Game")/B4)</f>
        <v>0</v>
      </c>
      <c r="C10" s="15">
        <f>IF(C4=0,0,SUMIFS('Game Records'!$T:$T,'Game Records'!$E:$E,"Non-Member",'Game Records'!$U:$U,"&lt;&gt;Subscription",'Game Records'!$U:$U,"&lt;&gt;Free Game",'Game Records'!$U:$U,"&lt;&gt;Disqualified — Free Game")/C4)</f>
        <v>0</v>
      </c>
      <c r="D10" s="15">
        <f>IF(D4=0,0,SUMIFS('Game Records'!$T:$T,'Game Records'!$U:$U,"&lt;&gt;Subscription",'Game Records'!$U:$U,"&lt;&gt;Free Game",'Game Records'!$U:$U,"&lt;&gt;Disqualified — Free Game",'Game Records'!$E:$E,"&lt;&gt;Member",'Game Records'!$E:$E,"&lt;&gt;Non-Member")/D4)</f>
        <v>0</v>
      </c>
      <c r="E10" s="15">
        <f>IF(E4=0,0,SUMIFS('Game Records'!$T:$T,'Game Records'!$U:$U,"&lt;&gt;Subscription",'Game Records'!$U:$U,"&lt;&gt;Free Game",'Game Records'!$U:$U,"&lt;&gt;Disqualified — Free Game")/E4)</f>
        <v>0</v>
      </c>
    </row>
    <row r="11">
      <c r="A11" s="8" t="s">
        <v>186</v>
      </c>
      <c r="B11" s="17">
        <f>SUMIFS('Game Records'!$W:$W,'Game Records'!$E:$E,"Member",'Game Records'!$U:$U,"&lt;&gt;Subscription",'Game Records'!$U:$U,"&lt;&gt;Free Game",'Game Records'!$U:$U,"&lt;&gt;Disqualified — Free Game")</f>
        <v>0</v>
      </c>
      <c r="C11" s="17">
        <f>SUMIFS('Game Records'!$W:$W,'Game Records'!$E:$E,"Non-Member",'Game Records'!$U:$U,"&lt;&gt;Subscription",'Game Records'!$U:$U,"&lt;&gt;Free Game",'Game Records'!$U:$U,"&lt;&gt;Disqualified — Free Game")</f>
        <v>0</v>
      </c>
      <c r="D11" s="17">
        <f>SUMIFS('Game Records'!$W:$W,'Game Records'!$E:$E,"&lt;&gt;Member",'Game Records'!$E:$E,"&lt;&gt;Non-Member",'Game Records'!$U:$U,"Profit")+SUMIFS('Game Records'!$W:$W,'Game Records'!$E:$E,"&lt;&gt;Member",'Game Records'!$E:$E,"&lt;&gt;Non-Member",'Game Records'!$U:$U,"Draw")+SUMIFS('Game Records'!$W:$W,'Game Records'!$E:$E,"&lt;&gt;Member",'Game Records'!$E:$E,"&lt;&gt;Non-Member",'Game Records'!$U:$U,"Disqualified")</f>
        <v>0</v>
      </c>
      <c r="E11" s="17">
        <f>SUMIFS('Game Records'!$W:$W,'Game Records'!$U:$U,"Profit")+SUMIFS('Game Records'!$W:$W,'Game Records'!$U:$U,"Draw")+SUMIFS('Game Records'!$W:$W,'Game Records'!$U:$U,"Disqualified")</f>
        <v>0</v>
      </c>
    </row>
    <row r="12">
      <c r="A12" s="8" t="s">
        <v>198</v>
      </c>
      <c r="B12" s="8">
        <v>0.0</v>
      </c>
      <c r="C12" s="8">
        <v>0.0</v>
      </c>
      <c r="D12" s="8">
        <f>D4</f>
        <v>0</v>
      </c>
      <c r="E12" s="8">
        <f>D4</f>
        <v>0</v>
      </c>
    </row>
    <row r="13">
      <c r="A13" s="3"/>
      <c r="B13" s="3"/>
      <c r="C13" s="3"/>
      <c r="D13" s="3"/>
      <c r="E13" s="3"/>
    </row>
    <row r="14">
      <c r="A14" s="3"/>
      <c r="B14" s="3"/>
      <c r="C14" s="3"/>
      <c r="D14" s="3"/>
      <c r="E14" s="3"/>
    </row>
    <row r="15">
      <c r="A15" s="53" t="s">
        <v>199</v>
      </c>
    </row>
    <row r="16">
      <c r="A16" s="54" t="s">
        <v>201</v>
      </c>
    </row>
    <row r="17">
      <c r="A17" s="6" t="s">
        <v>157</v>
      </c>
      <c r="B17" s="6" t="s">
        <v>203</v>
      </c>
      <c r="C17" s="6" t="s">
        <v>9</v>
      </c>
    </row>
    <row r="18">
      <c r="A18" s="56" t="s">
        <v>204</v>
      </c>
      <c r="B18" s="58">
        <f>COUNTIFS('Game Records'!$D:$D,"Finalized",'Game Records'!$U:$U,"Free Game")+COUNTIFS('Game Records'!$D:$D,"Finalized",'Game Records'!$U:$U,"Disqualified — Free Game")</f>
        <v>0</v>
      </c>
      <c r="C18" s="56" t="s">
        <v>206</v>
      </c>
    </row>
    <row r="19">
      <c r="A19" s="56" t="s">
        <v>207</v>
      </c>
      <c r="B19" s="58">
        <f>COUNTIFS('Game Records'!$D:$D,"Finalized",'Game Records'!$U:$U,"Free Game")</f>
        <v>0</v>
      </c>
      <c r="C19" s="56" t="s">
        <v>208</v>
      </c>
    </row>
    <row r="20">
      <c r="A20" s="56" t="s">
        <v>209</v>
      </c>
      <c r="B20" s="58">
        <f>COUNTIFS('Game Records'!$D:$D,"Finalized",'Game Records'!$U:$U,"Disqualified — Free Game")</f>
        <v>0</v>
      </c>
      <c r="C20" s="56" t="s">
        <v>210</v>
      </c>
    </row>
    <row r="21" ht="15.75" customHeight="1">
      <c r="A21" s="56" t="s">
        <v>165</v>
      </c>
      <c r="B21" s="37">
        <f>IF(B18=0,0,B20/B18)</f>
        <v>0</v>
      </c>
      <c r="C21" s="56" t="s">
        <v>211</v>
      </c>
    </row>
    <row r="22" ht="15.75" customHeight="1">
      <c r="A22" s="56" t="s">
        <v>212</v>
      </c>
      <c r="B22" s="59">
        <f>IF((COUNTIFS('Game Records'!$D:$D,"Finalized",'Game Records'!$U:$U,"Free Game",'Game Records'!$K:$K,"&lt;&gt;",'Game Records'!$K:$K,"&gt;=0")+COUNTIFS('Game Records'!$D:$D,"Finalized",'Game Records'!$U:$U,"Disqualified — Free Game"))=0,0,(SUMIFS('Game Records'!$K:$K,'Game Records'!$D:$D,"Finalized",'Game Records'!$U:$U,"Free Game",'Game Records'!$K:$K,"&lt;&gt;",'Game Records'!$K:$K,"&gt;=0"))/(COUNTIFS('Game Records'!$D:$D,"Finalized",'Game Records'!$U:$U,"Free Game",'Game Records'!$K:$K,"&lt;&gt;",'Game Records'!$K:$K,"&gt;=0")+COUNTIFS('Game Records'!$D:$D,"Finalized",'Game Records'!$U:$U,"Disqualified — Free Game")))</f>
        <v>0</v>
      </c>
      <c r="C22" s="56" t="s">
        <v>213</v>
      </c>
    </row>
    <row r="23" ht="15.75" customHeight="1">
      <c r="A23" s="56" t="s">
        <v>214</v>
      </c>
      <c r="B23" s="59">
        <f>SUMIFS('Game Records'!$K:$K,'Game Records'!$D:$D,"Finalized",'Game Records'!$U:$U,"Free Game",'Game Records'!$K:$K,"&lt;&gt;",'Game Records'!$K:$K,"&gt;=0")</f>
        <v>0</v>
      </c>
      <c r="C23" s="56" t="s">
        <v>215</v>
      </c>
    </row>
    <row r="24" ht="15.75" customHeight="1">
      <c r="A24" s="56" t="s">
        <v>216</v>
      </c>
      <c r="B24" s="60">
        <f>IF((COUNTIFS('Game Records'!$D:$D,"Finalized",'Game Records'!$U:$U,"Free Game",'Game Records'!$I:$I,"&lt;&gt;",'Game Records'!$I:$I,"&gt;=0",'Game Records'!$J:$J,"&lt;&gt;",'Game Records'!$J:$J,"&gt;=0")+COUNTIFS('Game Records'!$D:$D,"Finalized",'Game Records'!$U:$U,"Disqualified — Free Game",'Game Records'!$I:$I,"&lt;&gt;",'Game Records'!$I:$I,"&gt;=0",'Game Records'!$J:$J,"&lt;&gt;",'Game Records'!$J:$J,"&gt;=0"))=0,0,(SUMIFS('Game Records'!$X:$X,'Game Records'!$D:$D,"Finalized",'Game Records'!$U:$U,"Free Game")+SUMIFS('Game Records'!$X:$X,'Game Records'!$D:$D,"Finalized",'Game Records'!$U:$U,"Disqualified — Free Game"))/(COUNTIFS('Game Records'!$D:$D,"Finalized",'Game Records'!$U:$U,"Free Game",'Game Records'!$I:$I,"&lt;&gt;",'Game Records'!$I:$I,"&gt;=0",'Game Records'!$J:$J,"&lt;&gt;",'Game Records'!$J:$J,"&gt;=0")+COUNTIFS('Game Records'!$D:$D,"Finalized",'Game Records'!$U:$U,"Disqualified — Free Game",'Game Records'!$I:$I,"&lt;&gt;",'Game Records'!$I:$I,"&gt;=0",'Game Records'!$J:$J,"&lt;&gt;",'Game Records'!$J:$J,"&gt;=0")))</f>
        <v>0</v>
      </c>
      <c r="C24" s="56" t="s">
        <v>217</v>
      </c>
    </row>
    <row r="25" ht="15.75" customHeight="1">
      <c r="A25" s="56" t="s">
        <v>218</v>
      </c>
      <c r="B25" s="37">
        <f>IF((COUNTIFS('Game Records'!$D:$D,"Finalized",'Game Records'!$U:$U,"Free Game",'Game Records'!$I:$I,"&lt;&gt;",'Game Records'!$I:$I,"&gt;=0",'Game Records'!$J:$J,"&lt;&gt;",'Game Records'!$J:$J,"&gt;=0")+COUNTIFS('Game Records'!$D:$D,"Finalized",'Game Records'!$U:$U,"Disqualified — Free Game",'Game Records'!$I:$I,"&lt;&gt;",'Game Records'!$I:$I,"&gt;=0",'Game Records'!$J:$J,"&lt;&gt;",'Game Records'!$J:$J,"&gt;=0"))=0,0,(SUMIFS('Game Records'!$Y:$Y,'Game Records'!$D:$D,"Finalized",'Game Records'!$U:$U,"Free Game")+SUMIFS('Game Records'!$Y:$Y,'Game Records'!$D:$D,"Finalized",'Game Records'!$U:$U,"Disqualified — Free Game"))/(COUNTIFS('Game Records'!$D:$D,"Finalized",'Game Records'!$U:$U,"Free Game",'Game Records'!$I:$I,"&lt;&gt;",'Game Records'!$I:$I,"&gt;=0",'Game Records'!$J:$J,"&lt;&gt;",'Game Records'!$J:$J,"&gt;=0")+COUNTIFS('Game Records'!$D:$D,"Finalized",'Game Records'!$U:$U,"Disqualified — Free Game",'Game Records'!$I:$I,"&lt;&gt;",'Game Records'!$I:$I,"&gt;=0",'Game Records'!$J:$J,"&lt;&gt;",'Game Records'!$J:$J,"&gt;=0")))</f>
        <v>0</v>
      </c>
      <c r="C25" s="56" t="s">
        <v>219</v>
      </c>
    </row>
    <row r="26" ht="15.75" customHeight="1">
      <c r="A26" s="56" t="s">
        <v>177</v>
      </c>
      <c r="B26" s="21" t="s">
        <v>220</v>
      </c>
      <c r="C26" s="56" t="s">
        <v>221</v>
      </c>
    </row>
    <row r="27" ht="15.75" customHeight="1">
      <c r="A27" s="56" t="s">
        <v>222</v>
      </c>
      <c r="B27" s="58">
        <f>E4+B18</f>
        <v>0</v>
      </c>
      <c r="C27" s="56" t="s">
        <v>223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0:E20"/>
    <mergeCell ref="C21:E21"/>
    <mergeCell ref="C22:E22"/>
    <mergeCell ref="C23:E23"/>
    <mergeCell ref="C24:E24"/>
    <mergeCell ref="C25:E25"/>
    <mergeCell ref="C26:E26"/>
    <mergeCell ref="C27:E27"/>
    <mergeCell ref="A1:E1"/>
    <mergeCell ref="A2:E2"/>
    <mergeCell ref="A15:E15"/>
    <mergeCell ref="A16:E16"/>
    <mergeCell ref="C17:E17"/>
    <mergeCell ref="C18:E18"/>
    <mergeCell ref="C19:E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33.0"/>
    <col customWidth="1" min="3" max="3" width="17.0"/>
    <col customWidth="1" min="4" max="4" width="33.0"/>
    <col customWidth="1" min="5" max="6" width="8.63"/>
  </cols>
  <sheetData>
    <row r="1">
      <c r="A1" s="53" t="s">
        <v>166</v>
      </c>
    </row>
    <row r="2">
      <c r="A2" s="54" t="s">
        <v>167</v>
      </c>
    </row>
    <row r="3">
      <c r="A3" s="6" t="s">
        <v>157</v>
      </c>
      <c r="B3" s="6" t="s">
        <v>168</v>
      </c>
      <c r="C3" s="6" t="s">
        <v>169</v>
      </c>
      <c r="D3" s="6" t="s">
        <v>170</v>
      </c>
    </row>
    <row r="4">
      <c r="A4" s="8" t="s">
        <v>171</v>
      </c>
      <c r="B4" s="8" t="str">
        <f>IFERROR(__xludf.DUMMYFUNCTION("IF(C4="""","""",IFERROR(INDEX(FILTER('Game Records'!$A$5:$A$504,'Game Records'!$U$5:$U$504=""Profit"",'Game Records'!$W$5:$W$504=C4),1),""""))"),"")</f>
        <v/>
      </c>
      <c r="C4" s="55" t="str">
        <f>IFERROR(__xludf.DUMMYFUNCTION("IFERROR(MAX(FILTER('Game Records'!$W$5:$W$504,'Game Records'!$U$5:$U$504=""Profit"")),"""")"),"")</f>
        <v/>
      </c>
      <c r="D4" s="8" t="s">
        <v>172</v>
      </c>
    </row>
    <row r="5">
      <c r="A5" s="8" t="s">
        <v>173</v>
      </c>
      <c r="B5" s="8" t="str">
        <f>IFERROR(__xludf.DUMMYFUNCTION("IF(C5="""","""",IFERROR(INDEX(FILTER('Game Records'!$A$5:$A$504,'Game Records'!$U$5:$U$504=""Profit"",'Game Records'!$W$5:$W$504=C5),1),""""))"),"")</f>
        <v/>
      </c>
      <c r="C5" s="55" t="str">
        <f>IFERROR(__xludf.DUMMYFUNCTION("IFERROR(MIN(FILTER('Game Records'!$W$5:$W$504,'Game Records'!$U$5:$U$504=""Profit"",'Game Records'!$W$5:$W$504&gt;0)),"""")"),"")</f>
        <v/>
      </c>
      <c r="D5" s="8" t="s">
        <v>175</v>
      </c>
    </row>
    <row r="6">
      <c r="A6" s="8" t="s">
        <v>176</v>
      </c>
      <c r="B6" s="8" t="str">
        <f>IFERROR(__xludf.DUMMYFUNCTION("IF(C6="""","""",IFERROR(INDEX(FILTER('Game Records'!$A$5:$A$504,'Game Records'!$U$5:$U$504=""Profit"",'Game Records'!$T$5:$T$504=C6),1),""""))"),"")</f>
        <v/>
      </c>
      <c r="C6" s="38" t="str">
        <f>IFERROR(__xludf.DUMMYFUNCTION("IFERROR(MAX(FILTER('Game Records'!$T$5:$T$504,'Game Records'!$U$5:$U$504=""Profit"",ISNUMBER('Game Records'!$T$5:$T$504))),"""")"),"")</f>
        <v/>
      </c>
      <c r="D6" s="8" t="s">
        <v>178</v>
      </c>
    </row>
    <row r="7">
      <c r="A7" s="8" t="s">
        <v>179</v>
      </c>
      <c r="B7" s="8" t="str">
        <f>IFERROR(__xludf.DUMMYFUNCTION("IF(C7="""","""",IFERROR(INDEX(FILTER('Game Records'!$A$5:$A$504,'Game Records'!$U$5:$U$504=""Profit"",'Game Records'!$T$5:$T$504=C7),1),""""))"),"")</f>
        <v/>
      </c>
      <c r="C7" s="38" t="str">
        <f>IFERROR(__xludf.DUMMYFUNCTION("IFERROR(MIN(FILTER('Game Records'!$T$5:$T$504,'Game Records'!$U$5:$U$504=""Profit"",'Game Records'!$T$5:$T$504&gt;0)),"""")"),"")</f>
        <v/>
      </c>
      <c r="D7" s="8" t="s">
        <v>180</v>
      </c>
    </row>
    <row r="8">
      <c r="A8" s="8" t="s">
        <v>181</v>
      </c>
      <c r="B8" s="8" t="str">
        <f>IFERROR(__xludf.DUMMYFUNCTION("IF(C8="""","""",IFERROR(INDEX(FILTER('Game Records'!$A$5:$A$504,'Game Records'!$U$5:$U$504=""Disqualified"",'Game Records'!$S$5:$S$504=C8),1),""""))"),"")</f>
        <v/>
      </c>
      <c r="C8" s="55" t="str">
        <f>IFERROR(__xludf.DUMMYFUNCTION("IFERROR(MAX(FILTER('Game Records'!$S$5:$S$504,'Game Records'!$U$5:$U$504=""Disqualified"",'Game Records'!$S$5:$S$504&gt;0)),"""")"),"")</f>
        <v/>
      </c>
      <c r="D8" s="8" t="s">
        <v>182</v>
      </c>
    </row>
    <row r="9">
      <c r="A9" s="8" t="s">
        <v>183</v>
      </c>
      <c r="B9" s="8" t="str">
        <f>IFERROR(__xludf.DUMMYFUNCTION("IF(C9="""","""",IFERROR(INDEX(FILTER('Game Records'!$A$5:$A$504,'Game Records'!$D$5:$D$504=""Finalized"",'Game Records'!$A$5:$A$504&lt;&gt;"""",'Game Records'!$U$5:$U$504&lt;&gt;""Subscription"",ISNUMBER('Game Records'!$Y$5:$Y$504),'Game Records'!$Y$5:$Y$504=C9),1),"&amp;"""""))"),"")</f>
        <v/>
      </c>
      <c r="C9" s="38" t="str">
        <f>IFERROR(__xludf.DUMMYFUNCTION("IFERROR(MIN(FILTER('Game Records'!$Y$5:$Y$504,'Game Records'!$D$5:$D$504=""Finalized"",'Game Records'!$A$5:$A$504&lt;&gt;"""",'Game Records'!$U$5:$U$504&lt;&gt;""Subscription"",ISNUMBER('Game Records'!$Y$5:$Y$504))),"""")"),"")</f>
        <v/>
      </c>
      <c r="D9" s="8" t="s">
        <v>184</v>
      </c>
    </row>
    <row r="10">
      <c r="A10" s="8" t="s">
        <v>185</v>
      </c>
      <c r="B10" s="8" t="str">
        <f>IFERROR(__xludf.DUMMYFUNCTION("IF(C10="""","""",IFERROR(INDEX(FILTER('Game Records'!$A$5:$A$504,'Game Records'!$D$5:$D$504=""Finalized"",'Game Records'!$A$5:$A$504&lt;&gt;"""",'Game Records'!$U$5:$U$504&lt;&gt;""Subscription"",ISNUMBER('Game Records'!$Y$5:$Y$504),'Game Records'!$Y$5:$Y$504=C10),1)"&amp;",""""))"),"")</f>
        <v/>
      </c>
      <c r="C10" s="38" t="str">
        <f>IFERROR(__xludf.DUMMYFUNCTION("IFERROR(MAX(FILTER('Game Records'!$Y$5:$Y$504,'Game Records'!$D$5:$D$504=""Finalized"",'Game Records'!$A$5:$A$504&lt;&gt;"""",'Game Records'!$U$5:$U$504&lt;&gt;""Subscription"",ISNUMBER('Game Records'!$Y$5:$Y$504))),"""")"),"")</f>
        <v/>
      </c>
      <c r="D10" s="8" t="s">
        <v>187</v>
      </c>
    </row>
    <row r="11">
      <c r="A11" s="8" t="s">
        <v>188</v>
      </c>
      <c r="B11" s="8" t="str">
        <f>IFERROR(__xludf.DUMMYFUNCTION("IF(C11="""","""",IFERROR(INDEX(FILTER('Game Records'!$A$5:$A$504,'Game Records'!$D$5:$D$504=""Finalized"",'Game Records'!$U$5:$U$504&lt;&gt;""Subscription"",'Game Records'!$V$5:$V$504=C11),1),""""))"),"")</f>
        <v/>
      </c>
      <c r="C11" s="20" t="str">
        <f>IFERROR(__xludf.DUMMYFUNCTION("IFERROR(MAX(FILTER('Game Records'!$V$5:$V$504,'Game Records'!$D$5:$D$504=""Finalized"",'Game Records'!$U$5:$U$504&lt;&gt;""Subscription"",'Game Records'!$V$5:$V$504&gt;0)),"""")"),"")</f>
        <v/>
      </c>
      <c r="D11" s="8" t="s">
        <v>190</v>
      </c>
    </row>
    <row r="12">
      <c r="A12" s="8" t="s">
        <v>191</v>
      </c>
      <c r="B12" s="8" t="str">
        <f>IFERROR(__xludf.DUMMYFUNCTION("IF(C12="""","""",IFERROR(INDEX(FILTER('Game Records'!$A$5:$A$504,'Game Records'!$D$5:$D$504=""Finalized"",'Game Records'!$U$5:$U$504&lt;&gt;""Subscription"",'Game Records'!$V$5:$V$504=C12),1),""""))"),"")</f>
        <v/>
      </c>
      <c r="C12" s="20" t="str">
        <f>IFERROR(__xludf.DUMMYFUNCTION("IFERROR(MIN(FILTER('Game Records'!$V$5:$V$504,'Game Records'!$D$5:$D$504=""Finalized"",'Game Records'!$U$5:$U$504&lt;&gt;""Subscription"",'Game Records'!$V$5:$V$504&gt;0)),"""")"),"")</f>
        <v/>
      </c>
      <c r="D12" s="8" t="s">
        <v>192</v>
      </c>
    </row>
    <row r="13">
      <c r="A13" s="8" t="s">
        <v>193</v>
      </c>
      <c r="B13" s="8" t="str">
        <f>IFERROR(__xludf.DUMMYFUNCTION("IF(C13="""","""",IFERROR(INDEX(FILTER('Game Records'!$A$5:$A$504,'Game Records'!$D$5:$D$504=""Finalized"",'Game Records'!$A$5:$A$504&lt;&gt;"""",'Game Records'!$U$5:$U$504&lt;&gt;""Subscription"",ISNUMBER('Game Records'!$J$5:$J$504),'Game Records'!$J$5:$J$504=C13),1)"&amp;",""""))"),"")</f>
        <v/>
      </c>
      <c r="C13" s="20" t="str">
        <f>IFERROR(__xludf.DUMMYFUNCTION("IFERROR(MAX(FILTER('Game Records'!$J$5:$J$504,'Game Records'!$D$5:$D$504=""Finalized"",'Game Records'!$A$5:$A$504&lt;&gt;"""",'Game Records'!$U$5:$U$504&lt;&gt;""Subscription"",ISNUMBER('Game Records'!$J$5:$J$504),'Game Records'!$J$5:$J$504&gt;0)),"""")"),"")</f>
        <v/>
      </c>
      <c r="D13" s="8" t="s">
        <v>194</v>
      </c>
    </row>
    <row r="14">
      <c r="A14" s="8" t="s">
        <v>195</v>
      </c>
      <c r="B14" s="8" t="str">
        <f>IFERROR(__xludf.DUMMYFUNCTION("IF(C14="""","""",IFERROR(INDEX(FILTER('Game Records'!$A$5:$A$504,'Game Records'!$D$5:$D$504=""Finalized"",'Game Records'!$A$5:$A$504&lt;&gt;"""",'Game Records'!$U$5:$U$504&lt;&gt;""Subscription"",ISNUMBER('Game Records'!$X$5:$X$504),'Game Records'!$X$5:$X$504=C14),1)"&amp;",""""))"),"")</f>
        <v/>
      </c>
      <c r="C14" s="20" t="str">
        <f>IFERROR(__xludf.DUMMYFUNCTION("IFERROR(MAX(FILTER('Game Records'!$X$5:$X$504,'Game Records'!$D$5:$D$504=""Finalized"",'Game Records'!$A$5:$A$504&lt;&gt;"""",'Game Records'!$U$5:$U$504&lt;&gt;""Subscription"",ISNUMBER('Game Records'!$X$5:$X$504))),"""")"),"")</f>
        <v/>
      </c>
      <c r="D14" s="8" t="s">
        <v>196</v>
      </c>
    </row>
    <row r="15">
      <c r="A15" s="8" t="s">
        <v>197</v>
      </c>
      <c r="B15" s="8" t="str">
        <f>IFERROR(__xludf.DUMMYFUNCTION("IF(C15="""","""",IFERROR(INDEX(FILTER('Game Records'!$A$5:$A$504,(('Game Records'!$U$5:$U$504=""Profit"")+('Game Records'!$U$5:$U$504=""Draw"")+('Game Records'!$U$5:$U$504=""Disqualified""))&gt;0,ISNUMBER('Game Records'!$G$5:$G$504),'Game Records'!$G$5:$G$50"&amp;"4=C15),1),""""))"),"")</f>
        <v/>
      </c>
      <c r="C15" s="55" t="str">
        <f>IFERROR(__xludf.DUMMYFUNCTION("IFERROR(MAX(FILTER('Game Records'!$G$5:$G$504,(('Game Records'!$U$5:$U$504=""Profit"")+('Game Records'!$U$5:$U$504=""Draw"")+('Game Records'!$U$5:$U$504=""Disqualified""))&gt;0,ISNUMBER('Game Records'!$G$5:$G$504))),"""")"),"")</f>
        <v/>
      </c>
      <c r="D15" s="8" t="s">
        <v>200</v>
      </c>
    </row>
    <row r="16">
      <c r="A16" s="8" t="s">
        <v>202</v>
      </c>
      <c r="B16" s="8" t="str">
        <f>IFERROR(__xludf.DUMMYFUNCTION("IF(C16="""","""",IFERROR(INDEX(FILTER('Game Records'!$A$5:$A$504,'Game Records'!$D$5:$D$504=""Finalized"",'Game Records'!$U$5:$U$504=""Free Game"",ISNUMBER('Game Records'!$K$5:$K$504),'Game Records'!$K$5:$K$504=C16),1),""""))"),"")</f>
        <v/>
      </c>
      <c r="C16" s="57" t="str">
        <f>IFERROR(__xludf.DUMMYFUNCTION("IFERROR(MAX(FILTER('Game Records'!$K$5:$K$504,'Game Records'!$D$5:$D$504=""Finalized"",'Game Records'!$U$5:$U$504=""Free Game"",ISNUMBER('Game Records'!$K$5:$K$504))),"""")"),"")</f>
        <v/>
      </c>
      <c r="D16" s="8" t="s">
        <v>205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worksheet>
</file>